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ax\Aayush\Generated Data\FY26\"/>
    </mc:Choice>
  </mc:AlternateContent>
  <xr:revisionPtr revIDLastSave="0" documentId="13_ncr:1_{4C563C36-66DD-4292-8FA3-196EF4C478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XIS" sheetId="2" r:id="rId1"/>
    <sheet name="HDFC" sheetId="1" r:id="rId2"/>
    <sheet name="KOTAK" sheetId="4" r:id="rId3"/>
    <sheet name="SBI" sheetId="3" r:id="rId4"/>
    <sheet name="SBM Bank" sheetId="5" r:id="rId5"/>
    <sheet name="For Tally" sheetId="6" r:id="rId6"/>
    <sheet name="Conso" sheetId="7" r:id="rId7"/>
    <sheet name="Bank Summary" sheetId="8" r:id="rId8"/>
    <sheet name="Monthly Pivot" sheetId="9" r:id="rId9"/>
    <sheet name="CC Transactions" sheetId="10" r:id="rId10"/>
    <sheet name="Colour Legend" sheetId="11" r:id="rId11"/>
  </sheets>
  <definedNames>
    <definedName name="_xlnm._FilterDatabase" localSheetId="0" hidden="1">AXIS!$A$12:$M$498</definedName>
    <definedName name="_xlnm._FilterDatabase" localSheetId="5" hidden="1">'For Tally'!$A$25:$M$1586</definedName>
    <definedName name="_xlnm._FilterDatabase" localSheetId="1" hidden="1">HDFC!$A$10:$M$669</definedName>
    <definedName name="_xlnm._FilterDatabase" localSheetId="2" hidden="1">KOTAK!$A$14:$M$316</definedName>
    <definedName name="_xlnm._FilterDatabase" localSheetId="3" hidden="1">SBI!$A$12:$M$121</definedName>
    <definedName name="_xlnm._FilterDatabase" localSheetId="4" hidden="1">'SBM Bank'!$A$5:$M$10</definedName>
  </definedNames>
  <calcPr calcId="191029"/>
</workbook>
</file>

<file path=xl/calcChain.xml><?xml version="1.0" encoding="utf-8"?>
<calcChain xmlns="http://schemas.openxmlformats.org/spreadsheetml/2006/main">
  <c r="E686" i="10" l="1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87" i="10" s="1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O83" i="9" s="1"/>
  <c r="N82" i="9"/>
  <c r="M82" i="9"/>
  <c r="L82" i="9"/>
  <c r="K82" i="9"/>
  <c r="J82" i="9"/>
  <c r="I82" i="9"/>
  <c r="H82" i="9"/>
  <c r="G82" i="9"/>
  <c r="O82" i="9" s="1"/>
  <c r="F82" i="9"/>
  <c r="E82" i="9"/>
  <c r="D82" i="9"/>
  <c r="C82" i="9"/>
  <c r="B82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O80" i="9" s="1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O78" i="9" s="1"/>
  <c r="N77" i="9"/>
  <c r="M77" i="9"/>
  <c r="L77" i="9"/>
  <c r="K77" i="9"/>
  <c r="J77" i="9"/>
  <c r="I77" i="9"/>
  <c r="H77" i="9"/>
  <c r="G77" i="9"/>
  <c r="F77" i="9"/>
  <c r="E77" i="9"/>
  <c r="D77" i="9"/>
  <c r="O77" i="9" s="1"/>
  <c r="C77" i="9"/>
  <c r="B77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O72" i="9" s="1"/>
  <c r="N71" i="9"/>
  <c r="M71" i="9"/>
  <c r="M85" i="9" s="1"/>
  <c r="L71" i="9"/>
  <c r="L85" i="9" s="1"/>
  <c r="K71" i="9"/>
  <c r="K85" i="9" s="1"/>
  <c r="J71" i="9"/>
  <c r="I71" i="9"/>
  <c r="H71" i="9"/>
  <c r="G71" i="9"/>
  <c r="G85" i="9" s="1"/>
  <c r="F71" i="9"/>
  <c r="E71" i="9"/>
  <c r="E85" i="9" s="1"/>
  <c r="D71" i="9"/>
  <c r="D85" i="9" s="1"/>
  <c r="C71" i="9"/>
  <c r="C85" i="9" s="1"/>
  <c r="B71" i="9"/>
  <c r="F5" i="9"/>
  <c r="E5" i="9"/>
  <c r="J18" i="9" s="1"/>
  <c r="D5" i="9"/>
  <c r="C5" i="9"/>
  <c r="B5" i="9"/>
  <c r="B124" i="8"/>
  <c r="C124" i="8" s="1"/>
  <c r="B123" i="8"/>
  <c r="C123" i="8" s="1"/>
  <c r="B122" i="8"/>
  <c r="C118" i="8"/>
  <c r="C117" i="8"/>
  <c r="C116" i="8"/>
  <c r="C115" i="8"/>
  <c r="C114" i="8"/>
  <c r="D109" i="8"/>
  <c r="B109" i="8"/>
  <c r="D108" i="8"/>
  <c r="B108" i="8"/>
  <c r="D107" i="8"/>
  <c r="B107" i="8"/>
  <c r="D106" i="8"/>
  <c r="B106" i="8"/>
  <c r="D105" i="8"/>
  <c r="B105" i="8"/>
  <c r="D104" i="8"/>
  <c r="B104" i="8"/>
  <c r="D103" i="8"/>
  <c r="B103" i="8"/>
  <c r="D102" i="8"/>
  <c r="B102" i="8"/>
  <c r="D101" i="8"/>
  <c r="B101" i="8"/>
  <c r="D100" i="8"/>
  <c r="B100" i="8"/>
  <c r="D99" i="8"/>
  <c r="B99" i="8"/>
  <c r="D98" i="8"/>
  <c r="B98" i="8"/>
  <c r="D97" i="8"/>
  <c r="B97" i="8"/>
  <c r="D96" i="8"/>
  <c r="B96" i="8"/>
  <c r="D95" i="8"/>
  <c r="B95" i="8"/>
  <c r="D94" i="8"/>
  <c r="B94" i="8"/>
  <c r="D93" i="8"/>
  <c r="B93" i="8"/>
  <c r="D92" i="8"/>
  <c r="B92" i="8"/>
  <c r="D91" i="8"/>
  <c r="B91" i="8"/>
  <c r="D90" i="8"/>
  <c r="B90" i="8"/>
  <c r="D89" i="8"/>
  <c r="B89" i="8"/>
  <c r="D88" i="8"/>
  <c r="B88" i="8"/>
  <c r="D87" i="8"/>
  <c r="B87" i="8"/>
  <c r="D86" i="8"/>
  <c r="B86" i="8"/>
  <c r="D85" i="8"/>
  <c r="B85" i="8"/>
  <c r="D84" i="8"/>
  <c r="B84" i="8"/>
  <c r="D83" i="8"/>
  <c r="B83" i="8"/>
  <c r="D82" i="8"/>
  <c r="B82" i="8"/>
  <c r="D81" i="8"/>
  <c r="B81" i="8"/>
  <c r="D80" i="8"/>
  <c r="B80" i="8"/>
  <c r="D79" i="8"/>
  <c r="B79" i="8"/>
  <c r="D78" i="8"/>
  <c r="B78" i="8"/>
  <c r="D77" i="8"/>
  <c r="B77" i="8"/>
  <c r="D76" i="8"/>
  <c r="B76" i="8"/>
  <c r="D75" i="8"/>
  <c r="B75" i="8"/>
  <c r="D74" i="8"/>
  <c r="B74" i="8"/>
  <c r="D73" i="8"/>
  <c r="B73" i="8"/>
  <c r="D72" i="8"/>
  <c r="B72" i="8"/>
  <c r="D71" i="8"/>
  <c r="B71" i="8"/>
  <c r="D70" i="8"/>
  <c r="B70" i="8"/>
  <c r="D69" i="8"/>
  <c r="B69" i="8"/>
  <c r="D68" i="8"/>
  <c r="B68" i="8"/>
  <c r="D67" i="8"/>
  <c r="B67" i="8"/>
  <c r="D66" i="8"/>
  <c r="B66" i="8"/>
  <c r="D65" i="8"/>
  <c r="B65" i="8"/>
  <c r="D64" i="8"/>
  <c r="B64" i="8"/>
  <c r="D63" i="8"/>
  <c r="B63" i="8"/>
  <c r="D62" i="8"/>
  <c r="B62" i="8"/>
  <c r="D61" i="8"/>
  <c r="B61" i="8"/>
  <c r="D60" i="8"/>
  <c r="B60" i="8"/>
  <c r="D59" i="8"/>
  <c r="B59" i="8"/>
  <c r="D58" i="8"/>
  <c r="B58" i="8"/>
  <c r="D57" i="8"/>
  <c r="B57" i="8"/>
  <c r="D56" i="8"/>
  <c r="B56" i="8"/>
  <c r="D55" i="8"/>
  <c r="B55" i="8"/>
  <c r="D54" i="8"/>
  <c r="B54" i="8"/>
  <c r="D53" i="8"/>
  <c r="B53" i="8"/>
  <c r="D52" i="8"/>
  <c r="B52" i="8"/>
  <c r="D51" i="8"/>
  <c r="B51" i="8"/>
  <c r="D50" i="8"/>
  <c r="B50" i="8"/>
  <c r="D49" i="8"/>
  <c r="B49" i="8"/>
  <c r="D48" i="8"/>
  <c r="B48" i="8"/>
  <c r="D47" i="8"/>
  <c r="B47" i="8"/>
  <c r="D46" i="8"/>
  <c r="B46" i="8"/>
  <c r="D45" i="8"/>
  <c r="B45" i="8"/>
  <c r="D44" i="8"/>
  <c r="B44" i="8"/>
  <c r="D43" i="8"/>
  <c r="B43" i="8"/>
  <c r="D42" i="8"/>
  <c r="B42" i="8"/>
  <c r="D41" i="8"/>
  <c r="B41" i="8"/>
  <c r="D40" i="8"/>
  <c r="B40" i="8"/>
  <c r="D39" i="8"/>
  <c r="B39" i="8"/>
  <c r="D38" i="8"/>
  <c r="B38" i="8"/>
  <c r="D37" i="8"/>
  <c r="B37" i="8"/>
  <c r="D36" i="8"/>
  <c r="B36" i="8"/>
  <c r="D35" i="8"/>
  <c r="B35" i="8"/>
  <c r="D34" i="8"/>
  <c r="B34" i="8"/>
  <c r="D33" i="8"/>
  <c r="B33" i="8"/>
  <c r="D32" i="8"/>
  <c r="B32" i="8"/>
  <c r="D31" i="8"/>
  <c r="B31" i="8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D16" i="8"/>
  <c r="B16" i="8"/>
  <c r="D15" i="8"/>
  <c r="B15" i="8"/>
  <c r="D14" i="8"/>
  <c r="B14" i="8"/>
  <c r="D13" i="8"/>
  <c r="B13" i="8"/>
  <c r="D12" i="8"/>
  <c r="B12" i="8"/>
  <c r="D11" i="8"/>
  <c r="B11" i="8"/>
  <c r="D10" i="8"/>
  <c r="B10" i="8"/>
  <c r="D9" i="8"/>
  <c r="B9" i="8"/>
  <c r="D8" i="8"/>
  <c r="B8" i="8"/>
  <c r="D7" i="8"/>
  <c r="B7" i="8"/>
  <c r="D6" i="8"/>
  <c r="D110" i="8" s="1"/>
  <c r="B6" i="8"/>
  <c r="B110" i="8" s="1"/>
  <c r="E2" i="7"/>
  <c r="F2" i="7" s="1"/>
  <c r="D2" i="7"/>
  <c r="F110" i="8" l="1"/>
  <c r="C122" i="8"/>
  <c r="D10" i="9"/>
  <c r="K9" i="9"/>
  <c r="F10" i="9"/>
  <c r="M9" i="9"/>
  <c r="E13" i="9"/>
  <c r="I16" i="9"/>
  <c r="N9" i="9"/>
  <c r="D12" i="9"/>
  <c r="K14" i="9"/>
  <c r="N67" i="9"/>
  <c r="F67" i="9"/>
  <c r="L66" i="9"/>
  <c r="D66" i="9"/>
  <c r="J65" i="9"/>
  <c r="B65" i="9"/>
  <c r="H64" i="9"/>
  <c r="N63" i="9"/>
  <c r="F63" i="9"/>
  <c r="L62" i="9"/>
  <c r="D62" i="9"/>
  <c r="J61" i="9"/>
  <c r="B61" i="9"/>
  <c r="H60" i="9"/>
  <c r="N59" i="9"/>
  <c r="F59" i="9"/>
  <c r="L58" i="9"/>
  <c r="D58" i="9"/>
  <c r="J57" i="9"/>
  <c r="B57" i="9"/>
  <c r="H56" i="9"/>
  <c r="N55" i="9"/>
  <c r="F55" i="9"/>
  <c r="L54" i="9"/>
  <c r="D54" i="9"/>
  <c r="J53" i="9"/>
  <c r="B53" i="9"/>
  <c r="K67" i="9"/>
  <c r="C67" i="9"/>
  <c r="I66" i="9"/>
  <c r="G65" i="9"/>
  <c r="M64" i="9"/>
  <c r="E64" i="9"/>
  <c r="K63" i="9"/>
  <c r="C63" i="9"/>
  <c r="I62" i="9"/>
  <c r="G61" i="9"/>
  <c r="M60" i="9"/>
  <c r="E60" i="9"/>
  <c r="K59" i="9"/>
  <c r="C59" i="9"/>
  <c r="I58" i="9"/>
  <c r="G57" i="9"/>
  <c r="M56" i="9"/>
  <c r="E56" i="9"/>
  <c r="K55" i="9"/>
  <c r="C55" i="9"/>
  <c r="I54" i="9"/>
  <c r="G53" i="9"/>
  <c r="M52" i="9"/>
  <c r="E52" i="9"/>
  <c r="K51" i="9"/>
  <c r="C51" i="9"/>
  <c r="I50" i="9"/>
  <c r="G49" i="9"/>
  <c r="M48" i="9"/>
  <c r="E48" i="9"/>
  <c r="K47" i="9"/>
  <c r="C47" i="9"/>
  <c r="I46" i="9"/>
  <c r="G45" i="9"/>
  <c r="M44" i="9"/>
  <c r="E44" i="9"/>
  <c r="I40" i="9"/>
  <c r="G39" i="9"/>
  <c r="M38" i="9"/>
  <c r="E38" i="9"/>
  <c r="K37" i="9"/>
  <c r="C37" i="9"/>
  <c r="I36" i="9"/>
  <c r="G35" i="9"/>
  <c r="M34" i="9"/>
  <c r="E34" i="9"/>
  <c r="K33" i="9"/>
  <c r="C33" i="9"/>
  <c r="I32" i="9"/>
  <c r="G31" i="9"/>
  <c r="M30" i="9"/>
  <c r="E30" i="9"/>
  <c r="K29" i="9"/>
  <c r="C29" i="9"/>
  <c r="I28" i="9"/>
  <c r="G27" i="9"/>
  <c r="M26" i="9"/>
  <c r="E26" i="9"/>
  <c r="K25" i="9"/>
  <c r="C25" i="9"/>
  <c r="I24" i="9"/>
  <c r="G23" i="9"/>
  <c r="M22" i="9"/>
  <c r="E22" i="9"/>
  <c r="D67" i="9"/>
  <c r="G66" i="9"/>
  <c r="K65" i="9"/>
  <c r="N64" i="9"/>
  <c r="C64" i="9"/>
  <c r="G63" i="9"/>
  <c r="J62" i="9"/>
  <c r="M61" i="9"/>
  <c r="C61" i="9"/>
  <c r="F60" i="9"/>
  <c r="I59" i="9"/>
  <c r="M58" i="9"/>
  <c r="B58" i="9"/>
  <c r="E57" i="9"/>
  <c r="I56" i="9"/>
  <c r="L55" i="9"/>
  <c r="E54" i="9"/>
  <c r="H53" i="9"/>
  <c r="K52" i="9"/>
  <c r="B52" i="9"/>
  <c r="G51" i="9"/>
  <c r="L50" i="9"/>
  <c r="C50" i="9"/>
  <c r="H49" i="9"/>
  <c r="L48" i="9"/>
  <c r="C48" i="9"/>
  <c r="H47" i="9"/>
  <c r="M46" i="9"/>
  <c r="D46" i="9"/>
  <c r="I45" i="9"/>
  <c r="N44" i="9"/>
  <c r="D44" i="9"/>
  <c r="N40" i="9"/>
  <c r="E40" i="9"/>
  <c r="J39" i="9"/>
  <c r="F38" i="9"/>
  <c r="J37" i="9"/>
  <c r="F36" i="9"/>
  <c r="K35" i="9"/>
  <c r="B35" i="9"/>
  <c r="G34" i="9"/>
  <c r="L33" i="9"/>
  <c r="B33" i="9"/>
  <c r="G32" i="9"/>
  <c r="L31" i="9"/>
  <c r="C31" i="9"/>
  <c r="H30" i="9"/>
  <c r="M29" i="9"/>
  <c r="D29" i="9"/>
  <c r="H28" i="9"/>
  <c r="M27" i="9"/>
  <c r="D27" i="9"/>
  <c r="I26" i="9"/>
  <c r="N25" i="9"/>
  <c r="E25" i="9"/>
  <c r="J24" i="9"/>
  <c r="N23" i="9"/>
  <c r="E23" i="9"/>
  <c r="J22" i="9"/>
  <c r="G21" i="9"/>
  <c r="M20" i="9"/>
  <c r="E20" i="9"/>
  <c r="K19" i="9"/>
  <c r="C19" i="9"/>
  <c r="I18" i="9"/>
  <c r="G17" i="9"/>
  <c r="M16" i="9"/>
  <c r="E16" i="9"/>
  <c r="K15" i="9"/>
  <c r="C15" i="9"/>
  <c r="I14" i="9"/>
  <c r="G13" i="9"/>
  <c r="G9" i="9"/>
  <c r="C11" i="9"/>
  <c r="M12" i="9"/>
  <c r="L14" i="9"/>
  <c r="B16" i="9"/>
  <c r="F19" i="9"/>
  <c r="N21" i="9"/>
  <c r="D24" i="9"/>
  <c r="C27" i="9"/>
  <c r="C30" i="9"/>
  <c r="N30" i="9"/>
  <c r="F32" i="9"/>
  <c r="N33" i="9"/>
  <c r="J34" i="9"/>
  <c r="F35" i="9"/>
  <c r="C36" i="9"/>
  <c r="M36" i="9"/>
  <c r="I37" i="9"/>
  <c r="G38" i="9"/>
  <c r="C39" i="9"/>
  <c r="M39" i="9"/>
  <c r="J40" i="9"/>
  <c r="B44" i="9"/>
  <c r="L44" i="9"/>
  <c r="J45" i="9"/>
  <c r="F46" i="9"/>
  <c r="B47" i="9"/>
  <c r="M47" i="9"/>
  <c r="I48" i="9"/>
  <c r="E49" i="9"/>
  <c r="B50" i="9"/>
  <c r="M50" i="9"/>
  <c r="I51" i="9"/>
  <c r="F52" i="9"/>
  <c r="C53" i="9"/>
  <c r="N53" i="9"/>
  <c r="M54" i="9"/>
  <c r="J55" i="9"/>
  <c r="J56" i="9"/>
  <c r="H57" i="9"/>
  <c r="F58" i="9"/>
  <c r="D59" i="9"/>
  <c r="B60" i="9"/>
  <c r="N60" i="9"/>
  <c r="L61" i="9"/>
  <c r="K62" i="9"/>
  <c r="I63" i="9"/>
  <c r="G64" i="9"/>
  <c r="E65" i="9"/>
  <c r="C66" i="9"/>
  <c r="M67" i="9"/>
  <c r="O73" i="9"/>
  <c r="N11" i="9"/>
  <c r="B12" i="9"/>
  <c r="C12" i="9"/>
  <c r="E15" i="9"/>
  <c r="F9" i="9"/>
  <c r="J11" i="9"/>
  <c r="B14" i="9"/>
  <c r="M8" i="9"/>
  <c r="E12" i="9"/>
  <c r="C14" i="9"/>
  <c r="K16" i="9"/>
  <c r="B18" i="9"/>
  <c r="J20" i="9"/>
  <c r="K22" i="9"/>
  <c r="N24" i="9"/>
  <c r="G26" i="9"/>
  <c r="K28" i="9"/>
  <c r="B10" i="9"/>
  <c r="D11" i="9"/>
  <c r="F12" i="9"/>
  <c r="I13" i="9"/>
  <c r="H15" i="9"/>
  <c r="L16" i="9"/>
  <c r="C18" i="9"/>
  <c r="L18" i="9"/>
  <c r="B20" i="9"/>
  <c r="F21" i="9"/>
  <c r="I23" i="9"/>
  <c r="L25" i="9"/>
  <c r="E59" i="9"/>
  <c r="C60" i="9"/>
  <c r="N61" i="9"/>
  <c r="M62" i="9"/>
  <c r="J63" i="9"/>
  <c r="I64" i="9"/>
  <c r="F65" i="9"/>
  <c r="E66" i="9"/>
  <c r="B67" i="9"/>
  <c r="H85" i="9"/>
  <c r="F11" i="9"/>
  <c r="J8" i="9"/>
  <c r="H11" i="9"/>
  <c r="C8" i="9"/>
  <c r="K12" i="9"/>
  <c r="N15" i="9"/>
  <c r="D8" i="9"/>
  <c r="H10" i="9"/>
  <c r="L12" i="9"/>
  <c r="F15" i="9"/>
  <c r="E8" i="9"/>
  <c r="I10" i="9"/>
  <c r="K11" i="9"/>
  <c r="H13" i="9"/>
  <c r="G15" i="9"/>
  <c r="F17" i="9"/>
  <c r="K18" i="9"/>
  <c r="E21" i="9"/>
  <c r="H23" i="9"/>
  <c r="J25" i="9"/>
  <c r="N27" i="9"/>
  <c r="G29" i="9"/>
  <c r="J31" i="9"/>
  <c r="D33" i="9"/>
  <c r="F8" i="9"/>
  <c r="N8" i="9"/>
  <c r="H9" i="9"/>
  <c r="J10" i="9"/>
  <c r="L11" i="9"/>
  <c r="N12" i="9"/>
  <c r="D14" i="9"/>
  <c r="M14" i="9"/>
  <c r="C16" i="9"/>
  <c r="H17" i="9"/>
  <c r="G19" i="9"/>
  <c r="K20" i="9"/>
  <c r="B22" i="9"/>
  <c r="L22" i="9"/>
  <c r="E24" i="9"/>
  <c r="H26" i="9"/>
  <c r="E27" i="9"/>
  <c r="B28" i="9"/>
  <c r="L28" i="9"/>
  <c r="H29" i="9"/>
  <c r="D30" i="9"/>
  <c r="K31" i="9"/>
  <c r="H32" i="9"/>
  <c r="E33" i="9"/>
  <c r="K34" i="9"/>
  <c r="H35" i="9"/>
  <c r="D36" i="9"/>
  <c r="N36" i="9"/>
  <c r="L37" i="9"/>
  <c r="H38" i="9"/>
  <c r="D39" i="9"/>
  <c r="N39" i="9"/>
  <c r="K40" i="9"/>
  <c r="C44" i="9"/>
  <c r="K45" i="9"/>
  <c r="G46" i="9"/>
  <c r="D47" i="9"/>
  <c r="N47" i="9"/>
  <c r="J48" i="9"/>
  <c r="F49" i="9"/>
  <c r="D50" i="9"/>
  <c r="N50" i="9"/>
  <c r="J51" i="9"/>
  <c r="G52" i="9"/>
  <c r="D53" i="9"/>
  <c r="B54" i="9"/>
  <c r="N54" i="9"/>
  <c r="M55" i="9"/>
  <c r="K56" i="9"/>
  <c r="I57" i="9"/>
  <c r="G58" i="9"/>
  <c r="G8" i="9"/>
  <c r="I9" i="9"/>
  <c r="C10" i="9"/>
  <c r="K10" i="9"/>
  <c r="E11" i="9"/>
  <c r="M11" i="9"/>
  <c r="G12" i="9"/>
  <c r="J13" i="9"/>
  <c r="E14" i="9"/>
  <c r="N14" i="9"/>
  <c r="I15" i="9"/>
  <c r="D16" i="9"/>
  <c r="N16" i="9"/>
  <c r="I17" i="9"/>
  <c r="D18" i="9"/>
  <c r="M18" i="9"/>
  <c r="H19" i="9"/>
  <c r="C20" i="9"/>
  <c r="L20" i="9"/>
  <c r="H21" i="9"/>
  <c r="C22" i="9"/>
  <c r="N22" i="9"/>
  <c r="J23" i="9"/>
  <c r="F24" i="9"/>
  <c r="B25" i="9"/>
  <c r="M25" i="9"/>
  <c r="J26" i="9"/>
  <c r="F27" i="9"/>
  <c r="C28" i="9"/>
  <c r="M28" i="9"/>
  <c r="I29" i="9"/>
  <c r="F30" i="9"/>
  <c r="B31" i="9"/>
  <c r="M31" i="9"/>
  <c r="J32" i="9"/>
  <c r="F33" i="9"/>
  <c r="B34" i="9"/>
  <c r="L34" i="9"/>
  <c r="I35" i="9"/>
  <c r="E36" i="9"/>
  <c r="B37" i="9"/>
  <c r="M37" i="9"/>
  <c r="I38" i="9"/>
  <c r="E39" i="9"/>
  <c r="B40" i="9"/>
  <c r="L40" i="9"/>
  <c r="F44" i="9"/>
  <c r="B45" i="9"/>
  <c r="L45" i="9"/>
  <c r="H46" i="9"/>
  <c r="E47" i="9"/>
  <c r="K48" i="9"/>
  <c r="I49" i="9"/>
  <c r="E50" i="9"/>
  <c r="L51" i="9"/>
  <c r="H52" i="9"/>
  <c r="E53" i="9"/>
  <c r="C54" i="9"/>
  <c r="B55" i="9"/>
  <c r="L56" i="9"/>
  <c r="K57" i="9"/>
  <c r="H58" i="9"/>
  <c r="G59" i="9"/>
  <c r="D60" i="9"/>
  <c r="D61" i="9"/>
  <c r="B62" i="9"/>
  <c r="N62" i="9"/>
  <c r="L63" i="9"/>
  <c r="J64" i="9"/>
  <c r="H65" i="9"/>
  <c r="F66" i="9"/>
  <c r="E67" i="9"/>
  <c r="I85" i="9"/>
  <c r="H8" i="9"/>
  <c r="H12" i="9"/>
  <c r="B13" i="9"/>
  <c r="K13" i="9"/>
  <c r="F14" i="9"/>
  <c r="J15" i="9"/>
  <c r="F16" i="9"/>
  <c r="J17" i="9"/>
  <c r="E18" i="9"/>
  <c r="N18" i="9"/>
  <c r="I19" i="9"/>
  <c r="D20" i="9"/>
  <c r="N20" i="9"/>
  <c r="I21" i="9"/>
  <c r="D22" i="9"/>
  <c r="K23" i="9"/>
  <c r="G24" i="9"/>
  <c r="D25" i="9"/>
  <c r="K26" i="9"/>
  <c r="H27" i="9"/>
  <c r="D28" i="9"/>
  <c r="N28" i="9"/>
  <c r="J29" i="9"/>
  <c r="G30" i="9"/>
  <c r="D31" i="9"/>
  <c r="N31" i="9"/>
  <c r="K32" i="9"/>
  <c r="G33" i="9"/>
  <c r="C34" i="9"/>
  <c r="N34" i="9"/>
  <c r="J35" i="9"/>
  <c r="G36" i="9"/>
  <c r="D37" i="9"/>
  <c r="N37" i="9"/>
  <c r="J38" i="9"/>
  <c r="F39" i="9"/>
  <c r="C40" i="9"/>
  <c r="M40" i="9"/>
  <c r="G44" i="9"/>
  <c r="C45" i="9"/>
  <c r="M45" i="9"/>
  <c r="J46" i="9"/>
  <c r="F47" i="9"/>
  <c r="B48" i="9"/>
  <c r="N48" i="9"/>
  <c r="J49" i="9"/>
  <c r="F50" i="9"/>
  <c r="B51" i="9"/>
  <c r="M51" i="9"/>
  <c r="I52" i="9"/>
  <c r="F53" i="9"/>
  <c r="F54" i="9"/>
  <c r="D55" i="9"/>
  <c r="B56" i="9"/>
  <c r="N56" i="9"/>
  <c r="L57" i="9"/>
  <c r="J58" i="9"/>
  <c r="H59" i="9"/>
  <c r="G60" i="9"/>
  <c r="E61" i="9"/>
  <c r="C62" i="9"/>
  <c r="M63" i="9"/>
  <c r="K64" i="9"/>
  <c r="I65" i="9"/>
  <c r="H66" i="9"/>
  <c r="G67" i="9"/>
  <c r="O71" i="9"/>
  <c r="J85" i="9"/>
  <c r="O74" i="9"/>
  <c r="M10" i="9"/>
  <c r="G11" i="9"/>
  <c r="I12" i="9"/>
  <c r="C13" i="9"/>
  <c r="L13" i="9"/>
  <c r="G14" i="9"/>
  <c r="B15" i="9"/>
  <c r="L15" i="9"/>
  <c r="G16" i="9"/>
  <c r="B17" i="9"/>
  <c r="K17" i="9"/>
  <c r="F18" i="9"/>
  <c r="J19" i="9"/>
  <c r="F20" i="9"/>
  <c r="J21" i="9"/>
  <c r="F22" i="9"/>
  <c r="B23" i="9"/>
  <c r="L23" i="9"/>
  <c r="H24" i="9"/>
  <c r="F25" i="9"/>
  <c r="B26" i="9"/>
  <c r="L26" i="9"/>
  <c r="I27" i="9"/>
  <c r="E28" i="9"/>
  <c r="L29" i="9"/>
  <c r="I30" i="9"/>
  <c r="E31" i="9"/>
  <c r="B32" i="9"/>
  <c r="L32" i="9"/>
  <c r="H33" i="9"/>
  <c r="D34" i="9"/>
  <c r="L35" i="9"/>
  <c r="H36" i="9"/>
  <c r="E37" i="9"/>
  <c r="K38" i="9"/>
  <c r="H39" i="9"/>
  <c r="D40" i="9"/>
  <c r="H44" i="9"/>
  <c r="D45" i="9"/>
  <c r="N45" i="9"/>
  <c r="K46" i="9"/>
  <c r="G47" i="9"/>
  <c r="D48" i="9"/>
  <c r="K49" i="9"/>
  <c r="G50" i="9"/>
  <c r="D51" i="9"/>
  <c r="N51" i="9"/>
  <c r="J52" i="9"/>
  <c r="I53" i="9"/>
  <c r="G54" i="9"/>
  <c r="E55" i="9"/>
  <c r="C56" i="9"/>
  <c r="M57" i="9"/>
  <c r="K58" i="9"/>
  <c r="J59" i="9"/>
  <c r="I60" i="9"/>
  <c r="F61" i="9"/>
  <c r="E62" i="9"/>
  <c r="B63" i="9"/>
  <c r="L64" i="9"/>
  <c r="L65" i="9"/>
  <c r="J66" i="9"/>
  <c r="H67" i="9"/>
  <c r="B9" i="9"/>
  <c r="C9" i="9"/>
  <c r="D9" i="9"/>
  <c r="J12" i="9"/>
  <c r="D13" i="9"/>
  <c r="M13" i="9"/>
  <c r="H14" i="9"/>
  <c r="D15" i="9"/>
  <c r="M15" i="9"/>
  <c r="H16" i="9"/>
  <c r="C17" i="9"/>
  <c r="L17" i="9"/>
  <c r="G18" i="9"/>
  <c r="B19" i="9"/>
  <c r="L19" i="9"/>
  <c r="G20" i="9"/>
  <c r="B21" i="9"/>
  <c r="K21" i="9"/>
  <c r="G22" i="9"/>
  <c r="C23" i="9"/>
  <c r="M23" i="9"/>
  <c r="K24" i="9"/>
  <c r="G25" i="9"/>
  <c r="C26" i="9"/>
  <c r="N26" i="9"/>
  <c r="J27" i="9"/>
  <c r="F28" i="9"/>
  <c r="B29" i="9"/>
  <c r="N29" i="9"/>
  <c r="J30" i="9"/>
  <c r="F31" i="9"/>
  <c r="C32" i="9"/>
  <c r="M32" i="9"/>
  <c r="I33" i="9"/>
  <c r="F34" i="9"/>
  <c r="C35" i="9"/>
  <c r="M35" i="9"/>
  <c r="J36" i="9"/>
  <c r="F37" i="9"/>
  <c r="B38" i="9"/>
  <c r="L38" i="9"/>
  <c r="I39" i="9"/>
  <c r="F40" i="9"/>
  <c r="I44" i="9"/>
  <c r="E45" i="9"/>
  <c r="B46" i="9"/>
  <c r="L46" i="9"/>
  <c r="I47" i="9"/>
  <c r="F48" i="9"/>
  <c r="B49" i="9"/>
  <c r="L49" i="9"/>
  <c r="H50" i="9"/>
  <c r="E51" i="9"/>
  <c r="L52" i="9"/>
  <c r="K53" i="9"/>
  <c r="H54" i="9"/>
  <c r="G55" i="9"/>
  <c r="D56" i="9"/>
  <c r="C57" i="9"/>
  <c r="N57" i="9"/>
  <c r="N58" i="9"/>
  <c r="L59" i="9"/>
  <c r="J60" i="9"/>
  <c r="H61" i="9"/>
  <c r="F62" i="9"/>
  <c r="D63" i="9"/>
  <c r="B64" i="9"/>
  <c r="M65" i="9"/>
  <c r="K66" i="9"/>
  <c r="I67" i="9"/>
  <c r="J9" i="9"/>
  <c r="E10" i="9"/>
  <c r="L9" i="9"/>
  <c r="K8" i="9"/>
  <c r="G10" i="9"/>
  <c r="N13" i="9"/>
  <c r="D17" i="9"/>
  <c r="M17" i="9"/>
  <c r="H18" i="9"/>
  <c r="D19" i="9"/>
  <c r="M19" i="9"/>
  <c r="H20" i="9"/>
  <c r="C21" i="9"/>
  <c r="L21" i="9"/>
  <c r="H22" i="9"/>
  <c r="D23" i="9"/>
  <c r="B24" i="9"/>
  <c r="L24" i="9"/>
  <c r="H25" i="9"/>
  <c r="D26" i="9"/>
  <c r="K27" i="9"/>
  <c r="G28" i="9"/>
  <c r="E29" i="9"/>
  <c r="K30" i="9"/>
  <c r="H31" i="9"/>
  <c r="D32" i="9"/>
  <c r="N32" i="9"/>
  <c r="J33" i="9"/>
  <c r="H34" i="9"/>
  <c r="D35" i="9"/>
  <c r="N35" i="9"/>
  <c r="K36" i="9"/>
  <c r="G37" i="9"/>
  <c r="C38" i="9"/>
  <c r="N38" i="9"/>
  <c r="K39" i="9"/>
  <c r="G40" i="9"/>
  <c r="J44" i="9"/>
  <c r="F45" i="9"/>
  <c r="C46" i="9"/>
  <c r="N46" i="9"/>
  <c r="J47" i="9"/>
  <c r="G48" i="9"/>
  <c r="C49" i="9"/>
  <c r="M49" i="9"/>
  <c r="J50" i="9"/>
  <c r="F51" i="9"/>
  <c r="C52" i="9"/>
  <c r="N52" i="9"/>
  <c r="L53" i="9"/>
  <c r="J54" i="9"/>
  <c r="H55" i="9"/>
  <c r="F56" i="9"/>
  <c r="D57" i="9"/>
  <c r="C58" i="9"/>
  <c r="M59" i="9"/>
  <c r="K60" i="9"/>
  <c r="I61" i="9"/>
  <c r="G62" i="9"/>
  <c r="E63" i="9"/>
  <c r="D64" i="9"/>
  <c r="C65" i="9"/>
  <c r="N65" i="9"/>
  <c r="M66" i="9"/>
  <c r="J67" i="9"/>
  <c r="L10" i="9"/>
  <c r="I8" i="9"/>
  <c r="B8" i="9"/>
  <c r="N10" i="9"/>
  <c r="E9" i="9"/>
  <c r="I11" i="9"/>
  <c r="J14" i="9"/>
  <c r="L8" i="9"/>
  <c r="B11" i="9"/>
  <c r="O11" i="9" s="1"/>
  <c r="F13" i="9"/>
  <c r="J16" i="9"/>
  <c r="E17" i="9"/>
  <c r="N17" i="9"/>
  <c r="E19" i="9"/>
  <c r="N19" i="9"/>
  <c r="I20" i="9"/>
  <c r="D21" i="9"/>
  <c r="M21" i="9"/>
  <c r="I22" i="9"/>
  <c r="F23" i="9"/>
  <c r="C24" i="9"/>
  <c r="M24" i="9"/>
  <c r="I25" i="9"/>
  <c r="F26" i="9"/>
  <c r="B27" i="9"/>
  <c r="L27" i="9"/>
  <c r="J28" i="9"/>
  <c r="F29" i="9"/>
  <c r="B30" i="9"/>
  <c r="L30" i="9"/>
  <c r="I31" i="9"/>
  <c r="E32" i="9"/>
  <c r="M33" i="9"/>
  <c r="I34" i="9"/>
  <c r="E35" i="9"/>
  <c r="B36" i="9"/>
  <c r="O36" i="9" s="1"/>
  <c r="L36" i="9"/>
  <c r="H37" i="9"/>
  <c r="D38" i="9"/>
  <c r="B39" i="9"/>
  <c r="L39" i="9"/>
  <c r="H40" i="9"/>
  <c r="K44" i="9"/>
  <c r="K68" i="9" s="1"/>
  <c r="H45" i="9"/>
  <c r="E46" i="9"/>
  <c r="L47" i="9"/>
  <c r="H48" i="9"/>
  <c r="D49" i="9"/>
  <c r="N49" i="9"/>
  <c r="K50" i="9"/>
  <c r="H51" i="9"/>
  <c r="D52" i="9"/>
  <c r="M53" i="9"/>
  <c r="K54" i="9"/>
  <c r="I55" i="9"/>
  <c r="G56" i="9"/>
  <c r="F57" i="9"/>
  <c r="E58" i="9"/>
  <c r="B59" i="9"/>
  <c r="O59" i="9" s="1"/>
  <c r="L60" i="9"/>
  <c r="K61" i="9"/>
  <c r="H62" i="9"/>
  <c r="H63" i="9"/>
  <c r="F64" i="9"/>
  <c r="D65" i="9"/>
  <c r="B66" i="9"/>
  <c r="N66" i="9"/>
  <c r="L67" i="9"/>
  <c r="F85" i="9"/>
  <c r="N85" i="9"/>
  <c r="O76" i="9"/>
  <c r="O79" i="9"/>
  <c r="O75" i="9"/>
  <c r="O84" i="9"/>
  <c r="O81" i="9"/>
  <c r="B85" i="9"/>
  <c r="O27" i="9" l="1"/>
  <c r="O39" i="9"/>
  <c r="L41" i="9"/>
  <c r="O24" i="9"/>
  <c r="H68" i="9"/>
  <c r="O85" i="9"/>
  <c r="O13" i="9"/>
  <c r="D41" i="9"/>
  <c r="O67" i="9"/>
  <c r="O61" i="9"/>
  <c r="O46" i="9"/>
  <c r="O19" i="9"/>
  <c r="O26" i="9"/>
  <c r="O55" i="9"/>
  <c r="O54" i="9"/>
  <c r="O57" i="9"/>
  <c r="O66" i="9"/>
  <c r="O32" i="9"/>
  <c r="H41" i="9"/>
  <c r="O62" i="9"/>
  <c r="O22" i="9"/>
  <c r="O18" i="9"/>
  <c r="L68" i="9"/>
  <c r="O35" i="9"/>
  <c r="D68" i="9"/>
  <c r="O53" i="9"/>
  <c r="O30" i="9"/>
  <c r="J68" i="9"/>
  <c r="I68" i="9"/>
  <c r="O29" i="9"/>
  <c r="O63" i="9"/>
  <c r="O51" i="9"/>
  <c r="O37" i="9"/>
  <c r="O31" i="9"/>
  <c r="O25" i="9"/>
  <c r="G41" i="9"/>
  <c r="C41" i="9"/>
  <c r="O50" i="9"/>
  <c r="O44" i="9"/>
  <c r="B68" i="9"/>
  <c r="N68" i="9"/>
  <c r="K41" i="9"/>
  <c r="O64" i="9"/>
  <c r="O17" i="9"/>
  <c r="G68" i="9"/>
  <c r="O45" i="9"/>
  <c r="E41" i="9"/>
  <c r="O20" i="9"/>
  <c r="O10" i="9"/>
  <c r="O12" i="9"/>
  <c r="O23" i="9"/>
  <c r="O56" i="9"/>
  <c r="F68" i="9"/>
  <c r="C68" i="9"/>
  <c r="O28" i="9"/>
  <c r="N41" i="9"/>
  <c r="J41" i="9"/>
  <c r="O16" i="9"/>
  <c r="O58" i="9"/>
  <c r="O49" i="9"/>
  <c r="I41" i="9"/>
  <c r="O21" i="9"/>
  <c r="O9" i="9"/>
  <c r="F41" i="9"/>
  <c r="M41" i="9"/>
  <c r="O52" i="9"/>
  <c r="E68" i="9"/>
  <c r="B41" i="9"/>
  <c r="O8" i="9"/>
  <c r="O38" i="9"/>
  <c r="O15" i="9"/>
  <c r="O48" i="9"/>
  <c r="O40" i="9"/>
  <c r="O34" i="9"/>
  <c r="O14" i="9"/>
  <c r="O60" i="9"/>
  <c r="O47" i="9"/>
  <c r="O33" i="9"/>
  <c r="M68" i="9"/>
  <c r="O65" i="9"/>
  <c r="O68" i="9" l="1"/>
  <c r="O41" i="9"/>
</calcChain>
</file>

<file path=xl/sharedStrings.xml><?xml version="1.0" encoding="utf-8"?>
<sst xmlns="http://schemas.openxmlformats.org/spreadsheetml/2006/main" count="25729" uniqueCount="2987">
  <si>
    <t>HDFC Bank Narration Sheet</t>
  </si>
  <si>
    <t>Colour Legend of Categories:</t>
  </si>
  <si>
    <t>SIP</t>
  </si>
  <si>
    <t>HDFC Securities - Settlement</t>
  </si>
  <si>
    <t>HDFC Securities - Buy</t>
  </si>
  <si>
    <t>HDFC Securities - Sell</t>
  </si>
  <si>
    <t>Annuity Income</t>
  </si>
  <si>
    <t>Bank Charges</t>
  </si>
  <si>
    <t>Cash Withdrawal</t>
  </si>
  <si>
    <t>Depository Charges</t>
  </si>
  <si>
    <t>Received - Dnyaneshwar Kuyate</t>
  </si>
  <si>
    <t>UPI - Amazon</t>
  </si>
  <si>
    <t>Received - Ashok  Divedi</t>
  </si>
  <si>
    <t>UPI - Fresh Produce</t>
  </si>
  <si>
    <t>UPI - MedPlus</t>
  </si>
  <si>
    <t>Transfer - Sunita Gupta</t>
  </si>
  <si>
    <t>Received - Ajay Gupta</t>
  </si>
  <si>
    <t>Dividend Income</t>
  </si>
  <si>
    <t>Transfer - Archit Gupta</t>
  </si>
  <si>
    <t>Received - Sunita Gupta</t>
  </si>
  <si>
    <t>Received - Archit Gupta</t>
  </si>
  <si>
    <t>Lounge Access Charge</t>
  </si>
  <si>
    <t>Bank Interest</t>
  </si>
  <si>
    <t>Securities Settlement</t>
  </si>
  <si>
    <t>Transfer - Ajay Gupta</t>
  </si>
  <si>
    <t>Insurance Premium</t>
  </si>
  <si>
    <t>Equity Buy (JSW Cement)</t>
  </si>
  <si>
    <t>Received - Sunil Kumar Pathak</t>
  </si>
  <si>
    <t>Received - Alok Kumar Gupta</t>
  </si>
  <si>
    <t>MF Redemption</t>
  </si>
  <si>
    <t>Contra - SBI</t>
  </si>
  <si>
    <t>Date</t>
  </si>
  <si>
    <t>Particulars</t>
  </si>
  <si>
    <t>Ref</t>
  </si>
  <si>
    <t>Value_Date</t>
  </si>
  <si>
    <t>DR</t>
  </si>
  <si>
    <t>CR</t>
  </si>
  <si>
    <t>Balance</t>
  </si>
  <si>
    <t>Beneficiary</t>
  </si>
  <si>
    <t>Human_Narration</t>
  </si>
  <si>
    <t>Auto_Narration</t>
  </si>
  <si>
    <t>Account_Head</t>
  </si>
  <si>
    <t>Confidence</t>
  </si>
  <si>
    <t>Match</t>
  </si>
  <si>
    <t>ACH D- TP ACH INDIANESIGN-1758642535</t>
  </si>
  <si>
    <t>0000006650023609</t>
  </si>
  <si>
    <t>N/A</t>
  </si>
  <si>
    <t>FT- 623432246-50200085415108 - HDFC SECURITIES LTD-CLIENT DSCNB A/C -</t>
  </si>
  <si>
    <t>0000001009359686</t>
  </si>
  <si>
    <t>HDFC Securities</t>
  </si>
  <si>
    <t>NET PI TO HSL SEC A/C 2554606-00602340029427</t>
  </si>
  <si>
    <t>0000000623593417</t>
  </si>
  <si>
    <t>0000000623760831</t>
  </si>
  <si>
    <t>FT- 623852638-50200085415108 - HDFC SECURITIES LTD-CLIENT DSCNB A/C -</t>
  </si>
  <si>
    <t>0000001010969056</t>
  </si>
  <si>
    <t>0000000624008014</t>
  </si>
  <si>
    <t>FT- 624254248-50200085415108 - HDFC SECURITIES LTD-CLIENT DSCNB A/C -</t>
  </si>
  <si>
    <t>0000001012795998</t>
  </si>
  <si>
    <t>0000000624385290</t>
  </si>
  <si>
    <t>NET PO FROM HSL A/C 2554606-50200085415108</t>
  </si>
  <si>
    <t>0000000624619061</t>
  </si>
  <si>
    <t>HDFCLIFE CENTR-038144668</t>
  </si>
  <si>
    <t>0000504070711353</t>
  </si>
  <si>
    <t>Annuity</t>
  </si>
  <si>
    <t>0000000624943357</t>
  </si>
  <si>
    <t>0000000625232784</t>
  </si>
  <si>
    <t>ISAQMC-OCT-DEC24-417944 130325-MIR2609890209148</t>
  </si>
  <si>
    <t>MIR2609890209148</t>
  </si>
  <si>
    <t>0000000625532003</t>
  </si>
  <si>
    <t>0000000625624965</t>
  </si>
  <si>
    <t>0000000625666983</t>
  </si>
  <si>
    <t>0000000625935884</t>
  </si>
  <si>
    <t>0000000626082949</t>
  </si>
  <si>
    <t>0000000626391621</t>
  </si>
  <si>
    <t>FT- 626617006-50200085415108 - HDFC SECURITIES LTD-CLIENT DSCNB A/C -</t>
  </si>
  <si>
    <t>0000001027351610</t>
  </si>
  <si>
    <t>0000000626859119</t>
  </si>
  <si>
    <t>ATW-652166XXXXXX7402-S1ANMN04-NASHIK</t>
  </si>
  <si>
    <t>0000000000005703</t>
  </si>
  <si>
    <t>Cash</t>
  </si>
  <si>
    <t>0000000626975193</t>
  </si>
  <si>
    <t>0000000627217106</t>
  </si>
  <si>
    <t>DEPOSITORY CHARGES MAR25 - 52812428</t>
  </si>
  <si>
    <t>000000000000000</t>
  </si>
  <si>
    <t>FT- 627466758-50200085415108 - HDFC SECURITIES LTD-CLIENT DSCNB A/C -</t>
  </si>
  <si>
    <t>0000001030182122</t>
  </si>
  <si>
    <t>FT- 627438941-50200085415108 - HDFC SECURITIES LTD-CLIENT DSCNB A/C -</t>
  </si>
  <si>
    <t>0000001030124904</t>
  </si>
  <si>
    <t>0000000627574414</t>
  </si>
  <si>
    <t>UPI-DNYANESHWAR KUYATE-9974953233@AXL-HDFC0000305-386224665882-PAYMENT FROM PHONE</t>
  </si>
  <si>
    <t>0000386224665882</t>
  </si>
  <si>
    <t>Personal</t>
  </si>
  <si>
    <t>FT- 627809473-50200085415108 - HDFC SECURITIES LTD-CLIENT DSCNB A/C -</t>
  </si>
  <si>
    <t>0000001033410536</t>
  </si>
  <si>
    <t>0000000628023037</t>
  </si>
  <si>
    <t>FT- 628269322-50200085415108 - HDFC SECURITIES LTD-CLIENT DSCNB A/C -</t>
  </si>
  <si>
    <t>0000001034562524</t>
  </si>
  <si>
    <t>0000000628412988</t>
  </si>
  <si>
    <t>0000000628590529</t>
  </si>
  <si>
    <t>0000000628817135</t>
  </si>
  <si>
    <t>0000000628927341</t>
  </si>
  <si>
    <t>FT- 629052647-50200085415108 - HDFC SECURITIES LTD-CLIENT DSCNB A/C -</t>
  </si>
  <si>
    <t>0000001037366543</t>
  </si>
  <si>
    <t>0000000629191309</t>
  </si>
  <si>
    <t>0000000629340272</t>
  </si>
  <si>
    <t>0000000629584719</t>
  </si>
  <si>
    <t>0000000629760097</t>
  </si>
  <si>
    <t>ACH D- TP ACH INDIANESIGN-1788634149</t>
  </si>
  <si>
    <t>0000007607192044</t>
  </si>
  <si>
    <t>0000000630058183</t>
  </si>
  <si>
    <t>UPI-AMAZON PAY-AMAZONPAYHFC@APL-UTIB0000100-511855542450-YOU ARE PAYING FOR</t>
  </si>
  <si>
    <t>0000511855542450</t>
  </si>
  <si>
    <t>Shopping</t>
  </si>
  <si>
    <t>0000000630166745</t>
  </si>
  <si>
    <t>FT- 630281837-50200085415108 - HDFC SECURITIES LTD-CLIENT DSCNB A/C -</t>
  </si>
  <si>
    <t>0000001042506406</t>
  </si>
  <si>
    <t>FT- 630254071-50200085415108 - HDFC SECURITIES LTD-CLIENT DSCNB A/C -</t>
  </si>
  <si>
    <t>0000001042528896</t>
  </si>
  <si>
    <t>0000000630404015</t>
  </si>
  <si>
    <t>0000000630528132</t>
  </si>
  <si>
    <t>UPI-ASHOK  DIVEDI-9694131651@YBL-SBIN0031436-076528809621-PAYMENT FROM PHONE</t>
  </si>
  <si>
    <t>0000076528809621</t>
  </si>
  <si>
    <t>FT- 630623081-50200085415108 - HDFC SECURITIES LTD-CLIENT DSCNB A/C -</t>
  </si>
  <si>
    <t>0000001044119288</t>
  </si>
  <si>
    <t>ACH D- TP ACH INDIANESIGN-1790216617</t>
  </si>
  <si>
    <t>0000007689791689</t>
  </si>
  <si>
    <t>0000000630752531</t>
  </si>
  <si>
    <t>0000000630920520</t>
  </si>
  <si>
    <t>0000000631242012</t>
  </si>
  <si>
    <t>UPI-PANKAJ VERMA-PV187027@OKHDFCBANK-IPOS0000001-515908483499-FRUIT</t>
  </si>
  <si>
    <t>0000515908483499</t>
  </si>
  <si>
    <t>Groceries</t>
  </si>
  <si>
    <t>UPI-JALINDAR SUKDEV SALV-PAYTM.S1CTUSY@PTY-YESB0MCHUPI-812060104821-FRUIT</t>
  </si>
  <si>
    <t>0000812060104821</t>
  </si>
  <si>
    <t>0000000631386145</t>
  </si>
  <si>
    <t>UPI-MEDPLUS ASHOKAMARG-MEDPLUSASHOKAMARG.61460425@HDFCBANK-HDFC0MERUPI-352811925648-MEDICENE</t>
  </si>
  <si>
    <t>0000352811925648</t>
  </si>
  <si>
    <t>Healthcare</t>
  </si>
  <si>
    <t>0000000631774623</t>
  </si>
  <si>
    <t>0000000631935544</t>
  </si>
  <si>
    <t>0000000631959645</t>
  </si>
  <si>
    <t>FT- 632093301-50200085415108 - HDFC SECURITIES LTD-CLIENT DSCNB A/C -</t>
  </si>
  <si>
    <t>0000001052242527</t>
  </si>
  <si>
    <t>0000000632239586</t>
  </si>
  <si>
    <t>0000000632403169</t>
  </si>
  <si>
    <t>HDFCLIFE CENTR-039508119</t>
  </si>
  <si>
    <t>0000505078861300</t>
  </si>
  <si>
    <t>01671000060094-TPT-BOROW FROM AAYUSH-SUNITA GUPTA</t>
  </si>
  <si>
    <t>0000000392943657</t>
  </si>
  <si>
    <t>Sunita Gupta</t>
  </si>
  <si>
    <t>0000000632653500</t>
  </si>
  <si>
    <t>FT- 632871488-50200085415108 - HDFC SECURITIES LTD-CLIENT DSCNB A/C -</t>
  </si>
  <si>
    <t>0000001056960441</t>
  </si>
  <si>
    <t>FT- 633245524-50200085415108 - HDFC SECURITIES LTD-CLIENT DSCNB A/C -</t>
  </si>
  <si>
    <t>0000001058831212</t>
  </si>
  <si>
    <t>01671000085930-TPT-BOORROW BY AAYUSH FROM AKG-AJAY KUMAR GUPTA</t>
  </si>
  <si>
    <t>0000000405714658</t>
  </si>
  <si>
    <t>Ajay Gupta</t>
  </si>
  <si>
    <t>0000000633367152</t>
  </si>
  <si>
    <t>0000000633524365</t>
  </si>
  <si>
    <t>UPI-MR DASHARATH KARBHAR-Q148320236@YBL-YESB0YBLUPI-519944364520-FRUITS</t>
  </si>
  <si>
    <t>0000519944364520</t>
  </si>
  <si>
    <t>UPI-VISHWANATH NIVRUTI V-Q461839710@YBL-YESB0YBLUPI-013270649473-FRUITS</t>
  </si>
  <si>
    <t>0000013270649473</t>
  </si>
  <si>
    <t>0000000633782010</t>
  </si>
  <si>
    <t>FT- 633995099-50200085415108 - HDFC SECURITIES LTD-CLIENT DSCNB A/C -</t>
  </si>
  <si>
    <t>0000001063180468</t>
  </si>
  <si>
    <t>0000000634243677</t>
  </si>
  <si>
    <t>0000000634511658</t>
  </si>
  <si>
    <t>FT- 634728658-50200085415108 - HDFC SECURITIES LTD-CLIENT DSCNB A/C -</t>
  </si>
  <si>
    <t>0000001066623952</t>
  </si>
  <si>
    <t>0000000634884323</t>
  </si>
  <si>
    <t>0000000635036593</t>
  </si>
  <si>
    <t>FT- 635144685-50200085415108 - HDFC SECURITIES LTD-CLIENT DSCNB A/C -</t>
  </si>
  <si>
    <t>0000001067974020</t>
  </si>
  <si>
    <t>ACH C- ORACLEFINANCIALSER-00000000000000</t>
  </si>
  <si>
    <t>0000007030850136</t>
  </si>
  <si>
    <t>0000000635304578</t>
  </si>
  <si>
    <t>0000000635446086</t>
  </si>
  <si>
    <t>50100542230922-TPT-BORROW FROM BY ARCHIT FROM AAYUSH-ARCHIT GUPTA</t>
  </si>
  <si>
    <t>0000000758322960</t>
  </si>
  <si>
    <t>Archit Gupta</t>
  </si>
  <si>
    <t>0000000635751625</t>
  </si>
  <si>
    <t>DEPOSITORY CHARGES APR25 - 52812428</t>
  </si>
  <si>
    <t>0000000635904472</t>
  </si>
  <si>
    <t>0000000636186124</t>
  </si>
  <si>
    <t>0000000636376813</t>
  </si>
  <si>
    <t>0000000636629413</t>
  </si>
  <si>
    <t>FT- 636864569-50200085415108 - HDFC SECURITIES LTD-CLIENT DSCNB A/C -</t>
  </si>
  <si>
    <t>0000001074297138</t>
  </si>
  <si>
    <t>01671000060094-TPT-MNY RTRN TO AAYUSH FROM SUNITA-SUNITA GUPTA</t>
  </si>
  <si>
    <t>0000000877183638</t>
  </si>
  <si>
    <t>50100542230922-TPT-FROM AAYUSH TO ARCHIT-ARCHIT GUPTA</t>
  </si>
  <si>
    <t>0000000877211293</t>
  </si>
  <si>
    <t>0000000637030147</t>
  </si>
  <si>
    <t>0000000637174422</t>
  </si>
  <si>
    <t>0000000637422724</t>
  </si>
  <si>
    <t>FT- 637652252-50200085415108 - HDFC SECURITIES LTD-CLIENT DSCNB A/C -</t>
  </si>
  <si>
    <t>0000001078109322</t>
  </si>
  <si>
    <t>0000000637854822</t>
  </si>
  <si>
    <t>0000000637990378</t>
  </si>
  <si>
    <t>0000000638261117</t>
  </si>
  <si>
    <t>0000000638402898</t>
  </si>
  <si>
    <t>ACH D- TP ACH INDIANESIGN-1820838537</t>
  </si>
  <si>
    <t>0000008828926908</t>
  </si>
  <si>
    <t>0000000638663572</t>
  </si>
  <si>
    <t>FT- 638927681-50200085415108 - HDFC SECURITIES LTD-CLIENT DSCNB A/C -</t>
  </si>
  <si>
    <t>0000001082271991</t>
  </si>
  <si>
    <t>0000000639059693</t>
  </si>
  <si>
    <t>FT- 639313608-50200085415108 - HDFC SECURITIES LTD-CLIENT DSCNB A/C -</t>
  </si>
  <si>
    <t>0000001083694841</t>
  </si>
  <si>
    <t>ACH D- TP ACH INDIANESIGN-1822195440</t>
  </si>
  <si>
    <t>0000008887096208</t>
  </si>
  <si>
    <t>ACH C- STATE BANK OF INDIA-6792920</t>
  </si>
  <si>
    <t>0000008877221273</t>
  </si>
  <si>
    <t>0000000639478439</t>
  </si>
  <si>
    <t>0000000639621208</t>
  </si>
  <si>
    <t>0000000639942296</t>
  </si>
  <si>
    <t>0000000640125747</t>
  </si>
  <si>
    <t>FT- 640263546-50200085415108 - HDFC SECURITIES LTD-CLIENT DSCNB A/C -</t>
  </si>
  <si>
    <t>0000001088581862</t>
  </si>
  <si>
    <t>0000000640405087</t>
  </si>
  <si>
    <t>ACH C- LTIMIN FINALDIV24 25-312154</t>
  </si>
  <si>
    <t>0000009040081314</t>
  </si>
  <si>
    <t>0000000640573092</t>
  </si>
  <si>
    <t>JANMAR25 INSTAALERTCHG 38 SMS 040425-MIR2615430835708</t>
  </si>
  <si>
    <t>MIR2615430835708</t>
  </si>
  <si>
    <t>0000000640844597</t>
  </si>
  <si>
    <t>0000000640993402</t>
  </si>
  <si>
    <t>0000000641289697</t>
  </si>
  <si>
    <t>FT- 641552410-50200085415108 - HDFC SECURITIES LTD-CLIENT DSCNB A/C -</t>
  </si>
  <si>
    <t>0000001094068064</t>
  </si>
  <si>
    <t>0000000641734419</t>
  </si>
  <si>
    <t>0000000641873599</t>
  </si>
  <si>
    <t>HDFCLIFE CENTR-041016348</t>
  </si>
  <si>
    <t>0000506073309150</t>
  </si>
  <si>
    <t>0000000642265671</t>
  </si>
  <si>
    <t>FT- 642519291-50200085415108 - HDFC SECURITIES LTD-CLIENT DSCNB A/C -</t>
  </si>
  <si>
    <t>0000001100469985</t>
  </si>
  <si>
    <t>0000000642715323</t>
  </si>
  <si>
    <t>FT- 643006321-50200085415108 - HDFC SECURITIES LTD-CLIENT DSCNB A/C -</t>
  </si>
  <si>
    <t>0000001102371930</t>
  </si>
  <si>
    <t>0000000643162899</t>
  </si>
  <si>
    <t>FT- 643445527-50200085415108 - HDFC SECURITIES LTD-CLIENT DSCNB A/C -</t>
  </si>
  <si>
    <t>0000001103950007</t>
  </si>
  <si>
    <t>ISAQMC-JAN-MAR25-417944 160525-MIR2616346657733</t>
  </si>
  <si>
    <t>MIR2616346657733</t>
  </si>
  <si>
    <t>0000000643613640</t>
  </si>
  <si>
    <t>0000000643787204</t>
  </si>
  <si>
    <t>0000000644089311</t>
  </si>
  <si>
    <t>FT- 644370666-50200085415108 - HDFC SECURITIES LTD-CLIENT DSCNB A/C -</t>
  </si>
  <si>
    <t>0000001108089735</t>
  </si>
  <si>
    <t>0000000644552265</t>
  </si>
  <si>
    <t>FT- 644838714-50200085415108 - HDFC SECURITIES LTD-CLIENT DSCNB A/C -</t>
  </si>
  <si>
    <t>0000001109428625</t>
  </si>
  <si>
    <t>0000000645003065</t>
  </si>
  <si>
    <t>0000000645160028</t>
  </si>
  <si>
    <t>0000000645433417</t>
  </si>
  <si>
    <t>0000000645590439</t>
  </si>
  <si>
    <t>DEPOSITORY CHARGES MAY25 - 52812428</t>
  </si>
  <si>
    <t>0000000645854267</t>
  </si>
  <si>
    <t>0000000646009338</t>
  </si>
  <si>
    <t>0000000646302673</t>
  </si>
  <si>
    <t>FT- 646533444-50200085415108 - HDFC SECURITIES LTD-CLIENT DSCNB A/C -</t>
  </si>
  <si>
    <t>0000001115404744</t>
  </si>
  <si>
    <t>0000000646741800</t>
  </si>
  <si>
    <t>0000000646930283</t>
  </si>
  <si>
    <t>ACH C- TCS FIN DIV 24062025-1497039</t>
  </si>
  <si>
    <t>0000009962574385</t>
  </si>
  <si>
    <t>0000000647186491</t>
  </si>
  <si>
    <t>0000000647343930</t>
  </si>
  <si>
    <t>0000000647627590</t>
  </si>
  <si>
    <t>01671000060094-TPT-MNY RTRN SUN TO AAYU-SUNITA GUPTA</t>
  </si>
  <si>
    <t>0000004340426501</t>
  </si>
  <si>
    <t>A2AINT01-647857540-HDFC SECURITIES LTD-CLIENT DSCNB A/C</t>
  </si>
  <si>
    <t>0000001119449222</t>
  </si>
  <si>
    <t>0000000648048649</t>
  </si>
  <si>
    <t>0000000648169090</t>
  </si>
  <si>
    <t>0000000648436557</t>
  </si>
  <si>
    <t>50100542230922-TPT-REPAYMENT OF LOAN-ARCHIT GUPTA</t>
  </si>
  <si>
    <t>0000000319113478</t>
  </si>
  <si>
    <t>A2AINT01-648689871-HDFC SECURITIES LTD-CLIENT DSCNB A/C</t>
  </si>
  <si>
    <t>0000001124126084</t>
  </si>
  <si>
    <t>ACH D- TP ACH INDIANESIGN-1852970015</t>
  </si>
  <si>
    <t>0000000116361050</t>
  </si>
  <si>
    <t>ACH D- TP ACH INDIANESIGN-1853045049</t>
  </si>
  <si>
    <t>0000000116453347</t>
  </si>
  <si>
    <t>0000000648881023</t>
  </si>
  <si>
    <t>POS 652166XXXXXX7402 TRAVEL CLUB LOUN</t>
  </si>
  <si>
    <t>0000000000099877</t>
  </si>
  <si>
    <t>INTEREST PAID TILL 30-JUN-2025</t>
  </si>
  <si>
    <t>FT- 649162959-50200085415108 - HDFC SECURITIES LTD-CLIENT DSCNB A/C -</t>
  </si>
  <si>
    <t>0000001126566419</t>
  </si>
  <si>
    <t>FT- 649137049-50200085415108 - HDFC SECURITIES LTD-CLIENT DSCNB A/C -</t>
  </si>
  <si>
    <t>0000001126531517</t>
  </si>
  <si>
    <t>HDBFSS/2400024043569509-50200036338720</t>
  </si>
  <si>
    <t>0000000409629541</t>
  </si>
  <si>
    <t>0000000649357300</t>
  </si>
  <si>
    <t>ACH C- POLYCAB INDIA LTD-000000000000022</t>
  </si>
  <si>
    <t>0000007073995182</t>
  </si>
  <si>
    <t>0000000649500463</t>
  </si>
  <si>
    <t>ACH C- BANK OF BARODA-12598639</t>
  </si>
  <si>
    <t>0000000238956512</t>
  </si>
  <si>
    <t>0000000649802904</t>
  </si>
  <si>
    <t>0000000649973193</t>
  </si>
  <si>
    <t>UPI-SUNITA GUPTA-AJAYGUPTANEL1@AXL-HDFC0000167-323117373034-FROM AAYUSH</t>
  </si>
  <si>
    <t>0000323117373034</t>
  </si>
  <si>
    <t>UPI-AJAY KUMAR GUPTA-AJAYGUPTANEL@AXL-HDFC0000167-943184899019-FROM AATUSH</t>
  </si>
  <si>
    <t>0000943184899019</t>
  </si>
  <si>
    <t>0000000650277592</t>
  </si>
  <si>
    <t>0000000650429380</t>
  </si>
  <si>
    <t>0000000650733457</t>
  </si>
  <si>
    <t>0000000650889908</t>
  </si>
  <si>
    <t>HDFCLIFE CENTR-042693929</t>
  </si>
  <si>
    <t>0000507070161160</t>
  </si>
  <si>
    <t>0000000651308323</t>
  </si>
  <si>
    <t>0000000651486505</t>
  </si>
  <si>
    <t>0000000651761488</t>
  </si>
  <si>
    <t>0000000651921498</t>
  </si>
  <si>
    <t>0000000652206397</t>
  </si>
  <si>
    <t>0000000652351448</t>
  </si>
  <si>
    <t>0000000652671985</t>
  </si>
  <si>
    <t>0000000652821937</t>
  </si>
  <si>
    <t>0000000653120834</t>
  </si>
  <si>
    <t>0000000653307472</t>
  </si>
  <si>
    <t>0000000653617233</t>
  </si>
  <si>
    <t>A2AINT01-653891469-HDFC SECURITIES LTD-CLIENT DSCNB A/C</t>
  </si>
  <si>
    <t>0000001149185015</t>
  </si>
  <si>
    <t>0000000654059501</t>
  </si>
  <si>
    <t>0000000654206905</t>
  </si>
  <si>
    <t>A2AINT01-654344975-HDFC SECURITIES LTD-CLIENT DSCNB A/C</t>
  </si>
  <si>
    <t>0000001150677595</t>
  </si>
  <si>
    <t>0000000654499600</t>
  </si>
  <si>
    <t>0000000654637946</t>
  </si>
  <si>
    <t>A2AINT01-654765357-HDFC SECURITIES LTD-CLIENT DSCNB A/C</t>
  </si>
  <si>
    <t>0000001152233822</t>
  </si>
  <si>
    <t>0000000654906717</t>
  </si>
  <si>
    <t>0000000655059538</t>
  </si>
  <si>
    <t>0000000655328091</t>
  </si>
  <si>
    <t>0000000655545188</t>
  </si>
  <si>
    <t>0000000655836176</t>
  </si>
  <si>
    <t>685744203/HDFCLIFEULESI</t>
  </si>
  <si>
    <t>0002520290252138</t>
  </si>
  <si>
    <t>Insurance</t>
  </si>
  <si>
    <t>A2AINT01-656155613-HDFC SECURITIES LTD-CLIENT DSCNB A/C</t>
  </si>
  <si>
    <t>0000001157450825</t>
  </si>
  <si>
    <t>0000000656310974</t>
  </si>
  <si>
    <t>0000000656486123</t>
  </si>
  <si>
    <t>DEPOSITORY CHARGES JUN25 - 52812428</t>
  </si>
  <si>
    <t>0000000656841039</t>
  </si>
  <si>
    <t>A2AINT01-656969651-HDFC SECURITIES LTD-CLIENT DSCNB A/C</t>
  </si>
  <si>
    <t>0000001160425924</t>
  </si>
  <si>
    <t>0000000657120717</t>
  </si>
  <si>
    <t>0000000657286020</t>
  </si>
  <si>
    <t>0000000657570712</t>
  </si>
  <si>
    <t>0000000657771902</t>
  </si>
  <si>
    <t>ACH D- TP ACH INDIANESIGN-1884218485</t>
  </si>
  <si>
    <t>0000001229973754</t>
  </si>
  <si>
    <t>0000000658103816</t>
  </si>
  <si>
    <t>0000000658300577</t>
  </si>
  <si>
    <t>0000000658565131</t>
  </si>
  <si>
    <t>A2AINT01-658805762-HDFC SECURITIES LTD-CLIENT DSCNB A/C</t>
  </si>
  <si>
    <t>0000001167016313</t>
  </si>
  <si>
    <t>ACH D- TP ACH INDIANESIGN-1885582091</t>
  </si>
  <si>
    <t>0000001302059375</t>
  </si>
  <si>
    <t>0000000658953746</t>
  </si>
  <si>
    <t>0000000659113308</t>
  </si>
  <si>
    <t>0000000659388879</t>
  </si>
  <si>
    <t>0000000659535744</t>
  </si>
  <si>
    <t>0000000659863681</t>
  </si>
  <si>
    <t>ACH C- SONABLWPRECISION-0000000000000383</t>
  </si>
  <si>
    <t>0000007082846213</t>
  </si>
  <si>
    <t>0000000660065544</t>
  </si>
  <si>
    <t>ACH C- TCS1STINTDIV04082025-1657021</t>
  </si>
  <si>
    <t>0000001506922878</t>
  </si>
  <si>
    <t>0000000660424255</t>
  </si>
  <si>
    <t>A2AINT01-660672344-HDFC SECURITIES LTD-CLIENT DSCNB A/C</t>
  </si>
  <si>
    <t>0000001176340365</t>
  </si>
  <si>
    <t>0000000660853830</t>
  </si>
  <si>
    <t>ACH C- MAHINDRA AND MAHINDR-51519584</t>
  </si>
  <si>
    <t>0000001850059958</t>
  </si>
  <si>
    <t>A2AINT01-661165750-HDFC SECURITIES LTD-CLIENT DSCNB A/C</t>
  </si>
  <si>
    <t>0000001178468439</t>
  </si>
  <si>
    <t>ACH C- CYIENT LIMITED-5219264</t>
  </si>
  <si>
    <t>0000001923683243</t>
  </si>
  <si>
    <t>0000000661313091</t>
  </si>
  <si>
    <t>0000000661519636</t>
  </si>
  <si>
    <t>HDFCLIFE CENTR-044725346</t>
  </si>
  <si>
    <t>0000508070127096</t>
  </si>
  <si>
    <t>0000000661820590</t>
  </si>
  <si>
    <t>ACH C- ALEMBICPHARMADIV2425-62007</t>
  </si>
  <si>
    <t>0000002033901975</t>
  </si>
  <si>
    <t>A2AINT01-662115642-HDFC SECURITIES LTD-CLIENT DSCNB A/C</t>
  </si>
  <si>
    <t>0000001183393382</t>
  </si>
  <si>
    <t>0000000662315808</t>
  </si>
  <si>
    <t>ACH C- BAJAJ AUTO LIMITED-4724885</t>
  </si>
  <si>
    <t>0000002094884218</t>
  </si>
  <si>
    <t>0000000662472827</t>
  </si>
  <si>
    <t>HDFC BANK SPL INT DIV 2025-26</t>
  </si>
  <si>
    <t>0000060825141559</t>
  </si>
  <si>
    <t>0708470310 HDFC BANK FINAL DIV 2024-2025</t>
  </si>
  <si>
    <t>0000070825141684</t>
  </si>
  <si>
    <t>0000000662864154</t>
  </si>
  <si>
    <t>ACH C- UBIFINALDIV 2024-25-3677235</t>
  </si>
  <si>
    <t>0000002299074087</t>
  </si>
  <si>
    <t>A2AINT01-663147776-HDFC SECURITIES LTD-CLIENT DSCNB A/C</t>
  </si>
  <si>
    <t>0000001188845618</t>
  </si>
  <si>
    <t>A2AINT01-663116937-HDFC SECURITIES LTD-CLIENT DSCNB A/C</t>
  </si>
  <si>
    <t>0000001188864376</t>
  </si>
  <si>
    <t>0000000663274118</t>
  </si>
  <si>
    <t>ACH C- HEROMOTOCORPLTD-00000000000008685</t>
  </si>
  <si>
    <t>0000007077309224</t>
  </si>
  <si>
    <t>0000000663384698</t>
  </si>
  <si>
    <t>0000000663440392</t>
  </si>
  <si>
    <t>0000000663695187</t>
  </si>
  <si>
    <t>JSWCEMENTG/2400024040533888-50200036338720</t>
  </si>
  <si>
    <t>0000000410074909</t>
  </si>
  <si>
    <t>Equities</t>
  </si>
  <si>
    <t>0000000663861203</t>
  </si>
  <si>
    <t>A2AINT01-663993362-HDFC SECURITIES LTD-CLIENT DSCNB A/C</t>
  </si>
  <si>
    <t>0000001192393693</t>
  </si>
  <si>
    <t>0000000664126766</t>
  </si>
  <si>
    <t>ACH C- KPIT TECHNOLOGIES-5041633</t>
  </si>
  <si>
    <t>0000002383383921</t>
  </si>
  <si>
    <t>UPI-SUNIL KUMAR PATHAK-9970053999@AXL-UTIB0000115-061851990504-PAYMENT FROM PHONE</t>
  </si>
  <si>
    <t>0000061851990504</t>
  </si>
  <si>
    <t>0000000664293631</t>
  </si>
  <si>
    <t>01671000085930-TPT-TRF AAYUSH TO AJAY-AJAY KUMAR GUPTA</t>
  </si>
  <si>
    <t>0000000283573607</t>
  </si>
  <si>
    <t>0000000664627586</t>
  </si>
  <si>
    <t>0000000664778864</t>
  </si>
  <si>
    <t>0000000665053829</t>
  </si>
  <si>
    <t>A2AINT01-665291997-HDFC SECURITIES LTD-CLIENT DSCNB A/C</t>
  </si>
  <si>
    <t>0000001198300489</t>
  </si>
  <si>
    <t>0000000665473773</t>
  </si>
  <si>
    <t>ACH C- CHOLAMANDALAM INVEST-4507266</t>
  </si>
  <si>
    <t>0000002596100797</t>
  </si>
  <si>
    <t>A2AINT01-665732422-HDFC SECURITIES LTD-CLIENT DSCNB A/C</t>
  </si>
  <si>
    <t>0000001199775787</t>
  </si>
  <si>
    <t>0000000665904197</t>
  </si>
  <si>
    <t>0000000666039975</t>
  </si>
  <si>
    <t>0000000666314190</t>
  </si>
  <si>
    <t>DEPOSITORY CHARGES JUL25 - 52812428</t>
  </si>
  <si>
    <t>01671000085930-TPT-FROM AAYUSH TO AJAY-AJAY KUMAR GUPTA</t>
  </si>
  <si>
    <t>0000000884430561</t>
  </si>
  <si>
    <t>A2AINT01-666598717-HDFC SECURITIES LTD-CLIENT DSCNB A/C</t>
  </si>
  <si>
    <t>0000001204038214</t>
  </si>
  <si>
    <t>0000000666775044</t>
  </si>
  <si>
    <t>0000000666994353</t>
  </si>
  <si>
    <t>0000000667282639</t>
  </si>
  <si>
    <t>0000000667457407</t>
  </si>
  <si>
    <t>ACH D- TP ACH INDIANESIGN-1916660144</t>
  </si>
  <si>
    <t>0000002738288276</t>
  </si>
  <si>
    <t>0000000667750506</t>
  </si>
  <si>
    <t>ACH C- JIO FINANCIAL SERV-253911394</t>
  </si>
  <si>
    <t>0000002762459650</t>
  </si>
  <si>
    <t>0000000667966660</t>
  </si>
  <si>
    <t>0000000668210208</t>
  </si>
  <si>
    <t>ACH C- RELIANCE INDUSTRIES-253157908</t>
  </si>
  <si>
    <t>0000002788303366</t>
  </si>
  <si>
    <t>0000000668403083</t>
  </si>
  <si>
    <t>ACH C- RITES LIMITED-RT1208250044236</t>
  </si>
  <si>
    <t>0000002804512116</t>
  </si>
  <si>
    <t>A2AINT01-668965843-HDFC SECURITIES LTD-CLIENT DSCNB A/C</t>
  </si>
  <si>
    <t>0000001215218202</t>
  </si>
  <si>
    <t>ACH C- ICICI BANK LTD-9947473</t>
  </si>
  <si>
    <t>0000002865271363</t>
  </si>
  <si>
    <t>0000000669690204</t>
  </si>
  <si>
    <t>FT- 669854081-50200085415108 - HDFC SECURITIES LTD-CLIENT DSCNB A/C -</t>
  </si>
  <si>
    <t>0000001218944776</t>
  </si>
  <si>
    <t>FT- 669823324-50200085415108 - HDFC SECURITIES LTD-CLIENT DSCNB A/C -</t>
  </si>
  <si>
    <t>0000001218920422</t>
  </si>
  <si>
    <t>UPI-ALOK KUMAR GUPTA-9866774149@AXL-HDFC0000512-714192008826-PAYMENT FROM PHONE</t>
  </si>
  <si>
    <t>0000714192008826</t>
  </si>
  <si>
    <t>0000000670013137</t>
  </si>
  <si>
    <t>0000000670163271</t>
  </si>
  <si>
    <t>0000000670412726</t>
  </si>
  <si>
    <t>HDFCLIFE CENTR-046830518</t>
  </si>
  <si>
    <t>0000509075950503</t>
  </si>
  <si>
    <t>ACH C- APOLLO HOS FDIV2025-AHLIN30154952</t>
  </si>
  <si>
    <t>0000003088134543</t>
  </si>
  <si>
    <t>0000000670927798</t>
  </si>
  <si>
    <t>A2AINT01-671074189-HDFC SECURITIES LTD-CLIENT DSCNB A/C</t>
  </si>
  <si>
    <t>0000001226338053</t>
  </si>
  <si>
    <t>0000000671238628</t>
  </si>
  <si>
    <t>0000000671377646</t>
  </si>
  <si>
    <t>0000000671720452</t>
  </si>
  <si>
    <t>A2AINT01-671967629-HDFC SECURITIES LTD-CLIENT DSCNB A/C</t>
  </si>
  <si>
    <t>0000001231100425</t>
  </si>
  <si>
    <t>ISAQMC-APR-JUN25-417944 140825-MIR2625055180345</t>
  </si>
  <si>
    <t>MIR2625055180345</t>
  </si>
  <si>
    <t>0000000672167626</t>
  </si>
  <si>
    <t>0000000672237165</t>
  </si>
  <si>
    <t>0000000672296308</t>
  </si>
  <si>
    <t>0000000672585059</t>
  </si>
  <si>
    <t>0000000672716353</t>
  </si>
  <si>
    <t>0000000673071844</t>
  </si>
  <si>
    <t>A2AINT01-673336941-HDFC SECURITIES LTD-CLIENT DSCNB A/C</t>
  </si>
  <si>
    <t>0000001237574222</t>
  </si>
  <si>
    <t>0000000673515687</t>
  </si>
  <si>
    <t>A2AINT01-673744730-HDFC SECURITIES LTD-CLIENT DSCNB A/C</t>
  </si>
  <si>
    <t>0000001239105255</t>
  </si>
  <si>
    <t>0000000673914897</t>
  </si>
  <si>
    <t>DEPOSITORY CHARGES AUG25 - 52812428</t>
  </si>
  <si>
    <t>0000000674075921</t>
  </si>
  <si>
    <t>A2AINT01-674199918-HDFC SECURITIES LTD-CLIENT DSCNB A/C</t>
  </si>
  <si>
    <t>0000001240590700</t>
  </si>
  <si>
    <t>0000000674336180</t>
  </si>
  <si>
    <t>0000000674520877</t>
  </si>
  <si>
    <t>0000000674765072</t>
  </si>
  <si>
    <t>FT- 675031656-50200085415108 - HDFC SECURITIES LTD-CLIENT DSCNB A/C -</t>
  </si>
  <si>
    <t>0000001244367747</t>
  </si>
  <si>
    <t>PARADEEP PHO DIV242500000000000000031245</t>
  </si>
  <si>
    <t>0000252657051665</t>
  </si>
  <si>
    <t>0000000675270028</t>
  </si>
  <si>
    <t>A2AINT01-675553509-HDFC SECURITIES LTD-CLIENT DSCNB A/C</t>
  </si>
  <si>
    <t>0000001245880845</t>
  </si>
  <si>
    <t>0000000675713550</t>
  </si>
  <si>
    <t>GARWARE TEC DIV24 2500000000000000010140</t>
  </si>
  <si>
    <t>0000252668031818</t>
  </si>
  <si>
    <t>0000000675907174</t>
  </si>
  <si>
    <t>0000000676158714</t>
  </si>
  <si>
    <t>0000000676370073</t>
  </si>
  <si>
    <t>0000000676635595</t>
  </si>
  <si>
    <t>0000000676878845</t>
  </si>
  <si>
    <t>A2AINT01-676980910-HDFC SECURITIES LTD-CLIENT DSCNB A/C</t>
  </si>
  <si>
    <t>0000001250169349</t>
  </si>
  <si>
    <t>0000000677120333</t>
  </si>
  <si>
    <t>0000000677355883</t>
  </si>
  <si>
    <t>A2AINT01-677458833-HDFC SECURITIES LTD-CLIENT DSCNB A/C</t>
  </si>
  <si>
    <t>0000001253164890</t>
  </si>
  <si>
    <t>50100542230922-TPT-BORROW FROM AAYUSH-ARCHIT GUPTA</t>
  </si>
  <si>
    <t>0000000450260160</t>
  </si>
  <si>
    <t>ACH D- TP ACH INDIANESIGN-1949948152</t>
  </si>
  <si>
    <t>0000003153665337</t>
  </si>
  <si>
    <t>0000000677641053</t>
  </si>
  <si>
    <t>0000000677738796</t>
  </si>
  <si>
    <t>0000000677827896</t>
  </si>
  <si>
    <t>ACH D- TP ACH INDIANESIGN-1951198992</t>
  </si>
  <si>
    <t>0000003155569401</t>
  </si>
  <si>
    <t>0000000678070132</t>
  </si>
  <si>
    <t>0000000678193483</t>
  </si>
  <si>
    <t>0000000678242859</t>
  </si>
  <si>
    <t>INTEREST PAID TILL 30-SEP-2025</t>
  </si>
  <si>
    <t>0000000678544019</t>
  </si>
  <si>
    <t>ACH C- POWER MECH PROJECTS-945642</t>
  </si>
  <si>
    <t>0000002188844488</t>
  </si>
  <si>
    <t>A2AINT01-678795872-HDFC SECURITIES LTD-CLIENT DSCNB A/C</t>
  </si>
  <si>
    <t>0000001259761121</t>
  </si>
  <si>
    <t>01671000085930-TPT-MNY RTRN BY AAYUSH-AJAY KUMAR GUPTA</t>
  </si>
  <si>
    <t>0000000765816338</t>
  </si>
  <si>
    <t>0000000679004179</t>
  </si>
  <si>
    <t>0000000679151093</t>
  </si>
  <si>
    <t>0000000679642348</t>
  </si>
  <si>
    <t>A2AINT01-679928123-HDFC SECURITIES LTD-CLIENT DSCNB A/C</t>
  </si>
  <si>
    <t>0000001266954344</t>
  </si>
  <si>
    <t>A2AINT01-679898702-HDFC SECURITIES LTD-CLIENT DSCNB A/C</t>
  </si>
  <si>
    <t>0000001266980121</t>
  </si>
  <si>
    <t>HDFCLIFE CENTR-049046726</t>
  </si>
  <si>
    <t>0000510077465363</t>
  </si>
  <si>
    <t>01671000085930-TPT-MNY RTRN FROM AAYUSH-AJAY KUMAR GUPTA</t>
  </si>
  <si>
    <t>0000000671821070</t>
  </si>
  <si>
    <t>0000000680099520</t>
  </si>
  <si>
    <t>0000000680265300</t>
  </si>
  <si>
    <t>0000000680522106</t>
  </si>
  <si>
    <t>A2AINT01-680811650-HDFC SECURITIES LTD-CLIENT DSCNB A/C</t>
  </si>
  <si>
    <t>0000001271837814</t>
  </si>
  <si>
    <t>0000000680984526</t>
  </si>
  <si>
    <t>A2AINT01-681229076-HDFC SECURITIES LTD-CLIENT DSCNB A/C</t>
  </si>
  <si>
    <t>0000001273521818</t>
  </si>
  <si>
    <t>A2AINT01-681255923-HDFC SECURITIES LTD-CLIENT DSCNB A/C</t>
  </si>
  <si>
    <t>0000001273559595</t>
  </si>
  <si>
    <t>0000000681432547</t>
  </si>
  <si>
    <t>A2AINT01-681692074-HDFC SECURITIES LTD-CLIENT DSCNB A/C</t>
  </si>
  <si>
    <t>0000001277111213</t>
  </si>
  <si>
    <t>0000000681925345</t>
  </si>
  <si>
    <t>0000000682128076</t>
  </si>
  <si>
    <t>0000000682400596</t>
  </si>
  <si>
    <t>0000000682600415</t>
  </si>
  <si>
    <t>A2AINT01-682715539-HDFC SECURITIES LTD-CLIENT DSCNB A/C</t>
  </si>
  <si>
    <t>0000001281056187</t>
  </si>
  <si>
    <t>ACH C- RITES LIMITED-RT1709250116984</t>
  </si>
  <si>
    <t>0000002283158822</t>
  </si>
  <si>
    <t>0000000682963623</t>
  </si>
  <si>
    <t>0000000683058542</t>
  </si>
  <si>
    <t>A2AINT01-683169722-HDFC SECURITIES LTD-CLIENT DSCNB A/C</t>
  </si>
  <si>
    <t>0000001283054019</t>
  </si>
  <si>
    <t>0000000683305223</t>
  </si>
  <si>
    <t>A2AINT01-683585229-HDFC SECURITIES LTD-CLIENT DSCNB A/C</t>
  </si>
  <si>
    <t>0000001285064842</t>
  </si>
  <si>
    <t>DEPOSITORY CHARGES SEP25 - 52812428</t>
  </si>
  <si>
    <t>0000000683773505</t>
  </si>
  <si>
    <t>A2AINT01-684075374-HDFC SECURITIES LTD-CLIENT DSCNB A/C</t>
  </si>
  <si>
    <t>0000001289683497</t>
  </si>
  <si>
    <t>A2AINT01-684057917-HDFC SECURITIES LTD-CLIENT DSCNB A/C</t>
  </si>
  <si>
    <t>0000001289715141</t>
  </si>
  <si>
    <t>ACH C- NATIONAL ALUMINIUM C-NAT0FIN02025</t>
  </si>
  <si>
    <t>0000002304850474</t>
  </si>
  <si>
    <t>0000000684281920</t>
  </si>
  <si>
    <t>0000000684452572</t>
  </si>
  <si>
    <t>0000000510684442</t>
  </si>
  <si>
    <t>0000000684662733</t>
  </si>
  <si>
    <t>A2AINT01-684762236-HDFC SECURITIES LTD-CLIENT DSCNB A/C</t>
  </si>
  <si>
    <t>0000001291557830</t>
  </si>
  <si>
    <t>FT- 452900135993-50200067172675 - NSE CLEARING LIMITED MFSS SETTLEMENT A/C -</t>
  </si>
  <si>
    <t>0000001291857214</t>
  </si>
  <si>
    <t>Mutual Funds</t>
  </si>
  <si>
    <t>0000000684939984</t>
  </si>
  <si>
    <t>A2AINT01-685268565-HDFC SECURITIES LTD-CLIENT DSCNB A/C</t>
  </si>
  <si>
    <t>0000001292997597</t>
  </si>
  <si>
    <t>A2AINT01-685244365-HDFC SECURITIES LTD-CLIENT DSCNB A/C</t>
  </si>
  <si>
    <t>0000001292995916</t>
  </si>
  <si>
    <t>0000000685423323</t>
  </si>
  <si>
    <t>01671000085930-TPT-AJAY TO AAYUSH BOROW-AJAY KUMAR GUPTA</t>
  </si>
  <si>
    <t>0000000308533122</t>
  </si>
  <si>
    <t>A2AINT01-685698732-HDFC SECURITIES LTD-CLIENT DSCNB A/C</t>
  </si>
  <si>
    <t>0000001295460097</t>
  </si>
  <si>
    <t>0000000685902053</t>
  </si>
  <si>
    <t>01671000085930-TPT-BRW FROM AJAY-AJAY KUMAR GUPTA</t>
  </si>
  <si>
    <t>0000000231897015</t>
  </si>
  <si>
    <t>A2AINT01-686247691-HDFC SECURITIES LTD-CLIENT DSCNB A/C</t>
  </si>
  <si>
    <t>0000001297014207</t>
  </si>
  <si>
    <t>A2AINT01-686222223-HDFC SECURITIES LTD-CLIENT DSCNB A/C</t>
  </si>
  <si>
    <t>0000001297007235</t>
  </si>
  <si>
    <t>ACH D- HDFCLIFEINSURANCECOM-26688787</t>
  </si>
  <si>
    <t>0000008123156301</t>
  </si>
  <si>
    <t>ACH D- HDFCLIFEINSURANCECOM-26688571</t>
  </si>
  <si>
    <t>0000008123153301</t>
  </si>
  <si>
    <t>ACH D- TP ACH INDIANESIGN-1984069064</t>
  </si>
  <si>
    <t>0000003335794767</t>
  </si>
  <si>
    <t>0000000686397881</t>
  </si>
  <si>
    <t>0000000686584494</t>
  </si>
  <si>
    <t>FT- 453000800555-50200067172675 - NSE CLEARING LIMITED MFSS SETTLEMENT A/C -</t>
  </si>
  <si>
    <t>0000001299044418</t>
  </si>
  <si>
    <t>0000000686858859</t>
  </si>
  <si>
    <t>A2AINT01-687086268-HDFC SECURITIES LTD-CLIENT DSCNB A/C</t>
  </si>
  <si>
    <t>0000001300264245</t>
  </si>
  <si>
    <t>ACH D- TP ACH INDIANESIGN-1985071463</t>
  </si>
  <si>
    <t>0000003338914901</t>
  </si>
  <si>
    <t>0000000687269162</t>
  </si>
  <si>
    <t>01671000085930-TPT-RTRN AAYUSH TO AJAY-AJAY KUMAR GUPTA</t>
  </si>
  <si>
    <t>0000000301647234</t>
  </si>
  <si>
    <t>0000000687428695</t>
  </si>
  <si>
    <t>0000000687674843</t>
  </si>
  <si>
    <t>3110220795 HDB FINAN SER LT INT DIV25 26</t>
  </si>
  <si>
    <t>0000311025143686</t>
  </si>
  <si>
    <t>0000000687869680</t>
  </si>
  <si>
    <t>A2AINT01-688432724-HDFC SECURITIES LTD-CLIENT DSCNB A/C</t>
  </si>
  <si>
    <t>0000001307958622</t>
  </si>
  <si>
    <t>ACH C- TCS2NDINTDIV04112025-1780006</t>
  </si>
  <si>
    <t>0000002367266348</t>
  </si>
  <si>
    <t>0000000688634019</t>
  </si>
  <si>
    <t>A2AINT01-688916173-HDFC SECURITIES LTD-CLIENT DSCNB A/C</t>
  </si>
  <si>
    <t>0000001311215884</t>
  </si>
  <si>
    <t>0000000689126629</t>
  </si>
  <si>
    <t>0000000689356294</t>
  </si>
  <si>
    <t>HDFCLIFE CENTR-051309413</t>
  </si>
  <si>
    <t>0000511075734910</t>
  </si>
  <si>
    <t>0000000689626223</t>
  </si>
  <si>
    <t>0000000689883162</t>
  </si>
  <si>
    <t>0000000690222396</t>
  </si>
  <si>
    <t>A2AINT01-690519537-HDFC SECURITIES LTD-CLIENT DSCNB A/C</t>
  </si>
  <si>
    <t>0000001320241241</t>
  </si>
  <si>
    <t>0000000690702793</t>
  </si>
  <si>
    <t>A2AINT01-690970828-HDFC SECURITIES LTD-CLIENT DSCNB A/C</t>
  </si>
  <si>
    <t>0000001322004931</t>
  </si>
  <si>
    <t>0000000691154883</t>
  </si>
  <si>
    <t>0000000691308831</t>
  </si>
  <si>
    <t>0000000691571932</t>
  </si>
  <si>
    <t>0000000691765269</t>
  </si>
  <si>
    <t>ACH C- ORACLE FINANCIAL SER-000000000001</t>
  </si>
  <si>
    <t>0000002443245008</t>
  </si>
  <si>
    <t>0000000692047820</t>
  </si>
  <si>
    <t>A2AINT01-692302354-HDFC SECURITIES LTD-CLIENT DSCNB A/C</t>
  </si>
  <si>
    <t>0000001328269730</t>
  </si>
  <si>
    <t>DEPOSITORY CHARGES OCT25 - 52812428</t>
  </si>
  <si>
    <t>0000000692518736</t>
  </si>
  <si>
    <t>A2AINT01-692806698-HDFC SECURITIES LTD-CLIENT DSCNB A/C</t>
  </si>
  <si>
    <t>0000001329627452</t>
  </si>
  <si>
    <t>0000000692979924</t>
  </si>
  <si>
    <t>0000000693211443</t>
  </si>
  <si>
    <t>0000000693436454</t>
  </si>
  <si>
    <t>A2AINT01-693728439-HDFC SECURITIES LTD-CLIENT DSCNB A/C</t>
  </si>
  <si>
    <t>0000001332623128</t>
  </si>
  <si>
    <t>0000000693922937</t>
  </si>
  <si>
    <t>A2AINT01-694199596-HDFC SECURITIES LTD-CLIENT DSCNB A/C</t>
  </si>
  <si>
    <t>0000001334032210</t>
  </si>
  <si>
    <t>0000000694385254</t>
  </si>
  <si>
    <t>0000000694566917</t>
  </si>
  <si>
    <t>0000000694854938</t>
  </si>
  <si>
    <t>0000000695115324</t>
  </si>
  <si>
    <t>0000000695387032</t>
  </si>
  <si>
    <t>A2AINT01-695654399-HDFC SECURITIES LTD-CLIENT DSCNB A/C</t>
  </si>
  <si>
    <t>0000001339835909</t>
  </si>
  <si>
    <t>A2AINT01-695674171-HDFC SECURITIES LTD-CLIENT DSCNB A/C</t>
  </si>
  <si>
    <t>0000001339894779</t>
  </si>
  <si>
    <t>0000000695815901</t>
  </si>
  <si>
    <t>A2AINT01-696042453-HDFC SECURITIES LTD-CLIENT DSCNB A/C</t>
  </si>
  <si>
    <t>0000001341782668</t>
  </si>
  <si>
    <t>01671000085930-TPT-RT FR AAYUSH TO AJAY-AJAY KUMAR GUPTA</t>
  </si>
  <si>
    <t>0000000239312795</t>
  </si>
  <si>
    <t>0000000696229949</t>
  </si>
  <si>
    <t>0000000696401251</t>
  </si>
  <si>
    <t>A2AINT01-696513630-HDFC SECURITIES LTD-CLIENT DSCNB A/C</t>
  </si>
  <si>
    <t>0000001343374625</t>
  </si>
  <si>
    <t>ACH D- TP ACH INDIANESIGN-2016429628</t>
  </si>
  <si>
    <t>0000003522740717</t>
  </si>
  <si>
    <t>0000000696655168</t>
  </si>
  <si>
    <t>GARWARE TEC DIV25 2600000000000000010175</t>
  </si>
  <si>
    <t>0000253325464131</t>
  </si>
  <si>
    <t>0000000696833296</t>
  </si>
  <si>
    <t>ACH D- TP ACH INDIANESIGN-2016873339</t>
  </si>
  <si>
    <t>0000003533228535</t>
  </si>
  <si>
    <t>0000000697161464</t>
  </si>
  <si>
    <t>0000000697344253</t>
  </si>
  <si>
    <t>ACH C- NATIONAL ALUMINIUM C-NAT0INT02026</t>
  </si>
  <si>
    <t>0000002524952413</t>
  </si>
  <si>
    <t>0000000697636077</t>
  </si>
  <si>
    <t>0000000697866511</t>
  </si>
  <si>
    <t>0000000698120706</t>
  </si>
  <si>
    <t>0000000698338021</t>
  </si>
  <si>
    <t>0000000698598747</t>
  </si>
  <si>
    <t>A2AINT01-698877891-HDFC SECURITIES LTD-CLIENT DSCNB A/C</t>
  </si>
  <si>
    <t>0000001355773891</t>
  </si>
  <si>
    <t>0000000699091710</t>
  </si>
  <si>
    <t>0000000699285461</t>
  </si>
  <si>
    <t>HDFCLIFE CENTR-053570849</t>
  </si>
  <si>
    <t>0000512071956883</t>
  </si>
  <si>
    <t>0000000699627265</t>
  </si>
  <si>
    <t>0000000699840998</t>
  </si>
  <si>
    <t>0000000700126494</t>
  </si>
  <si>
    <t>0000000700297701</t>
  </si>
  <si>
    <t>0000000700602172</t>
  </si>
  <si>
    <t>0000000700807904</t>
  </si>
  <si>
    <t>0000000701086712</t>
  </si>
  <si>
    <t>FT- 701312266-50200085415108 - HDFC SECURITIES LTD-CLIENT DSCNB A/C -</t>
  </si>
  <si>
    <t>0000001368866835</t>
  </si>
  <si>
    <t>0000000701501960</t>
  </si>
  <si>
    <t>FT- 701725785-50200085415108 - HDFC SECURITIES LTD-CLIENT DSCNB A/C -</t>
  </si>
  <si>
    <t>0000001371726394</t>
  </si>
  <si>
    <t>DEPOSITORY CHARGES NOV25 - 52812428</t>
  </si>
  <si>
    <t>0000000701968268</t>
  </si>
  <si>
    <t>A2AINT01-702292258-HDFC SECURITIES LTD-CLIENT DSCNB A/C</t>
  </si>
  <si>
    <t>0000001373290676</t>
  </si>
  <si>
    <t>0000000702463970</t>
  </si>
  <si>
    <t>0000000702664953</t>
  </si>
  <si>
    <t>0000000702918472</t>
  </si>
  <si>
    <t>0000000703094936</t>
  </si>
  <si>
    <t>0000000703352749</t>
  </si>
  <si>
    <t>A2AINT01-703616398-HDFC SECURITIES LTD-CLIENT DSCNB A/C</t>
  </si>
  <si>
    <t>0000001377690368</t>
  </si>
  <si>
    <t>0000000703800595</t>
  </si>
  <si>
    <t>A2AINT01-704007050-HDFC SECURITIES LTD-CLIENT DSCNB A/C</t>
  </si>
  <si>
    <t>0000001380066299</t>
  </si>
  <si>
    <t>0000000704276597</t>
  </si>
  <si>
    <t>A2AINT01-704541290-HDFC SECURITIES LTD-CLIENT DSCNB A/C</t>
  </si>
  <si>
    <t>0000001381549373</t>
  </si>
  <si>
    <t>A2AINT01-704507374-HDFC SECURITIES LTD-CLIENT DSCNB A/C</t>
  </si>
  <si>
    <t>0000001381573935</t>
  </si>
  <si>
    <t>0000000704687333</t>
  </si>
  <si>
    <t>0000000704854317</t>
  </si>
  <si>
    <t>0000000705145454</t>
  </si>
  <si>
    <t>A2AINT01-705402512-HDFC SECURITIES LTD-CLIENT DSCNB A/C</t>
  </si>
  <si>
    <t>0000001385800499</t>
  </si>
  <si>
    <t>0000000705615492</t>
  </si>
  <si>
    <t>0000000705838554</t>
  </si>
  <si>
    <t>ACH D- TP ACH INDIANESIGN-2048055639</t>
  </si>
  <si>
    <t>0000003712182813</t>
  </si>
  <si>
    <t>0000000706127803</t>
  </si>
  <si>
    <t>0000000706359828</t>
  </si>
  <si>
    <t>ACH D- TP ACH INDIANESIGN-2048852766</t>
  </si>
  <si>
    <t>0000003713022739</t>
  </si>
  <si>
    <t>0000000706594805</t>
  </si>
  <si>
    <t>INTEREST PAID TILL 31-DEC-2025</t>
  </si>
  <si>
    <t>A2AINT01-707311399-HDFC SECURITIES LTD-CLIENT DSCNB A/C</t>
  </si>
  <si>
    <t>0000001395373333</t>
  </si>
  <si>
    <t>A2AINT01-707280280-HDFC SECURITIES LTD-CLIENT DSCNB A/C</t>
  </si>
  <si>
    <t>0000001395281519</t>
  </si>
  <si>
    <t>0000000707521418</t>
  </si>
  <si>
    <t>A2AINT01-707783821-HDFC SECURITIES LTD-CLIENT DSCNB A/C</t>
  </si>
  <si>
    <t>0000001396524773</t>
  </si>
  <si>
    <t>0000000707952272</t>
  </si>
  <si>
    <t>0000000708097369</t>
  </si>
  <si>
    <t>0000000708569677</t>
  </si>
  <si>
    <t>0000000708804383</t>
  </si>
  <si>
    <t>0000000709087503</t>
  </si>
  <si>
    <t>0000000709284528</t>
  </si>
  <si>
    <t>HDFCLIFE CENTR-056086448</t>
  </si>
  <si>
    <t>0000601075617530</t>
  </si>
  <si>
    <t>0000000709554887</t>
  </si>
  <si>
    <t>A2AINT01-709851526-HDFC SECURITIES LTD-CLIENT DSCNB A/C</t>
  </si>
  <si>
    <t>0000001409949774</t>
  </si>
  <si>
    <t>0000000710011762</t>
  </si>
  <si>
    <t>ISAQMC-JUL-SEP25-417944 261225-MIR2600798041258</t>
  </si>
  <si>
    <t>MIR2600798041258</t>
  </si>
  <si>
    <t>0000000710267211</t>
  </si>
  <si>
    <t>0000000710528151</t>
  </si>
  <si>
    <t>0000000710728929</t>
  </si>
  <si>
    <t>0000000711092930</t>
  </si>
  <si>
    <t>A2AINT01-711397359-HDFC SECURITIES LTD-CLIENT DSCNB A/C</t>
  </si>
  <si>
    <t>0000001417424183</t>
  </si>
  <si>
    <t>0000000711576804</t>
  </si>
  <si>
    <t>DEPOSITORY CHARGES DEC25 - 52812428</t>
  </si>
  <si>
    <t>0000000711770020</t>
  </si>
  <si>
    <t>0000000712001499</t>
  </si>
  <si>
    <t>A2AINT01-712283356-HDFC SECURITIES LTD-CLIENT DSCNB A/C</t>
  </si>
  <si>
    <t>0000001421984905</t>
  </si>
  <si>
    <t>0000000712495637</t>
  </si>
  <si>
    <t>0000000712723992</t>
  </si>
  <si>
    <t>0000000713005743</t>
  </si>
  <si>
    <t>A2AINT01-713361459-HDFC SECURITIES LTD-CLIENT DSCNB A/C</t>
  </si>
  <si>
    <t>0000001425902271</t>
  </si>
  <si>
    <t>0000000713554562</t>
  </si>
  <si>
    <t>0000000713775778</t>
  </si>
  <si>
    <t>0000000714080947</t>
  </si>
  <si>
    <t>0000000714287959</t>
  </si>
  <si>
    <t>0000000714591390</t>
  </si>
  <si>
    <t>A2AINT01-714910448-HDFC SECURITIES LTD-CLIENT DSCNB A/C</t>
  </si>
  <si>
    <t>0000001430868550</t>
  </si>
  <si>
    <t>0000000715078738</t>
  </si>
  <si>
    <t>0000000715339303</t>
  </si>
  <si>
    <t>0000000715667430</t>
  </si>
  <si>
    <t>0000000715874775</t>
  </si>
  <si>
    <t>ACH D- TP ACH INDIANESIGN-2080150455</t>
  </si>
  <si>
    <t>0000003896599036</t>
  </si>
  <si>
    <t>0000000716169183</t>
  </si>
  <si>
    <t>A2AINT01-716427455-HDFC SECURITIES LTD-CLIENT DSCNB A/C</t>
  </si>
  <si>
    <t>0000001438038828</t>
  </si>
  <si>
    <t>0000000716641762</t>
  </si>
  <si>
    <t>0000000716815327</t>
  </si>
  <si>
    <t>ACH D- TP ACH INDIANESIGN-2081125770</t>
  </si>
  <si>
    <t>0000003901728101</t>
  </si>
  <si>
    <t>0000000717128325</t>
  </si>
  <si>
    <t>01671000060094-TPT-EXP SUNITA 2 AAYUSH-SUNITA GUPTA</t>
  </si>
  <si>
    <t>0000000125966103</t>
  </si>
  <si>
    <t>NEFT DR-SBIN0011669-AAYUSH KUMAR GUPTA-NETBANK, MUM-HDFCH00768841281-FROM AAYUSH TO AAY</t>
  </si>
  <si>
    <t>HDFCH00768841281</t>
  </si>
  <si>
    <t>SBI 1227</t>
  </si>
  <si>
    <t>0000000717307128</t>
  </si>
  <si>
    <t>0000000717472800</t>
  </si>
  <si>
    <t>0000000717681431</t>
  </si>
  <si>
    <t>0000000718102163</t>
  </si>
  <si>
    <t>A2AINT01-718395618-HDFC SECURITIES LTD-CLIENT DSCNB A/C</t>
  </si>
  <si>
    <t>0000001446527876</t>
  </si>
  <si>
    <t>0000000718602775</t>
  </si>
  <si>
    <t>ACH C- TCS3RDINTDIV03022026-1698063</t>
  </si>
  <si>
    <t>0000002781976691</t>
  </si>
  <si>
    <t>0000000718763750</t>
  </si>
  <si>
    <t>0000000719049790</t>
  </si>
  <si>
    <t>A2AINT01-719356242-HDFC SECURITIES LTD-CLIENT DSCNB A/C</t>
  </si>
  <si>
    <t>0000001451720870</t>
  </si>
  <si>
    <t>0000000719583854</t>
  </si>
  <si>
    <t>A2AINT01-719904792-HDFC SECURITIES LTD-CLIENT DSCNB A/C</t>
  </si>
  <si>
    <t>0000001454041078</t>
  </si>
  <si>
    <t>0000000720074677</t>
  </si>
  <si>
    <t>0000000720282297</t>
  </si>
  <si>
    <t>HDFCLIFE CENTR-058728704</t>
  </si>
  <si>
    <t>0000602071453316</t>
  </si>
  <si>
    <t>0000000720635165</t>
  </si>
  <si>
    <t>A2AINT01-720886365-HDFC SECURITIES LTD-CLIENT DSCNB A/C</t>
  </si>
  <si>
    <t>0000001461645253</t>
  </si>
  <si>
    <t>0000000721111061</t>
  </si>
  <si>
    <t>A2AINT01-721390183-HDFC SECURITIES LTD-CLIENT DSCNB A/C</t>
  </si>
  <si>
    <t>0000001463752989</t>
  </si>
  <si>
    <t>0000000721559349</t>
  </si>
  <si>
    <t>A2AINT01-721853525-HDFC SECURITIES LTD-CLIENT DSCNB A/C</t>
  </si>
  <si>
    <t>0000001465652061</t>
  </si>
  <si>
    <t>0000000722024798</t>
  </si>
  <si>
    <t>ACH C- SONA BLW PRECISION F-000000000000</t>
  </si>
  <si>
    <t>0000007050398043</t>
  </si>
  <si>
    <t>A2AINT01-722340802-HDFC SECURITIES LTD-CLIENT DSCNB A/C</t>
  </si>
  <si>
    <t>0000001467389274</t>
  </si>
  <si>
    <t>0000000722510062</t>
  </si>
  <si>
    <t>0000000722736382</t>
  </si>
  <si>
    <t>0000000723072723</t>
  </si>
  <si>
    <t>0000000723302612</t>
  </si>
  <si>
    <t>0000000723581812</t>
  </si>
  <si>
    <t>0000000723734029</t>
  </si>
  <si>
    <t>0000000723999859</t>
  </si>
  <si>
    <t>ACH C- KPIT TECHNOLOGIES-5720588</t>
  </si>
  <si>
    <t>0000002883135429</t>
  </si>
  <si>
    <t>0000000724533077</t>
  </si>
  <si>
    <t>0000000724829047</t>
  </si>
  <si>
    <t>ACH C- CHOLAMANDALAM INVEST-4694120</t>
  </si>
  <si>
    <t>0000002891293028</t>
  </si>
  <si>
    <t>ISAQMC-OCT-DEC25-417944-EPR2605104292247</t>
  </si>
  <si>
    <t>EPR2605104292247</t>
  </si>
  <si>
    <t>A2AINT01-725061379-HDFC SECURITIES LTD-CLIENT DSCNB A/C</t>
  </si>
  <si>
    <t>0000001481967344</t>
  </si>
  <si>
    <t>0000000725301140</t>
  </si>
  <si>
    <t>0000000725473022</t>
  </si>
  <si>
    <t>A2AINT01-725596662-HDFC SECURITIES LTD-CLIENT DSCNB A/C</t>
  </si>
  <si>
    <t>0000001483958942</t>
  </si>
  <si>
    <t>0000000725752500</t>
  </si>
  <si>
    <t>0000002901089354</t>
  </si>
  <si>
    <t>0000000725966019</t>
  </si>
  <si>
    <t>0000000726236448</t>
  </si>
  <si>
    <t>ACH C- IRCON INTERNATIONAL-1014377</t>
  </si>
  <si>
    <t>0000002908108661</t>
  </si>
  <si>
    <t>ACH C- HERO MOTOCORP LTD.-00000000000008</t>
  </si>
  <si>
    <t>0000007141671056</t>
  </si>
  <si>
    <t>0000000726406797</t>
  </si>
  <si>
    <t>0000000726688440</t>
  </si>
  <si>
    <t>0000000726856846</t>
  </si>
  <si>
    <t>ACH D- TP ACH INDIANESIGN-2112514409</t>
  </si>
  <si>
    <t>0000003084450354</t>
  </si>
  <si>
    <t>ACH D- TP ACH INDIANESIGN-2112699280</t>
  </si>
  <si>
    <t>0000003084445319</t>
  </si>
  <si>
    <t>0000000727124107</t>
  </si>
  <si>
    <t>DEPOSITORY CHARGES JAN26 - 52812428</t>
  </si>
  <si>
    <t>ACH C- APOLLO HOSP IDV2526-AHLIN30154952</t>
  </si>
  <si>
    <t>0000002948667255</t>
  </si>
  <si>
    <t>0000000727362226</t>
  </si>
  <si>
    <t>0000000727714880</t>
  </si>
  <si>
    <t>0000000728022673</t>
  </si>
  <si>
    <t>0000000728354922</t>
  </si>
  <si>
    <t>0000000728621733</t>
  </si>
  <si>
    <t>0000000728946656</t>
  </si>
  <si>
    <t>A2AINT01-729232306-HDFC SECURITIES LTD-CLIENT DSCNB A/C</t>
  </si>
  <si>
    <t>0000001504788642</t>
  </si>
  <si>
    <t>0000000729413972</t>
  </si>
  <si>
    <t>01671000085930-TPT-BR BY AAYUSH FR AJAY-AJAY KUMAR GUPTA</t>
  </si>
  <si>
    <t>0000000234214951</t>
  </si>
  <si>
    <t>0000000729555970</t>
  </si>
  <si>
    <t>50200000003402   23560474_HLIC_INST</t>
  </si>
  <si>
    <t>HDFCLIFE CENTR-061279178</t>
  </si>
  <si>
    <t>0000603071350924</t>
  </si>
  <si>
    <t>A2AINT01-729776655-HDFC SECURITIES LTD-CLIENT DSCNB A/C</t>
  </si>
  <si>
    <t>0000001511715753</t>
  </si>
  <si>
    <t>0000000729976895</t>
  </si>
  <si>
    <t>0000000730217787</t>
  </si>
  <si>
    <t>0000000730551069</t>
  </si>
  <si>
    <t>A2AINT01-730811030-HDFC SECURITIES LTD-CLIENT DSCNB A/C</t>
  </si>
  <si>
    <t>0000001516603757</t>
  </si>
  <si>
    <t>0000000731008182</t>
  </si>
  <si>
    <t>0000000731223376</t>
  </si>
  <si>
    <t>0000000731474183</t>
  </si>
  <si>
    <t>0000000731672037</t>
  </si>
  <si>
    <t>0000000731928495</t>
  </si>
  <si>
    <t>0000000732183065</t>
  </si>
  <si>
    <t>0000000732523256</t>
  </si>
  <si>
    <t>A2AINT01-732843018-HDFC SECURITIES LTD-CLIENT DSCNB A/C</t>
  </si>
  <si>
    <t>0000001526678501</t>
  </si>
  <si>
    <t>0000000732995654</t>
  </si>
  <si>
    <t>A2AINT01-733279353-HDFC SECURITIES LTD-CLIENT DSCNB A/C</t>
  </si>
  <si>
    <t>0000001528696485</t>
  </si>
  <si>
    <t>0000000733461046</t>
  </si>
  <si>
    <t>0000000733992022</t>
  </si>
  <si>
    <t>0000000734293713</t>
  </si>
  <si>
    <t>ISAQMC-JAN-MAR26-417944-EPR2607976641075</t>
  </si>
  <si>
    <t>EPR2607976641075</t>
  </si>
  <si>
    <t>A2AINT01-734584383-HDFC SECURITIES LTD-CLIENT DSCNB A/C</t>
  </si>
  <si>
    <t>0000001534837096</t>
  </si>
  <si>
    <t>0000000734812402</t>
  </si>
  <si>
    <t>0000000735069157</t>
  </si>
  <si>
    <t>0000000735357282</t>
  </si>
  <si>
    <t>A2AINT01-735642373-HDFC SECURITIES LTD-CLIENT DSCNB A/C</t>
  </si>
  <si>
    <t>0000001538934844</t>
  </si>
  <si>
    <t>DEPOSITORY CHARGES FEB26 - 52812428</t>
  </si>
  <si>
    <t>0000000735845825</t>
  </si>
  <si>
    <t>A2AINT01-736093035-HDFC SECURITIES LTD-CLIENT DSCNB A/C</t>
  </si>
  <si>
    <t>0000001542351032</t>
  </si>
  <si>
    <t>0000000736330424</t>
  </si>
  <si>
    <t>0000000736601065</t>
  </si>
  <si>
    <t>ACH D- TP ACH INDIANESIGN-2144764215</t>
  </si>
  <si>
    <t>0000003282769654</t>
  </si>
  <si>
    <t>ACH D- TP ACH INDIANESIGN-2144753554</t>
  </si>
  <si>
    <t>0000003282778360</t>
  </si>
  <si>
    <t>0000000736896405</t>
  </si>
  <si>
    <t>0000000737179947</t>
  </si>
  <si>
    <t>INTEREST PAID TILL 31-MAR-2026</t>
  </si>
  <si>
    <t>Axis Bank Narration Sheet</t>
  </si>
  <si>
    <t>Salary</t>
  </si>
  <si>
    <t>UPI - IRCTC</t>
  </si>
  <si>
    <t>Contra - Kotak</t>
  </si>
  <si>
    <t>UPI Payment</t>
  </si>
  <si>
    <t>Credit Card Bill Payment (CRED)</t>
  </si>
  <si>
    <t>Received - Megha Gupta</t>
  </si>
  <si>
    <t>Transfer - Megha Gupta</t>
  </si>
  <si>
    <t>Rent Payment (via CRED)</t>
  </si>
  <si>
    <t>NEFT Transfer</t>
  </si>
  <si>
    <t>UPI - Fuel (HPCL)</t>
  </si>
  <si>
    <t>UPI - Star Bazaar</t>
  </si>
  <si>
    <t>UPI - Nandini Dairy</t>
  </si>
  <si>
    <t>UPI - Pharmacy</t>
  </si>
  <si>
    <t>UPI - CRED</t>
  </si>
  <si>
    <t>Vehicle Service</t>
  </si>
  <si>
    <t>Food &amp; Dining / Hotel</t>
  </si>
  <si>
    <t>Entertainment</t>
  </si>
  <si>
    <t>UPI - Fuel</t>
  </si>
  <si>
    <t>Rent</t>
  </si>
  <si>
    <t>Health Insurance</t>
  </si>
  <si>
    <t>UPI - CRED Wallet</t>
  </si>
  <si>
    <t>Toll / FASTag</t>
  </si>
  <si>
    <t>Shopping - Jewellery</t>
  </si>
  <si>
    <t>Income Tax Payment</t>
  </si>
  <si>
    <t>Security Deposit</t>
  </si>
  <si>
    <t>UPI - Zepto</t>
  </si>
  <si>
    <t>Security Deposit Return</t>
  </si>
  <si>
    <t>UPI - BharatPe</t>
  </si>
  <si>
    <t>UPI - DMart</t>
  </si>
  <si>
    <t>Received - Ret</t>
  </si>
  <si>
    <t>UPI - Flipkart</t>
  </si>
  <si>
    <t>UPI - Navi</t>
  </si>
  <si>
    <t>Salary For the Month of Mar 2025</t>
  </si>
  <si>
    <t>-</t>
  </si>
  <si>
    <t>[MATCH]</t>
  </si>
  <si>
    <t>NEFT/MB/AXOMB09202414101/AAYUSH KUMAR GUPTA/STATE BANK OF INDIA/</t>
  </si>
  <si>
    <t>UPI</t>
  </si>
  <si>
    <t>UPI/P2A/765226990925/AAYUSH KUMAR GUPTA   /UPI/State Bank Of India</t>
  </si>
  <si>
    <t>UPI/P2A/765382250925/AAYUSH KUMAR GUPTA   /UPI/State Bank Of India</t>
  </si>
  <si>
    <t>Transfer to SBI self</t>
  </si>
  <si>
    <t>[DIFF]</t>
  </si>
  <si>
    <t>UPI/P2M/100335047021/Autope Payment Soluti/Paymen/HDFC BANK LTD</t>
  </si>
  <si>
    <t>Travel</t>
  </si>
  <si>
    <t>NEFT/MB/AXOMB10626155334/AAYUSH KUMAR GUPTA/STATE BANK OF INDIA/FAMILY</t>
  </si>
  <si>
    <t>NEFT/HDFCH00213942923/MPHASIS LIMITED/HDFC BANK/0001SALARYAPR2025</t>
  </si>
  <si>
    <t>UPI/P2A/294187471225/AAYUSH KUMAR GUPTA   /UPI/State Bank Of India</t>
  </si>
  <si>
    <t>UPI/P2A/294427061225/AAYUSH KUMAR GUPTA   /UPI/Kotak Mahindra Bank</t>
  </si>
  <si>
    <t>KOTAK 0333</t>
  </si>
  <si>
    <t>UPI/P2A/294526291225/AAYUSH KUMAR GUPTA   /UPI/Kotak Mahindra Bank</t>
  </si>
  <si>
    <t>Transfer to Kotak self</t>
  </si>
  <si>
    <t>UPI/P2A/415981531235/AAYUSH KUMAR GUPTA   /UPI/Kotak Mahindra Bank</t>
  </si>
  <si>
    <t>UPI/P2M/477823321325/Krishna Sagar        /UPI/YES BANK LIMITED YBS</t>
  </si>
  <si>
    <t>Krishna Sagar</t>
  </si>
  <si>
    <t>UPI/P2A/478925241325/KETAN YADAV SO KRISHN/UPI/UNION BANK OF INDIA</t>
  </si>
  <si>
    <t>Ketan Yadav So Krishn</t>
  </si>
  <si>
    <t>UPI/P2M/439678151415/CRED Club            /paymen/AXIS BANK</t>
  </si>
  <si>
    <t>Credit Card</t>
  </si>
  <si>
    <t>UPI/P2M/544150001425/CRED Club            /paymen/AXIS BANK</t>
  </si>
  <si>
    <t>UPI/P2A/514924201264/MEGHA GUP/HDFC BANK/Paid via/</t>
  </si>
  <si>
    <t>Megha Gupta</t>
  </si>
  <si>
    <t>UPI/P2A/445834401495/MEGHA GUPTA          /UPI/HDFC BANK LTD</t>
  </si>
  <si>
    <t>NEFT/HDFCH00273980424/MPHASIS LIMITED/HDFC BANK/0001SALARYMAY2025</t>
  </si>
  <si>
    <t>UPI/P2M/858334901535/CRED RENT            /paymen/AXIS BANK</t>
  </si>
  <si>
    <t>UPI/P2A/868844991535/AAYUSH KUMAR GUPTA   /UPI/Kotak Mahindra Bank</t>
  </si>
  <si>
    <t>UPI/P2A/869103531535/AAYUSH KUMAR GUPTA   /UPI/Kotak Mahindra Bank</t>
  </si>
  <si>
    <t>UPI/P2A/264644071645/AAYUSH KUMAR GUPTA   /UPI/Kotak Mahindra Bank</t>
  </si>
  <si>
    <t>UPI/P2A/118805941785/Miss. MEGHA  GUPTA   /15k hb/CENTRAL BANK OF INDI</t>
  </si>
  <si>
    <t>SB:915010020334307:Int.Pd:01-04-2025 to 30-06-2025</t>
  </si>
  <si>
    <t>NEFT/HDFCH00331835485/MPHASIS LIMITED/HDFC BANK/0001SALARYJUN2025</t>
  </si>
  <si>
    <t>UPI/P2A/107436117872/Miss MEGH/CENTRAL B/UPI/</t>
  </si>
  <si>
    <t>UPI/P2A/774946241835/Miss. MEGHA  GUPTA   /UPI/CENTRAL BANK OF INDI</t>
  </si>
  <si>
    <t>UPI/P2A/107437679484/Miss MEGH/CENTRAL B/UPI/</t>
  </si>
  <si>
    <t>UPI/P2M/820086391845/CRED RENT            /paymen/AXIS BANK</t>
  </si>
  <si>
    <t>NEFT/CITIN25589422876/PAYPAL PAYMENTS PL INR FBO C/CITI BANK/PPR-MISC-BRGPG8066GPPR-MISC-B</t>
  </si>
  <si>
    <t>Transfer</t>
  </si>
  <si>
    <t>NEFT/CITIN25589419550/PAYPAL PAYMENTS PL INR FBO C/CITI BANK/PPR-MISC-BRGPG8066GPPR-MISC-B</t>
  </si>
  <si>
    <t>IMPS/P2A/518526071249/APIBANKI/RATNAKAR/Accountv/9112345678909176111</t>
  </si>
  <si>
    <t>IMPS/P2A/518526071267/APIBANKI/RATNAKAR/Accountv/9112345678909176111</t>
  </si>
  <si>
    <t>UPI/P2A/926261501855/Miss. MEGHA  GUPTA   /UPI/CENTRAL BANK OF INDI</t>
  </si>
  <si>
    <t>NEFT/CITIN25590420507/PAYPAL PAYMENTS PL-OPGSP COL/CITI BANK/P11094NZMSFECB6MCC       -BRG</t>
  </si>
  <si>
    <t>UPI/P2M/556323544372/MATS FUEL PARK HPCL  /Paid v/YES BANK LIMITED YBS</t>
  </si>
  <si>
    <t>Fuel &amp; Petrol</t>
  </si>
  <si>
    <t>UPI/P2M/519884548001/CRED Club            /paymen/AXIS BANK</t>
  </si>
  <si>
    <t>UPI/P2M/519985700582/CRED Club            /paymen/AXIS BANK</t>
  </si>
  <si>
    <t>UPI/P2M/556505458259/Star Bazaar THPL ST17/Paid v/YES BANK LIMITED YBS</t>
  </si>
  <si>
    <t>UPI/P2M/556672044636/Nandini              /Paid v/YES BANK LIMITED YBS</t>
  </si>
  <si>
    <t>UPI/P2A/520188482857/ROHITH K N           /Paid v/INDIAN OVERSEAS BANK</t>
  </si>
  <si>
    <t>Rohith K N</t>
  </si>
  <si>
    <t>UPI/P2A/520188629552/CHHOTELAL  MAHATO    /Paid v/KARNATAKA BANK LTD</t>
  </si>
  <si>
    <t>Chhotelal  Mahato</t>
  </si>
  <si>
    <t>UPI/P2M/556709719525/FAMILY FRUITS AND VE /Paid v/IDFC FIRST BANK LTD</t>
  </si>
  <si>
    <t>UPI/P2M/520391364094/CRED Club            /paymen/AXIS BANK</t>
  </si>
  <si>
    <t>UPI/P2M/520491571499/CRED Club            /paymen/AXIS BANK</t>
  </si>
  <si>
    <t>UPI/P2A/520491680942/Miss. MEGHA  GUPTA   /Paid v/CENTRAL BANK OF INDI</t>
  </si>
  <si>
    <t>UPI/P2A/520592762601/Miss. MEGHA  GUPTA   /Paid v/CENTRAL BANK OF INDI</t>
  </si>
  <si>
    <t>UPI/P2A/551107842055/AAYUSH KUMAR GUPTA   /UPI/Kotak Mahindra Bank</t>
  </si>
  <si>
    <t>UPI/P2A/520694490982/Mrs G PAVITHRA       /Paid v/INDIAN BANK</t>
  </si>
  <si>
    <t>Mrs G Pavithra</t>
  </si>
  <si>
    <t>UPI/P2A/810935882075/AAYUSH KUMAR GUPTA   /UPI/Kotak Mahindra Bank</t>
  </si>
  <si>
    <t>UPI/P2M/520780932788/MANIBHADRA CREATIONS /Paid v/AXIS BANK</t>
  </si>
  <si>
    <t>Manibhadra Creations</t>
  </si>
  <si>
    <t>UPI/P2M/521099427787/CENTRO Bengaluru TE0Q/Paid v/JIO PAYMENTS BANK LT</t>
  </si>
  <si>
    <t>Centro Bengaluru Te0Q</t>
  </si>
  <si>
    <t>NEFT/HDFCH00395391317/MPHASIS LIMITED/HDFC BANK/0001SALARYJUL2025</t>
  </si>
  <si>
    <t>UPI/P2M/557903285414/IRCTC CF             /IRCTC/HDFC BANK LTD</t>
  </si>
  <si>
    <t>UPI/P2A/728499832135/AAYUSH KUMAR GUPTA   /UPI/Kotak Mahindra Bank</t>
  </si>
  <si>
    <t>UPI/P2M/557903541890/CRED RENT            /paymen/AXIS BANK</t>
  </si>
  <si>
    <t>UPI/P2A/558513441987/MEGHA GUPTA          /Paid v/HDFC BANK LTD</t>
  </si>
  <si>
    <t>UPI/P2A/802551602205/AAYUSH KUMAR GUPTA   /UPI/Kotak Mahindra Bank</t>
  </si>
  <si>
    <t>UPI/P2A/892339792215/AAYUSH KUMAR GUPTA   /UPI/Kotak Mahindra Bank</t>
  </si>
  <si>
    <t>UPI/P2M/558715667637/CRED Club            /paymen/AXIS BANK</t>
  </si>
  <si>
    <t>UPI/P2M/558715693325/IRCTC CF             /IRCTC/HDFC BANK LTD</t>
  </si>
  <si>
    <t>UPI/P2M/558707343066/PUNJABI CHAAP CORNER /Paid v/HDFC BANK LTD</t>
  </si>
  <si>
    <t>Punjabi Chaap Corner</t>
  </si>
  <si>
    <t>UPI/P2M/558716291025/IRCTC CF             /IRCTC/HDFC BANK LTD</t>
  </si>
  <si>
    <t>UPI/P2M/558716304669/IRCTC CF             /IRCTC/HDFC BANK LTD</t>
  </si>
  <si>
    <t>UPI/P2A/101172961110/IRCTC CF/HDFC BANK/UPI Refu/</t>
  </si>
  <si>
    <t>UPI/P2M/558942261136/IRCTC CF             /IRCTC/HDFC BANK LTD</t>
  </si>
  <si>
    <t>UPI/P2M/559051297013/MATS FUEL PARK HPCL  /Paid v/YES BANK LIMITED YBS</t>
  </si>
  <si>
    <t>UPI/P2M/559054091734/ANANYA CATERERS      /Paid v/Punjab National Bank</t>
  </si>
  <si>
    <t>Ananya Caterers</t>
  </si>
  <si>
    <t>UPI/P2M/522704883967/Mrs. G  Pavithra     /Paid v/State Bank Of India</t>
  </si>
  <si>
    <t>Mrs. G  Pavithra</t>
  </si>
  <si>
    <t>UPI/P2M/522935613998/Arjun Prasad         /Paid v/YES BANK LIMITED YBS</t>
  </si>
  <si>
    <t>Arjun Prasad</t>
  </si>
  <si>
    <t>UPI/P2M/559728319835/CRED Club            /paymen/AXIS BANK</t>
  </si>
  <si>
    <t>UPI/P2A/523273141209/NAGALINGEGOWDA B     /Paid v/UCO BANK</t>
  </si>
  <si>
    <t>Nagalingegowda B</t>
  </si>
  <si>
    <t>UPI/P2M/559830025838/CRED Club            /paymen/AXIS BANK</t>
  </si>
  <si>
    <t>UPI/P2A/523385810581/R AMRIT              /Paid v/HDFC BANK LTD</t>
  </si>
  <si>
    <t>R Amrit</t>
  </si>
  <si>
    <t>UPI/P2M/559931180666/CRED Club            /paymen/AXIS BANK</t>
  </si>
  <si>
    <t>UPI/P2M/560032217371/CRED Club            /paymen/AXIS BANK</t>
  </si>
  <si>
    <t>UPI/P2M/560133308526/CRED Club            /paymen/AXIS BANK</t>
  </si>
  <si>
    <t>UPI/P2A/560123557687/UTTAM  BEHERA        /Paid v/State Bank Of India</t>
  </si>
  <si>
    <t>Uttam  Behera</t>
  </si>
  <si>
    <t>UPI/P2M/560123676924/Iyengars Bread Basket/Paid v/YES BANK LIMITED YBS</t>
  </si>
  <si>
    <t>Iyengars Bread Basket</t>
  </si>
  <si>
    <t>UPI/P2M/560234524186/CRED Club            /paymen/AXIS BANK</t>
  </si>
  <si>
    <t>UPI/P2M/560335939173/CRED Club            /paymen/AXIS BANK</t>
  </si>
  <si>
    <t>UPI/P2A/560463378253/S  MUKIHTAYAR        /Paid v/Kotak Mahindra Bank</t>
  </si>
  <si>
    <t>S  Mukihtayar</t>
  </si>
  <si>
    <t>UPI/P2A/560465626624/Maddula Giribabu     /Paid v/AIRTEL PAYMENTS BANK</t>
  </si>
  <si>
    <t>Maddula Giribabu</t>
  </si>
  <si>
    <t>UPI/P2A/560575060135/G RAVEENDRA          /Paid v/ICICI Bank</t>
  </si>
  <si>
    <t>G Raveendra</t>
  </si>
  <si>
    <t>UPI/P2A/560580037532/V KAVITHA            /Paid v/UNION BANK OF INDIA</t>
  </si>
  <si>
    <t>V Kavitha</t>
  </si>
  <si>
    <t>UPI/P2A/560580437243/SOMARAPU  NAGARAJU   /Paid v/CANARA BANK</t>
  </si>
  <si>
    <t>Somarapu  Nagaraju</t>
  </si>
  <si>
    <t>UPI/P2A/560587858515/B  PRABHAVATHI       /Paid v/State Bank Of India</t>
  </si>
  <si>
    <t>B  Prabhavathi</t>
  </si>
  <si>
    <t>UPI/P2A/560587981201/Mr. S Chinni Prasad  /Paid v/INDIAN BANK</t>
  </si>
  <si>
    <t>Mr. S Chinni Prasad</t>
  </si>
  <si>
    <t>UPI/P2A/560588548027/SWARNA KUMAR  BHAMA  /Paid v/State Bank Of India</t>
  </si>
  <si>
    <t>Swarna Kumar  Bhama</t>
  </si>
  <si>
    <t>UPI/P2M/560639789726/Airtel               /Prepai/YES BANK LIMITED YBS</t>
  </si>
  <si>
    <t>Airtel</t>
  </si>
  <si>
    <t>UPI/P2M/560696704038/MAGULURI  SUBBA RAO  /Paid v/State Bank Of India</t>
  </si>
  <si>
    <t>Maguluri  Subba Rao</t>
  </si>
  <si>
    <t>UPI/P2M/560697572688/Govindas             /Paid v/YES BANK LIMITED YBS</t>
  </si>
  <si>
    <t>Govindas</t>
  </si>
  <si>
    <t>UPI/P2A/524000980690/T   VIJAYAKUMAR      /Paid v/INDIAN OVERSEAS BANK</t>
  </si>
  <si>
    <t>T   Vijayakumar</t>
  </si>
  <si>
    <t>UPI/P2A/524109286229/GET WELL SOON PHARMAC/Paid v/State Bank Of India</t>
  </si>
  <si>
    <t>UPI/P2A/524110281401/TELUGU DHANALAKSHMI  /Paid v/UNION BANK OF INDIA</t>
  </si>
  <si>
    <t>Telugu Dhanalakshmi</t>
  </si>
  <si>
    <t>UPI/P2A/524111739019/K RANGAIAH           /Paid v/CANARA BANK</t>
  </si>
  <si>
    <t>K Rangaiah</t>
  </si>
  <si>
    <t>UPI/P2M/524223688490/KANAGARAJ RAMAMOORTHY/Paid v/YES BANK LIMITED YBS</t>
  </si>
  <si>
    <t>Kanagaraj Ramamoorthy</t>
  </si>
  <si>
    <t>UPI/P2M/560842785807/CRED Club            /paymen/AXIS BANK</t>
  </si>
  <si>
    <t>UPI/P2M/524349778272/MATS FUEL PARK HPCL  /Paid v/YES BANK LIMITED YBS</t>
  </si>
  <si>
    <t>MOB/TPFT/Ajay Kumar Gupt/910010047943167</t>
  </si>
  <si>
    <t>UPI/P2A/160416032445/Mr Aayush Kumar Gupta/UPI/State Bank Of India</t>
  </si>
  <si>
    <t>NEFT/HDFCH00454173917/MPHASIS LIMITED/HDFC BANK/0001SALARYAUG2025</t>
  </si>
  <si>
    <t>UPI/P2A/218604962445/Mr Aayush Kumar Gupta/UPI/State Bank Of India</t>
  </si>
  <si>
    <t>UPI/P2A/524462284385/ARCHIT GUPTA         /Paid v/HDFC BANK LTD</t>
  </si>
  <si>
    <t>INB/IFT/AJAY KUMAR GUPTA/TPARTY TRANSFER</t>
  </si>
  <si>
    <t>UPI/P2A/524577314064/R AMRIT              /Paid v/HDFC BANK LTD</t>
  </si>
  <si>
    <t>UPI/P2M/561148366587/DISTRICT MOVIE TICKET/UPIInt/HDFC BANK LTD</t>
  </si>
  <si>
    <t>District Movie Ticket</t>
  </si>
  <si>
    <t>UPI/P2A/561202266085/PRATHAP  S           /Paid v/INDIAN OVERSEAS BANK</t>
  </si>
  <si>
    <t>Prathap  S</t>
  </si>
  <si>
    <t>UPI/P2M/561537274923/SHEELA DEVI          /Pay to/UNITY SMALL FINANCE</t>
  </si>
  <si>
    <t>Sheela Devi</t>
  </si>
  <si>
    <t>UPI/P2M/561553332459/CRED Club            /paymen/AXIS BANK</t>
  </si>
  <si>
    <t>UPI/P2M/561654901389/CRED Club            /paymen/AXIS BANK</t>
  </si>
  <si>
    <t>UPI/P2M/561664121939/MAHADESHWARA FUEL STA/Paid v/YES BANK LIMITED YBS</t>
  </si>
  <si>
    <t>Mahadeshwara Fuel Sta</t>
  </si>
  <si>
    <t>UPI/P2A/561778667145/Kriti  Gupta         /Paid v/State Bank Of India</t>
  </si>
  <si>
    <t>Kriti  Gupta</t>
  </si>
  <si>
    <t>UPI/P2M/561857797815/CRED Club            /paymen/AXIS BANK</t>
  </si>
  <si>
    <t>UPI/P2M/101421464968/IRCTC CF             /IRCTC/HDFC BANK LTD</t>
  </si>
  <si>
    <t>UPI/P2M/561958930488/CRED Club            /paymen/AXIS BANK</t>
  </si>
  <si>
    <t>UPI/P2M/561959083803/CRED                 /paymen/AXIS BANK</t>
  </si>
  <si>
    <t>UPI/P2M/525313243309/Sri Vinayaka Hotel   /Paid v/AXIS BANK</t>
  </si>
  <si>
    <t>Sri Vinayaka Hotel</t>
  </si>
  <si>
    <t>UPI/P2M/525313633967/NECE TRA1 REVENUE Ac /Paid v/AXIS BANK</t>
  </si>
  <si>
    <t>Nece Tra1 Revenue Ac</t>
  </si>
  <si>
    <t>UPI/P2A/561959225827/RAHUL GUPTA          /Paid v/ICICI Bank</t>
  </si>
  <si>
    <t>Rahul Gupta</t>
  </si>
  <si>
    <t>UPI/P2M/562060230801/CRED Club            /paymen/AXIS BANK</t>
  </si>
  <si>
    <t>UPI/P2M/525430463131/TWO LAXMI PATIL SERVI/Paid v/YES BANK LIMITED YBS</t>
  </si>
  <si>
    <t>Transport</t>
  </si>
  <si>
    <t>UPI/P2M/525434333836/HOTEL TOP IN TOWN    /Paid v/YES BANK LIMITED YBS</t>
  </si>
  <si>
    <t>Hotel Top In Town</t>
  </si>
  <si>
    <t>UPI/P2A/525435233139/FIROJA DADAMAHBUBSAB /Paid v/State Bank Of India</t>
  </si>
  <si>
    <t>Firoja Dadamahbubsab</t>
  </si>
  <si>
    <t>UPI/P2M/562161815328/CRED Club            /paymen/AXIS BANK</t>
  </si>
  <si>
    <t>UPI/P2M/525553235793/PAAKASHALA MADIKERI F/Paid v/YES BANK LIMITED YBS</t>
  </si>
  <si>
    <t>Paakashala Madikeri F</t>
  </si>
  <si>
    <t>UPI/P2M/562262827672/CRED Club            /paymen/AXIS BANK</t>
  </si>
  <si>
    <t>UPI/P2M/562262830694/CRED                 /paymen/AXIS BANK</t>
  </si>
  <si>
    <t>UPI/P2M/525666017431/KAMADENU SERVICE STAT/UPI/BANK OF BARODA</t>
  </si>
  <si>
    <t>UPI/P2M/525672717112/BENAKA ENTERPRISES   /Paid v/YES BANK LIMITED YBS</t>
  </si>
  <si>
    <t>UPI/P2M/525676008140/KAKE DI HATTI        /Paid v/YES BANK LIMITED YBS</t>
  </si>
  <si>
    <t>Food &amp; Dining</t>
  </si>
  <si>
    <t>UPI/P2M/525676973625/Nandini              /Paid v/YES BANK LIMITED YBS</t>
  </si>
  <si>
    <t>UPI/P2M/562364147791/CRED Club            /paymen/AXIS BANK</t>
  </si>
  <si>
    <t>UPI/P2M/525783620183/M RAJESH             /Paid v/YES BANK LIMITED YBS</t>
  </si>
  <si>
    <t>M Rajesh</t>
  </si>
  <si>
    <t>UPI/P2M/525787495851/BANNERGHATTA BIOLOGIC/Paymen/AXIS BANK</t>
  </si>
  <si>
    <t>UPI/P2M/525788628767/KavithaR             /Paid v/YES BANK LIMITED YBS</t>
  </si>
  <si>
    <t>Kavithar</t>
  </si>
  <si>
    <t>UPI/P2M/562364834517/CRED                 /paymen/AXIS BANK</t>
  </si>
  <si>
    <t>UPI/P2A/525792927849/NAGARAJA B H         /Paid v/FEDERAL BANK</t>
  </si>
  <si>
    <t>Nagaraja B H</t>
  </si>
  <si>
    <t>UPI/P2M/562465557538/CRED Club            /paymen/AXIS BANK</t>
  </si>
  <si>
    <t>UPI/P2M/562411851852/Nandini              /Paid v/YES BANK LIMITED YBS</t>
  </si>
  <si>
    <t>UPI/P2M/562566695365/CRED Club            /paymen/AXIS BANK</t>
  </si>
  <si>
    <t>UPI/P2M/562667945134/CRED Club            /paymen/AXIS BANK</t>
  </si>
  <si>
    <t>UPI/P2M/562640887612/Nandini              /Paid v/YES BANK LIMITED YBS</t>
  </si>
  <si>
    <t>UPI/P2M/562650312012/SRI GAJANANA FRUIT JU/Paid v/YES BANK LIMITED YBS</t>
  </si>
  <si>
    <t>UPI/P2M/562769070933/CRED Club            /paymen/AXIS BANK</t>
  </si>
  <si>
    <t>UPI/P2M/562767187892/NN AND SONS FUEL STAT/Paid v/YES BANK LIMITED YBS</t>
  </si>
  <si>
    <t>Nn And Sons Fuel Stat</t>
  </si>
  <si>
    <t>UPI/P2M/562870184812/CRED Club            /paymen/AXIS BANK</t>
  </si>
  <si>
    <t>UPI/P2M/562971179352/CRED Club            /paymen/AXIS BANK</t>
  </si>
  <si>
    <t>UPI/P2M/562995822963/Nandini              /Paid v/YES BANK LIMITED YBS</t>
  </si>
  <si>
    <t>UPI/P2M/563072495417/CRED Club            /paymen/AXIS BANK</t>
  </si>
  <si>
    <t>UPI/P2M/563173650999/CRED Club            /paymen/AXIS BANK</t>
  </si>
  <si>
    <t>UPI/P2M/526543014640/Nandini              /Paid v/YES BANK LIMITED YBS</t>
  </si>
  <si>
    <t>UPI/P2M/563274989341/CRED Club            /paymen/AXIS BANK</t>
  </si>
  <si>
    <t>UPI/P2M/526655410406/Nandini              /Paid v/YES BANK LIMITED YBS</t>
  </si>
  <si>
    <t>UPI/P2M/563376584684/CRED Club            /paymen/AXIS BANK</t>
  </si>
  <si>
    <t>UPI/P2M/526777355386/Nandini              /Paid v/YES BANK LIMITED YBS</t>
  </si>
  <si>
    <t>UPI/P2M/563477252506/CRED Club            /paymen/AXIS BANK</t>
  </si>
  <si>
    <t>UPI/P2M/563578455668/CRED Club            /paymen/AXIS BANK</t>
  </si>
  <si>
    <t>UPI/P2A/563517118159/CHIDANAND ADDOLLI    /Paid v/CANARA BANK</t>
  </si>
  <si>
    <t>Chidanand Addolli</t>
  </si>
  <si>
    <t>UPI/P2M/563679959430/CRED Club            /paymen/AXIS BANK</t>
  </si>
  <si>
    <t>UPI/P2M/563780989187/CRED Club            /paymen/AXIS BANK</t>
  </si>
  <si>
    <t>UPI/P2M/563747720859/MANISH HEMANT AMLE   /Paid v/YES BANK LIMITED YBS</t>
  </si>
  <si>
    <t>Manish Hemant Amle</t>
  </si>
  <si>
    <t>UPI/P2M/563781724317/IRCTC CF             /IRCTC/HDFC BANK LTD</t>
  </si>
  <si>
    <t>UPI/P2M/563882386206/CRED Club            /paymen/AXIS BANK</t>
  </si>
  <si>
    <t>UPI/P2M/563983724039/CRED Club            /paymen/AXIS BANK</t>
  </si>
  <si>
    <t>UPI/P2M/563989122718/KAILAS PETROMINES-New/Paid v/YES BANK LIMITED YBS</t>
  </si>
  <si>
    <t>UPI/P2M/564085421666/CRED Club            /paymen/AXIS BANK</t>
  </si>
  <si>
    <t>NEFT/HDFCH00516568284/MPHASIS LIMITED/HDFC BANK/0001SALARYSEP2025</t>
  </si>
  <si>
    <t>SB:915010020334307:Int.Pd:01-07-2025 to 30-09-2025</t>
  </si>
  <si>
    <t>UPI/P2M/564187182689/CRED Club            /paymen/AXIS BANK</t>
  </si>
  <si>
    <t>UPI/P2A/527527267514/MOHITH S REDDY       /Paid v/AXIS BANK</t>
  </si>
  <si>
    <t>UPI/P2M/564288508339/CRED Club            /paymen/AXIS BANK</t>
  </si>
  <si>
    <t>UPI/P2M/564288895693/Care Health Insurance/UPIInt/AXIS BANK</t>
  </si>
  <si>
    <t>UPI/P2M/564390061240/CRED Club            /paymen/AXIS BANK</t>
  </si>
  <si>
    <t>UPI/P2M/527769809208/KAILAS PETROMINES-New/Paid v/YES BANK LIMITED YBS</t>
  </si>
  <si>
    <t>UPI/P2M/101623007079/IRCTC CF             /IRCTC/HDFC BANK LTD</t>
  </si>
  <si>
    <t>UPI/P2A/564390748048/MEGHA GUPTA          /Paid v/HDFC BANK LTD</t>
  </si>
  <si>
    <t>UPI/P2M/564491549349/CRED Club            /paymen/AXIS BANK</t>
  </si>
  <si>
    <t>UPI/P2A/527893593416/BANTI MADHUKAR JACHAK/Paid v/State Bank Of India</t>
  </si>
  <si>
    <t>Banti Madhukar Jachak</t>
  </si>
  <si>
    <t>UPI/P2M/564593019062/CRED Club            /paymen/AXIS BANK</t>
  </si>
  <si>
    <t>UPI/P2A/564521182259/SAWAROO CHAUHAN S/O M/Paid v/UNION BANK OF INDIA</t>
  </si>
  <si>
    <t>Sawaroo Chauhan S</t>
  </si>
  <si>
    <t>UPI/P2M/564639929336/MANISH HEMANT AMLE   /Paid v/YES BANK LIMITED YBS</t>
  </si>
  <si>
    <t>UPI/P2M/528535204393/MANISH HEMANT AMLE   /Paid v/YES BANK LIMITED YBS</t>
  </si>
  <si>
    <t>UPI/P2M/528538153642/KWALITY MILK CENTRE  /Pay to/FEDERAL BANK</t>
  </si>
  <si>
    <t>Kwality Milk Centre</t>
  </si>
  <si>
    <t>UPI/P2M/528539147638/KWALITY MILK CENTRE  /Pay to/FEDERAL BANK</t>
  </si>
  <si>
    <t>UPI/P2M/528602272312/CRED Club            /paymen/AXIS BANK</t>
  </si>
  <si>
    <t>UPI/P2M/528703396595/CRED Club            /paymen/AXIS BANK</t>
  </si>
  <si>
    <t>UPI/P2M/528804628199/CRED Club            /paymen/AXIS BANK</t>
  </si>
  <si>
    <t>UPI/P2M/528905826543/CRED Club            /paymen/AXIS BANK</t>
  </si>
  <si>
    <t>UPI/P2M/529007018258/countrydelight       /Countr/AXIS BANK</t>
  </si>
  <si>
    <t>Countrydelight</t>
  </si>
  <si>
    <t>UPI/P2M/529007055421/CRED Club            /paymen/AXIS BANK</t>
  </si>
  <si>
    <t>UPI/P2M/529108203874/CRED Club            /paymen/AXIS BANK</t>
  </si>
  <si>
    <t>UPI/P2M/529209492649/CRED Club            /paymen/AXIS BANK</t>
  </si>
  <si>
    <t>UPI/P2M/529209601721/CRED WALLET          /paymen/AXIS BANK</t>
  </si>
  <si>
    <t>UPI/P2A/565872986947/SACHIN RAJU SHINDE   /Paid v/HDFC BANK LTD</t>
  </si>
  <si>
    <t>Sachin Raju Shinde</t>
  </si>
  <si>
    <t>UPI/P2M/529310872696/CRED Club            /paymen/AXIS BANK</t>
  </si>
  <si>
    <t>UPI/P2A/565996683756/Mr TUSHAR TRYAMBAK WA/Paid v/BANK OF MAHARASHTRA</t>
  </si>
  <si>
    <t>Mr Tushar Tryambak Wa</t>
  </si>
  <si>
    <t>UPI/P2M/529412078833/CRED Club            /paymen/AXIS BANK</t>
  </si>
  <si>
    <t>UPI/P2M/529614236693/CRED Club            /paymen/AXIS BANK</t>
  </si>
  <si>
    <t>UPI/P2M/529715275233/CRED Club            /paymen/AXIS BANK</t>
  </si>
  <si>
    <t>UPI/P2M/529816805791/CRED Club            /paymen/AXIS BANK</t>
  </si>
  <si>
    <t>UPI/P2A/101790247491/IRCTC CF/HDFC BANK/UPI Refu/</t>
  </si>
  <si>
    <t>UPI/P2M/529917560169/CRED Club            /paymen/AXIS BANK</t>
  </si>
  <si>
    <t>UPI/P2M/530019169621/CRED Club            /paymen/AXIS BANK</t>
  </si>
  <si>
    <t>UPI/P2M/530322034484/CRED Club            /paymen/AXIS BANK</t>
  </si>
  <si>
    <t>UPI/P2M/530423647908/CRED Club            /paymen/AXIS BANK</t>
  </si>
  <si>
    <t>UPI/P2M/530524707685/CRED Club            /paymen/AXIS BANK</t>
  </si>
  <si>
    <t>NEFT/HDFCH00583241748/MPHASIS LIMITED/HDFC BANK/0001SALARYOCT2025</t>
  </si>
  <si>
    <t>UPI/P2M/530626304480/CRED Club            /paymen/AXIS BANK</t>
  </si>
  <si>
    <t>UPI/P2M/530728038200/CRED Club            /paymen/AXIS BANK</t>
  </si>
  <si>
    <t>UPI/P2A/530728288077/Mohith S Reddy       /Paid v/AXIS BANK</t>
  </si>
  <si>
    <t>UPI/P2M/530829383303/CRED Club            /paymen/AXIS BANK</t>
  </si>
  <si>
    <t>UPI/P2M/530877691465/MATS FUEL PARK HPCL  /Paid v/YES BANK LIMITED YBS</t>
  </si>
  <si>
    <t>UPI/P2M/530829797289/National Highways Aut/Payvia/AIRTEL PAYMENTS BANK</t>
  </si>
  <si>
    <t>UPI/P2M/530930658151/CRED Club            /paymen/AXIS BANK</t>
  </si>
  <si>
    <t>UPI/P2M/531032082358/CRED Club            /paymen/AXIS BANK</t>
  </si>
  <si>
    <t>UPI/P2M/531133466304/Amazon Pay           /You ar/AXIS BANK</t>
  </si>
  <si>
    <t>UPI/P2A/416467133115/AAYUSH KUMAR GUPTA   /Invest/Kotak Mahindra Bank</t>
  </si>
  <si>
    <t>UPI/P2M/531764691669/IRCTC CF             /IRCTC/HDFC BANK LTD</t>
  </si>
  <si>
    <t>UPI/P2M/531765594599/IRCTC CF             /IRCTC/HDFC BANK LTD</t>
  </si>
  <si>
    <t>UPI/P2M/531766436934/IRCTC CF             /IRCTC/HDFC BANK LTD</t>
  </si>
  <si>
    <t>UPI/P2M/531767575685/IRCTC CF             /IRCTC/HDFC BANK LTD</t>
  </si>
  <si>
    <t>UPI/P2M/531741742223/IRCTC CF             /IRCTC/HDFC BANK LTD</t>
  </si>
  <si>
    <t>UPI/P2M/531841774491/IRCTC CF             /IRCTC/HDFC BANK LTD</t>
  </si>
  <si>
    <t>UPI/P2M/531841775133/IRCTC CF             /IRCTC/HDFC BANK LTD</t>
  </si>
  <si>
    <t>UPI/P2M/531842275179/Nandini              /Paid v/YES BANK LIMITED YBS</t>
  </si>
  <si>
    <t>UPI/P2M/531842450557/Nandini              /Paid v/YES BANK LIMITED YBS</t>
  </si>
  <si>
    <t>UPI/P2A/531842810706/SIRAJUDDEEN M        /Paid v/UNION BANK OF INDIA</t>
  </si>
  <si>
    <t>Sirajuddeen M</t>
  </si>
  <si>
    <t>UPI/P2M/531888363147/SAHAL SABITH P       /Paid v/YES BANK LIMITED YBS</t>
  </si>
  <si>
    <t>Sahal Sabith P</t>
  </si>
  <si>
    <t>UPI/P2A/531943282493/SIDDESH K C          /Paid v/State Bank Of India</t>
  </si>
  <si>
    <t>Siddesh K C</t>
  </si>
  <si>
    <t>UPI/P2M/532247160035/CRED WALLET          /paymen/AXIS BANK</t>
  </si>
  <si>
    <t>UPI/P2A/532347901782/ABDUL SHAKEEL        /Paid v/BANK OF BARODA</t>
  </si>
  <si>
    <t>Abdul Shakeel</t>
  </si>
  <si>
    <t>UPI/P2M/532651642852/MANISHMARKETING      /Paid v/YES BANK LIMITED YBS</t>
  </si>
  <si>
    <t>Manishmarketing</t>
  </si>
  <si>
    <t>UPI/P2M/532651959299/CRED Club            /paymen/AXIS BANK</t>
  </si>
  <si>
    <t>UPI/P2M/532652092060/SHRIRAM NAAMDEV      /Paid v/HDFC BANK LTD</t>
  </si>
  <si>
    <t>Shriram Naamdev</t>
  </si>
  <si>
    <t>UPI/P2M/532652117002/ROHIT  KUMAR         /Pay to/FEDERAL BANK</t>
  </si>
  <si>
    <t>Rohit  Kumar</t>
  </si>
  <si>
    <t>UPI/P2M/532753207864/CRED Club            /paymen/AXIS BANK</t>
  </si>
  <si>
    <t>UPI/P2A/532753513673/KULVENDRA KUMAR SO VI/Paid v/Punjab National Bank</t>
  </si>
  <si>
    <t>Kulvendra Kumar So Vi</t>
  </si>
  <si>
    <t>UPI/P2M/532854262293/CRED Club            /paymen/AXIS BANK</t>
  </si>
  <si>
    <t>UPI/P2M/532854408644/ANJU JAIN W O DEEPAK /Paid v/YES BANK LIMITED YBS</t>
  </si>
  <si>
    <t>Anju Jain W O Deepak</t>
  </si>
  <si>
    <t>UPI/P2M/532954960668/CRED Club            /paymen/AXIS BANK</t>
  </si>
  <si>
    <t>UPI/P2A/532955136965/GIRDHARI             /Paid v/BANK OF BARODA</t>
  </si>
  <si>
    <t>Girdhari</t>
  </si>
  <si>
    <t>UPI/P2M/533056199192/CRED Club            /paymen/AXIS BANK</t>
  </si>
  <si>
    <t>UPI/P2A/408381273305/AAYUSH KUMAR GUPTA   /UPI/Kotak Mahindra Bank</t>
  </si>
  <si>
    <t>UPI/P2M/533157365409/CRED Club            /paymen/AXIS BANK</t>
  </si>
  <si>
    <t>UPI/P2M/533258642160/CRED Club            /paymen/AXIS BANK</t>
  </si>
  <si>
    <t>UPI/P2A/533259267677/GIRDHARI             /Paid v/BANK OF BARODA</t>
  </si>
  <si>
    <t>UPI/P2M/569816831780/Rameshwar            /Paid v/YES BANK LIMITED YBS</t>
  </si>
  <si>
    <t>Rameshwar</t>
  </si>
  <si>
    <t>UPI/P2A/533259639956/SATYANARAYAN VAISHNAV/Paid v/BANK OF BARODA</t>
  </si>
  <si>
    <t>Satyanarayan Vaishnav</t>
  </si>
  <si>
    <t>UPI/P2M/533360037640/CRED Club            /paymen/AXIS BANK</t>
  </si>
  <si>
    <t>UPI/P2M/533360608133/JAI  AMBE  NAMAKEENS /Paid v/YES BANK LIMITED YBS</t>
  </si>
  <si>
    <t>Jai  Ambe  Namakeens</t>
  </si>
  <si>
    <t>UPI/P2M/533461510471/CRED Club            /paymen/AXIS BANK</t>
  </si>
  <si>
    <t>UPI/P2M/533462257990/M/S.D P ABHUSHAN LIMI/Paid v/ICICI Bank</t>
  </si>
  <si>
    <t>NEFT/HDFCH00642666987/MPHASIS LIMITED/HDFC BANK/0001SALARYNOV2025</t>
  </si>
  <si>
    <t>UPI/P2M/533563509008/CRED Club            /paymen/AXIS BANK</t>
  </si>
  <si>
    <t>UPI/P2A/509940303355/AAYUSH KUMAR GUPTA   /UPI/Kotak Mahindra Bank</t>
  </si>
  <si>
    <t>UPI/P2M/533664865141/CRED Club            /paymen/AXIS BANK</t>
  </si>
  <si>
    <t>UPI/P2M/533664928188/IRCTC ETICKETING     /IRCTC/NSDL PAYMENTS BANK L</t>
  </si>
  <si>
    <t>UPI/P2M/533664928188/IRCTC ETICKETING/NSPB//</t>
  </si>
  <si>
    <t>UPI/P2M/533766265669/CRED Club            /paymen/AXIS BANK</t>
  </si>
  <si>
    <t>UPI/P2A/533767053218/Mohith S Reddy       /Paid v/AXIS BANK</t>
  </si>
  <si>
    <t>UPI/P2M/533867770901/CRED Club            /paymen/AXIS BANK</t>
  </si>
  <si>
    <t>UPI/P2A/102130664898/IRCTC CF/HDFC/UPI Refu/</t>
  </si>
  <si>
    <t>UPI/P2M/533969052574/CRED Club            /paymen/AXIS BANK</t>
  </si>
  <si>
    <t>UPI/P2M/534070464796/CRED Club            /paymen/AXIS BANK</t>
  </si>
  <si>
    <t>UPI/P2M/534070702602/Amazon Pay Gift Card /You ar/AXIS BANK</t>
  </si>
  <si>
    <t>UPI/P2A/534171977152/Kaidul Alom Laskar   /Paid v/AIRTEL PAYMENTS BANK</t>
  </si>
  <si>
    <t>Kaidul Alom Laskar</t>
  </si>
  <si>
    <t>UPI/P2M/534172005739/Nandini              /Paid v/YES BANK LIMITED YBS</t>
  </si>
  <si>
    <t>UPI/P2M/534172458629/UDUPI  GOKARNA CAFE 1/Paid v/YES BANK LIMITED YBS</t>
  </si>
  <si>
    <t>Udupi  Gokarna Cafe 1</t>
  </si>
  <si>
    <t>UPI/P2A/689607703445/MEGHA GUPTA          /UPI/HDFC BANK LTD</t>
  </si>
  <si>
    <t>UPI/P2M/571027921450/Nandini              /Paid v/YES BANK LIMITED YBS</t>
  </si>
  <si>
    <t>UPI/P2M/571009922437/RK FARM FRESH VEGETAB/Paid v/YES BANK LIMITED YBS</t>
  </si>
  <si>
    <t>UPI/P2M/534679381551/Nandini              /Paid v/YES BANK LIMITED YBS</t>
  </si>
  <si>
    <t>UPI/P2M/534780471110/Iyengars Bread Basket/Paid v/YES BANK LIMITED YBS</t>
  </si>
  <si>
    <t>UPI/P2A/102219004496/IRCTC CF/HDFC/UPI Refu/</t>
  </si>
  <si>
    <t>UPI/P2M/534882020632/CRED WALLET          /paymen/AXIS BANK</t>
  </si>
  <si>
    <t>UPI/P2M/534982253311/CBDT                 /UPIInt/HDFC BANK LTD</t>
  </si>
  <si>
    <t>Tax</t>
  </si>
  <si>
    <t>UPI/P2A/535184665268/KANTHAMMA            /sendin/CANARA BANK</t>
  </si>
  <si>
    <t>UPI/P2A/535184683919/KANTHAMMA            /Token/CANARA BANK</t>
  </si>
  <si>
    <t>UPI/P2M/535185353789/Nandini              /Paid v/YES BANK LIMITED YBS</t>
  </si>
  <si>
    <t>UPI/P2M/535386893794/CRED WALLET          /paymen/AXIS BANK</t>
  </si>
  <si>
    <t>UPI/P2M/535387620511/Nandini              /Paid v/YES BANK LIMITED YBS</t>
  </si>
  <si>
    <t>UPI/P2M/535488255835/Nandini              /Paid v/YES BANK LIMITED YBS</t>
  </si>
  <si>
    <t>UPI/P2M/535488492299/Nandini              /Paid v/YES BANK LIMITED YBS</t>
  </si>
  <si>
    <t>UPI/P2A/535488763784/MUHAMMED SUHAIL C K  /Paid v/FEDERAL BANK</t>
  </si>
  <si>
    <t>Muhammed Suhail C K</t>
  </si>
  <si>
    <t>UPI/P2M/535589987814/Nandini              /Paid v/YES BANK LIMITED YBS</t>
  </si>
  <si>
    <t>UPI/P2M/535690385987/CRED Club            /paymen/AXIS BANK</t>
  </si>
  <si>
    <t>UPI/P2A/102274156200/IRCTC CF/HDFC/UPI Refu/</t>
  </si>
  <si>
    <t>UPI/P2M/535690490181/Nandini              /Paid v/YES BANK LIMITED YBS</t>
  </si>
  <si>
    <t>UPI/P2M/572205679493/SHWETHA              /Paid v/YES BANK LIMITED YBS</t>
  </si>
  <si>
    <t>Shwetha</t>
  </si>
  <si>
    <t>UPI/P2M/535791553950/CRED Club            /paymen/AXIS BANK</t>
  </si>
  <si>
    <t>UPI/P2M/572324850937/MIDAS DAILY SUPER MAR/Paid v/YES BANK LIMITED YBS</t>
  </si>
  <si>
    <t>Midas Daily Super Mar</t>
  </si>
  <si>
    <t>UPI/P2M/535791739722/Iyengars Bread Basket/Paid v/YES BANK LIMITED YBS</t>
  </si>
  <si>
    <t>UPI/P2M/535791749407/MATS FUEL PARK HPCL  /Paid v/YES BANK LIMITED YBS</t>
  </si>
  <si>
    <t>UPI/P2A/535791785040/BASAVARAJ            /Paid v/HDFC BANK LTD</t>
  </si>
  <si>
    <t>Basavaraj</t>
  </si>
  <si>
    <t>UPI/P2M/535892558313/CRED Club            /paymen/AXIS BANK</t>
  </si>
  <si>
    <t>UPI/P2A/535893015756/VENKATARAVANA N V    /Paid v/KARNATAKA BANK LTD</t>
  </si>
  <si>
    <t>Venkataravana N V</t>
  </si>
  <si>
    <t>UPI/P2M/535993882971/CRED Club            /paymen/AXIS BANK</t>
  </si>
  <si>
    <t>UPI/P2M/535993966297/gonna drive          /Paid v/Kotak Mahindra Bank</t>
  </si>
  <si>
    <t>Gonna Drive</t>
  </si>
  <si>
    <t>UPI/P2M/535993974123/BP Petrol Pump - Asho/Paid v/YES BANK LIMITED YBS</t>
  </si>
  <si>
    <t>Bp Petrol Pump - Asho</t>
  </si>
  <si>
    <t>UPI/P2M/535994225595/LUCKY STAR           /Paid v/YES BANK LIMITED YBS</t>
  </si>
  <si>
    <t>Lucky Star</t>
  </si>
  <si>
    <t>UPI/P2A/536095069957/ARSHAD A             /Paid v/Punjab National Bank</t>
  </si>
  <si>
    <t>Arshad A</t>
  </si>
  <si>
    <t>UPI/P2M/536095070997/CRED Club            /paymen/AXIS BANK</t>
  </si>
  <si>
    <t>UPI/P2M/536096227205/Malabar Chips        /Paid v/AXIS BANK</t>
  </si>
  <si>
    <t>Malabar Chips</t>
  </si>
  <si>
    <t>UPI/P2M/536196468725/CRED Club            /paymen/AXIS BANK</t>
  </si>
  <si>
    <t>UPI/P2M/536196549897/MUJEEB RAHIMAN C K   /Paid v/YES BANK LIMITED YBS</t>
  </si>
  <si>
    <t>Mujeeb Rahiman C K</t>
  </si>
  <si>
    <t>UPI/P2A/536196965691/JITHIN  KUMAR K P    /Paid v/State Bank Of India</t>
  </si>
  <si>
    <t>Jithin  Kumar K P</t>
  </si>
  <si>
    <t>UPI/P2A/536197390895/ROY R                /Paid v/KARNATAKA BANK LTD</t>
  </si>
  <si>
    <t>Roy R</t>
  </si>
  <si>
    <t>UPI/P2M/536197402068/CHANDRA FUELS        /Paid v/YES BANK LIMITED YBS</t>
  </si>
  <si>
    <t>Chandra Fuels</t>
  </si>
  <si>
    <t>UPI/P2M/536297577223/CRED Club            /paymen/AXIS BANK</t>
  </si>
  <si>
    <t>UPI/P2M/536398823698/CRED Club            /paymen/AXIS BANK</t>
  </si>
  <si>
    <t>UPI/P2A/536398963727/Mr MUTHUSWAMI  S     /Paid v/CENTRAL BANK OF INDI</t>
  </si>
  <si>
    <t>Mr Muthuswami  S</t>
  </si>
  <si>
    <t>UPI/P2A/102323650732/IRCTC CF/HDFC/UPI Refu/</t>
  </si>
  <si>
    <t>UPI/P2A/102323706041/IRCTC CF/HDFC/UPI Refu/</t>
  </si>
  <si>
    <t>UPI/P2A/102324159061/IRCTC CF/HDFC/UPI Refu/</t>
  </si>
  <si>
    <t>UPI/P2M/536491947792/AUTOPE PAYMENT SOLUTI/Pay wi/YES BANK LIMITED YBS</t>
  </si>
  <si>
    <t>UPI/P2M/636703160870/CRED Club            /paymen/AXIS BANK</t>
  </si>
  <si>
    <t>UPI/P2M/161096210016/ZEPTO MARKETPLACE PRI/home/AXIS BANK</t>
  </si>
  <si>
    <t>NEFT/HDFCH00707636470/MPHASIS LIMITED/HDFC BANK/0001SALARYDEC2025</t>
  </si>
  <si>
    <t>UPI/P2M/600197463381/AUTOPE PAYMENT SOLUTI/Pay wi/YES BANK LIMITED YBS</t>
  </si>
  <si>
    <t>UPI/P2M/636704037979/CHEF BAKERS          /Paid v/AXIS BANK</t>
  </si>
  <si>
    <t>Chef Bakers</t>
  </si>
  <si>
    <t>SB:915010020334307:Int.Pd:01-10-2025 to 31-12-2025</t>
  </si>
  <si>
    <t>UPI/P2M/636804805672/CRED Club            /paymen/AXIS BANK</t>
  </si>
  <si>
    <t>UPI/P2A/337434500026/G Kanthamma          /securi/BANK OF BARODA</t>
  </si>
  <si>
    <t>UPI/P2A/364380380026/G Kanthamma          /balanc/BANK OF BARODA</t>
  </si>
  <si>
    <t>UPI/P2M/636805367129/P Chandrappa         /Paid v/YES BANK LIMITED YBS</t>
  </si>
  <si>
    <t>P Chandrappa</t>
  </si>
  <si>
    <t>UPI/P2A/636849368554/SARAS ENTERPRISES    /Paid v/ICICI Bank</t>
  </si>
  <si>
    <t>Saras Enterprises</t>
  </si>
  <si>
    <t>UPI/P2M/636805721683/Udupi Gokula Veg     /Paid v/YES BANK LIMITED YBS</t>
  </si>
  <si>
    <t>Udupi Gokula Veg</t>
  </si>
  <si>
    <t>UPI/P2M/636850405025/ANURAG SINGH JADAUN  /Paid v/YES BANK LIMITED YBS</t>
  </si>
  <si>
    <t>Anurag Singh Jadaun</t>
  </si>
  <si>
    <t>UPI/P2M/636854210549/VISHWANATH DEVADIGA  /Paid v/YES BANK LIMITED YBS</t>
  </si>
  <si>
    <t>Vishwanath Devadiga</t>
  </si>
  <si>
    <t>UPI/P2M/636906389130/CRED Club            /paymen/AXIS BANK</t>
  </si>
  <si>
    <t>UPI/P2M/636965768807/FAMILY CHOICE        /Paid v/YES BANK LIMITED YBS</t>
  </si>
  <si>
    <t>Family Choice</t>
  </si>
  <si>
    <t>UPI/P2M/636965937635/Sakumalla Sri Ramabha/Paid v/YES BANK LIMITED YBS</t>
  </si>
  <si>
    <t>Sakumalla Sri Ramabha</t>
  </si>
  <si>
    <t>UPI/P2M/636965987439/SRI MATHESWARI ELECTR/Paid v/YES BANK LIMITED YBS</t>
  </si>
  <si>
    <t>Sri Matheswari Electr</t>
  </si>
  <si>
    <t>UPI/P2M/636968239655/SRI VIJAYALAKSHMI STO/Paid v/AXIS BANK</t>
  </si>
  <si>
    <t>Sri Vijayalakshmi Sto</t>
  </si>
  <si>
    <t>UPI/P2M/636968269258/RAMDEV BANGLES       /Paid v/YES BANK LIMITED YBS</t>
  </si>
  <si>
    <t>Ramdev Bangles</t>
  </si>
  <si>
    <t>UPI/P2M/636969554572/Udupi Gokula Veg     /Paid v/YES BANK LIMITED YBS</t>
  </si>
  <si>
    <t>UPI/P2M/636969670295/Sri Bhuvaneswary Rice/Paid v/AXIS BANK</t>
  </si>
  <si>
    <t>Sri Bhuvaneswary Rice</t>
  </si>
  <si>
    <t>UPI/P2M/636969781919/Mr UPENDRA J         /Paid v/YES BANK LIMITED YBS</t>
  </si>
  <si>
    <t>Mr Upendra J</t>
  </si>
  <si>
    <t>UPI/P2M/636907373276/VISHWANATH DEVADIGA  /Paid v/YES BANK LIMITED YBS</t>
  </si>
  <si>
    <t>UPI/P2M/636975198955/Mr SURESH LAL GUPTA  /Paid v/YES BANK LIMITED YBS</t>
  </si>
  <si>
    <t>Mr Suresh Lal Gupta</t>
  </si>
  <si>
    <t>UPI/P2M/636975912517/Smart Bangalore TFU5 /Paid v/JIO PAYMENTS BANK LT</t>
  </si>
  <si>
    <t>Smart Bangalore Tfu5</t>
  </si>
  <si>
    <t>UPI/P2A/600305925562/AUTOPE PA/YESB/Refund f/</t>
  </si>
  <si>
    <t>UPI/P2A/637001823451/MEGHA GUP/HDFC/Paid via/</t>
  </si>
  <si>
    <t>UPI/P2A/600403614191/Miss MEGH/CBIN/UPI/</t>
  </si>
  <si>
    <t>UPI/P2M/637007950699/CRED Club            /paymen/AXIS BANK</t>
  </si>
  <si>
    <t>UPI/P2M/637093857624/Deepa Madhapan       /Paid v/YES BANK LIMITED YBS</t>
  </si>
  <si>
    <t>Deepa Madhapan</t>
  </si>
  <si>
    <t>UPI/P2M/637093928986/FAMILY CHOICE        /Paid v/YES BANK LIMITED YBS</t>
  </si>
  <si>
    <t>UPI/P2M/600400740773/BALARAJA             /Paid v/YES BANK LIMITED YBS</t>
  </si>
  <si>
    <t>Balaraja</t>
  </si>
  <si>
    <t>UPI/P2M/637109470553/CRED Club            /paymen/AXIS BANK</t>
  </si>
  <si>
    <t>MOB/TPFT/MOHITH S REDDY/916010005898412</t>
  </si>
  <si>
    <t>UPI/P2M/600529674588/RAJESH KUMAR MANDAL  /Paid v/YES BANK LIMITED YBS</t>
  </si>
  <si>
    <t>Rajesh Kumar Mandal</t>
  </si>
  <si>
    <t>UPI/P2M/637211131549/CRED Club            /paymen/AXIS BANK</t>
  </si>
  <si>
    <t>UPI/P2M/600647975230/HAP DAILY            /Paid v/YES BANK LIMITED YBS</t>
  </si>
  <si>
    <t>Hap Daily</t>
  </si>
  <si>
    <t>UPI/P2M/600649062909/Bangalore Metro Rail /UPIInt/AXIS BANK</t>
  </si>
  <si>
    <t>Bangalore Metro Rail</t>
  </si>
  <si>
    <t>UPI/P2M/600650452828/Madras coffee house-K/Paid v/YES BANK LIMITED YBS</t>
  </si>
  <si>
    <t>Madras Coffee House-K</t>
  </si>
  <si>
    <t>UPI/P2M/600769107719/BharatPe Merchant    /Pay to/YesBank_Yespay</t>
  </si>
  <si>
    <t>UPI/P2M/600927543024/AUTOPE PAYMENT SOLUTI/Pay wi/YES BANK LIMITED YBS</t>
  </si>
  <si>
    <t>UPI/P2M/637616085282/MONU SINGH           /Paid v/YES BANK LIMITED YBS</t>
  </si>
  <si>
    <t>Monu Singh</t>
  </si>
  <si>
    <t>UPI/P2M/637766117770/KRISHNA HARDWARE     /Paid v/YES BANK LIMITED YBS</t>
  </si>
  <si>
    <t>Krishna Hardware</t>
  </si>
  <si>
    <t>UPI/P2M/637766330868/Manjunatha R         /Paid v/YES BANK LIMITED YBS</t>
  </si>
  <si>
    <t>Manjunatha R</t>
  </si>
  <si>
    <t>UPI/P2M/637766394370/JABIN TAJ            /Paid v/FEDERAL BANK</t>
  </si>
  <si>
    <t>Jabin Taj</t>
  </si>
  <si>
    <t>UPI/P2M/637766457879/Madhappan Marappan   /Paid v/YES BANK LIMITED YBS</t>
  </si>
  <si>
    <t>Madhappan Marappan</t>
  </si>
  <si>
    <t>UPI/P2M/637766597875/P Chandrappa         /Paid v/YES BANK LIMITED YBS</t>
  </si>
  <si>
    <t>UPI/P2M/637766654816/N G MANJUNATHA       /Paid v/YES BANK LIMITED YBS</t>
  </si>
  <si>
    <t>N G Manjunatha</t>
  </si>
  <si>
    <t>UPI/P2M/637766764563/ANDHRA AATITHYAM     /Paid v/YES BANK LIMITED YBS</t>
  </si>
  <si>
    <t>Andhra Aatithyam</t>
  </si>
  <si>
    <t>UPI/P2M/637818785234/CRED WALLET          /paymen/AXIS BANK</t>
  </si>
  <si>
    <t>UPI/P2M/637891535534/SRI VIJAYALAKSHMI STO/Paid v/AXIS BANK</t>
  </si>
  <si>
    <t>UPI/P2M/637899412004/Dayanand Satappa Kala/Paid v/YES BANK LIMITED YBS</t>
  </si>
  <si>
    <t>Dayanand Satappa Kala</t>
  </si>
  <si>
    <t>UPI/P2M/637899756196/Family choice        /Paid v/YES BANK LIMITED YBS</t>
  </si>
  <si>
    <t>UPI/P2M/601282135724/Amazon Pay Groceries /You ar/AXIS BANK</t>
  </si>
  <si>
    <t>UPI/P2A/601201260168/AAYUSH KUMAR GUPTA   /Paid v/Kotak Mahindra Bank</t>
  </si>
  <si>
    <t>UPI/P2M/601323688637/NAGESH H S           /Paid v/YES BANK LIMITED YBS</t>
  </si>
  <si>
    <t>Nagesh H S</t>
  </si>
  <si>
    <t>UPI/P2M/601323725622/RAJESH KUMAR MANDAL  /Paid v/YES BANK LIMITED YBS</t>
  </si>
  <si>
    <t>UPI/P2M/601564047470/S M Dharani          /Paid v/YES BANK LIMITED YBS</t>
  </si>
  <si>
    <t>S M Dharani</t>
  </si>
  <si>
    <t>UPI/P2M/601564379336/PRAMOD KUMAR P       /Paid v/YES BANK LIMITED YBS</t>
  </si>
  <si>
    <t>Pramod Kumar P</t>
  </si>
  <si>
    <t>UPI/P2M/102478236442/FUTUREROOTS          /Easebu/HDFC BANK LTD</t>
  </si>
  <si>
    <t>Futureroots</t>
  </si>
  <si>
    <t>UPI/P2M/638303426238/SRI VIJAYALAKSHMI STO/Paid v/AXIS BANK</t>
  </si>
  <si>
    <t>UPI/P2A/638304510676/AAYUSH KUMAR GUPTA   /Paid v/Kotak Mahindra Bank</t>
  </si>
  <si>
    <t>UPI/P2A/638305254660/S DIVYASHREE         /Paid v/KARNATAKA BANK LTD</t>
  </si>
  <si>
    <t>S Divyashree</t>
  </si>
  <si>
    <t>UPI/P2M/638305345489/THIMMEGOWDA VENKATESH/Genera/Axis Bank Pinelabs</t>
  </si>
  <si>
    <t>Thimmegowda Venkatesh</t>
  </si>
  <si>
    <t>UPI/P2M/638306960335/ESWAR M              /Paid v/YES BANK LIMITED YBS</t>
  </si>
  <si>
    <t>Eswar M</t>
  </si>
  <si>
    <t>UPI/P2M/638426593774/CRED WALLET          /paymen/AXIS BANK</t>
  </si>
  <si>
    <t>UPI/P2M/638432107045/AVENUE SUPERMARTS LTD/Paid v/ICICI Bank</t>
  </si>
  <si>
    <t>UPI/P2M/638556136009/KEERTHANA MOTORS     /Paid v/YES BANK LIMITED YBS</t>
  </si>
  <si>
    <t>UPI/P2M/638558612927/Udupi Swada          /Paid v/YES BANK LIMITED YBS</t>
  </si>
  <si>
    <t>Udupi Swada</t>
  </si>
  <si>
    <t>UPI/P2M/638559247730/Mr SURESH LAL GUPTA  /Paid v/YES BANK LIMITED YBS</t>
  </si>
  <si>
    <t>UPI/P2M/602215046919/SRI VIJAYALAKSHMI STO/Paid v/AXIS BANK</t>
  </si>
  <si>
    <t>UPI/P2M/602229122775/ANURAG SINGH JADAUN  /Paid v/YES BANK LIMITED YBS</t>
  </si>
  <si>
    <t>UPI/P2M/602470650689/Adhoc  Gautham  Servi/Paid v/YES BANK LIMITED YBS</t>
  </si>
  <si>
    <t>Adhoc  Gautham  Servi</t>
  </si>
  <si>
    <t>UPI/P2A/602474768604/Ashok  Kumar         /Paid v/State Bank Of India</t>
  </si>
  <si>
    <t>Ashok  Kumar</t>
  </si>
  <si>
    <t>UPI/P2M/602593402685/DIVAKAR P            /Paid v/YES BANK LIMITED YBS</t>
  </si>
  <si>
    <t>Divakar P</t>
  </si>
  <si>
    <t>UPI/P2A/602596208040/K LATHEEF            /Paid v/KARNATAKA BANK LTD</t>
  </si>
  <si>
    <t>K Latheef</t>
  </si>
  <si>
    <t>UPI/P2M/602597150090/Bangalore Metro Rail /UPIInt/AXIS BANK</t>
  </si>
  <si>
    <t>UPI/RET/602474768604/25.01.2026</t>
  </si>
  <si>
    <t>UPI/P2A/639438484908/Miss MEGHA  GUPTA    /Paid v/CENTRAL BANK OF INDI</t>
  </si>
  <si>
    <t>UPI/P2M/603019871805/Sri Bhuvaneswary Rice/Paid v/AXIS BANK</t>
  </si>
  <si>
    <t>UPI/P2M/603145601012/Iyengars Bread Basket/Paid v/YES BANK LIMITED YBS</t>
  </si>
  <si>
    <t>UPI/P2A/639845074039/YASH GUPTA           /Paid v/ICICI Bank</t>
  </si>
  <si>
    <t>Yash Gupta</t>
  </si>
  <si>
    <t>NEFT/HDFCH00773264563/MPHASIS LIMITED/HDFC BANK/0001SALARYJAN2026</t>
  </si>
  <si>
    <t>UPI/P2A/603391938344/AAYUSH KUMAR GUPTA   /Paid v/State Bank Of India</t>
  </si>
  <si>
    <t>UPI/P2A/603391964405/AAYUSH KUMAR GUPTA   /Paid v/Kotak Mahindra Bank</t>
  </si>
  <si>
    <t>UPI/P2M/639946389672/CRED Club            /paymen/AXIS BANK</t>
  </si>
  <si>
    <t>UPI/P2A/639946570055/G Kanthamma          /Januar/BANK OF BARODA</t>
  </si>
  <si>
    <t>UPI/P2M/640047424080/CRED Club            /paymen/AXIS BANK</t>
  </si>
  <si>
    <t>UPI/P2M/102623750528/IRCTC e ticketing    /Paymen/HDFC BANK LTD</t>
  </si>
  <si>
    <t>UPI/P2M/640023705527/PADMASHREE FUELS     /Paid v/YES BANK LIMITED YBS</t>
  </si>
  <si>
    <t>Padmashree Fuels</t>
  </si>
  <si>
    <t>UPI/P2A/640004697003/ARCHIT GU/UTIB/UPI/</t>
  </si>
  <si>
    <t>UPI/P2M/640148959238/CRED Club            /paymen/AXIS BANK</t>
  </si>
  <si>
    <t>UPI/P2M/640154528231/VINAY SINGH          /Paid v/YES BANK LIMITED YBS</t>
  </si>
  <si>
    <t>Vinay Singh</t>
  </si>
  <si>
    <t>UPI/P2M/640250363038/CRED Club            /paymen/AXIS BANK</t>
  </si>
  <si>
    <t>UPI/P2M/640281612000/VINAY SINGH          /Paid v/YES BANK LIMITED YBS</t>
  </si>
  <si>
    <t>UPI/P2M/640351928298/CRED Club            /paymen/AXIS BANK</t>
  </si>
  <si>
    <t>UPI/P2M/603828599628/VINAY SINGH          /Paid v/YES BANK LIMITED YBS</t>
  </si>
  <si>
    <t>UPI/P2M/640954304946/VINAY SINGH          /Paid v/YES BANK LIMITED YBS</t>
  </si>
  <si>
    <t>UPI/P2M/640961059685/CRED WALLET          /paymen/AXIS BANK</t>
  </si>
  <si>
    <t>UPI/P2M/604509211495/KAPOORS CHAAT BHANDAA/Paid v/Kotak Mahindra Bank</t>
  </si>
  <si>
    <t>Kapoors Chaat Bhandaa</t>
  </si>
  <si>
    <t>UPI/P2M/604628078067/ROOPA                /Paid v/YES BANK LIMITED YBS</t>
  </si>
  <si>
    <t>Roopa</t>
  </si>
  <si>
    <t>UPI/P2A/604873374677/YEAKUB  ALI          /Paid v/CANARA BANK</t>
  </si>
  <si>
    <t>Yeakub  Ali</t>
  </si>
  <si>
    <t>UPI/P2A/641509543516/ABHISHEK SINGH       /Paid v/INDIA POST PAYMENTS</t>
  </si>
  <si>
    <t>Abhishek Singh</t>
  </si>
  <si>
    <t>UPI/P2M/641872151071/CRED Club            /paymen/AXIS BANK</t>
  </si>
  <si>
    <t>UPI/P2M/641973005669/CRED Club            /paymen/AXIS BANK</t>
  </si>
  <si>
    <t>UPI/P2A/605308972009/HASSAN RAZA          /Paid v/UNION BANK OF INDIA</t>
  </si>
  <si>
    <t>Hassan Raza</t>
  </si>
  <si>
    <t>UPI/P2M/605314579461/Koyaladine ramesh    /Paid v/YES BANK LIMITED YBS</t>
  </si>
  <si>
    <t>Koyaladine Ramesh</t>
  </si>
  <si>
    <t>UPI/P2A/605418984411/MUHAMMED SALIH M     /Paid v/FEDERAL BANK</t>
  </si>
  <si>
    <t>Muhammed Salih M</t>
  </si>
  <si>
    <t>UPI/P2M/642074235912/CRED Club            /paymen/AXIS BANK</t>
  </si>
  <si>
    <t>UPI/P2A/605426840395/Mr Arun Kumar V      /Paid v/INDIAN BANK</t>
  </si>
  <si>
    <t>Mr Arun Kumar V</t>
  </si>
  <si>
    <t>UPI/P2M/918519100546/Zepto Marketplace Pri/UPI Tr/AXIS BANK</t>
  </si>
  <si>
    <t>UPI/P2A/605440801971/NAGARJUNA            /Paid v/KARNATAKA BANK LTD</t>
  </si>
  <si>
    <t>Nagarjuna</t>
  </si>
  <si>
    <t>UPI/P2M/642175536372/CRED Club            /paymen/AXIS BANK</t>
  </si>
  <si>
    <t>UPI/P2A/605552795847/NINGAMMA             /Paid v/BANK OF BARODA</t>
  </si>
  <si>
    <t>Ningamma</t>
  </si>
  <si>
    <t>UPI/P2A/605559564798/NIBEDITA BAL         /Paid v/UCO BANK</t>
  </si>
  <si>
    <t>Nibedita Bal</t>
  </si>
  <si>
    <t>UPI/P2A/605565764852/RAJU                 /Paid v/KARNATAKA BANK LTD</t>
  </si>
  <si>
    <t>Raju</t>
  </si>
  <si>
    <t>UPI/P2M/642276693438/CRED Club            /paymen/AXIS BANK</t>
  </si>
  <si>
    <t>UPI/P2M/642378013872/CRED Club            /paymen/AXIS BANK</t>
  </si>
  <si>
    <t>UPI/P2M/642479282723/CRED Club            /paymen/AXIS BANK</t>
  </si>
  <si>
    <t>UPI/P2M/642580795122/CRED Club            /paymen/AXIS BANK</t>
  </si>
  <si>
    <t>UPI/P2A/642582202976/Miss MEGHA  GUPTA    /Paid v/CENTRAL BANK OF INDI</t>
  </si>
  <si>
    <t>UPI/P2M/642682436917/CRED Club            /paymen/AXIS BANK</t>
  </si>
  <si>
    <t>UPI/P2A/642663188179/AAYUSH KUMAR GUPTA   /Paid v/Kotak Mahindra Bank</t>
  </si>
  <si>
    <t>UPI/P2M/642784198277/CRED Club            /paymen/AXIS BANK</t>
  </si>
  <si>
    <t>NEFT/HDFCH00834801969/MPHASIS LIMITED/HDFC BANK/0001SALARYFEB2026</t>
  </si>
  <si>
    <t>UPI/P2M/642784747875/CRED WALLET          /paymen/AXIS BANK</t>
  </si>
  <si>
    <t>UPI/P2M/642886056074/CRED Club            /paymen/AXIS BANK</t>
  </si>
  <si>
    <t>UPI/P2A/642886059077/G Kanthamma          /Feb mo/BANK OF BARODA</t>
  </si>
  <si>
    <t>UPI/P2M/606518387467/VINAY SINGH          /Paid v/YES BANK LIMITED YBS</t>
  </si>
  <si>
    <t>UPI/P2M/606630418439/Anita Gupta          /Paid v/YES BANK LIMITED YBS</t>
  </si>
  <si>
    <t>Anita Gupta</t>
  </si>
  <si>
    <t>UPI/P2A/606851380215/AAYUSH KUMAR GUPTA   /Paid v/Kotak Mahindra Bank</t>
  </si>
  <si>
    <t>UPI/P2M/606960683290/PADMASHREE FUELS     /Paid v/YES BANK LIMITED YBS</t>
  </si>
  <si>
    <t>UPI/P2M/606963443654/Pandaw Prasad Raut   /Paid v/YES BANK LIMITED YBS</t>
  </si>
  <si>
    <t>Pandaw Prasad Raut</t>
  </si>
  <si>
    <t>UPI/P2M/606963737370/K MOHAN              /Paid v/YES BANK LIMITED YBS</t>
  </si>
  <si>
    <t>K Mohan</t>
  </si>
  <si>
    <t>UPI/P2M/606965059967/Anna Shakthi Rice Tra/Pay to/YES BANK LIMITED YBS</t>
  </si>
  <si>
    <t>Anna Shakthi Rice Tra</t>
  </si>
  <si>
    <t>UPI/P2M/606969561781/VINAY SINGH          /Paid v/YES BANK LIMITED YBS</t>
  </si>
  <si>
    <t>UPI/P2M/643800763415/Flipkart Payments    /Paid v/YES BANK LIMITED YBS</t>
  </si>
  <si>
    <t>UPI/P2M/643806343667/Anita Gupta          /Paid v/YES BANK LIMITED YBS</t>
  </si>
  <si>
    <t>UPI/P2M/643807434165/CBDT                 /UPIInt/HDFC BANK LTD</t>
  </si>
  <si>
    <t>UPI/P2A/644584287084/RAHUL GUPTA          /Paid v/ICICI Bank</t>
  </si>
  <si>
    <t>UPI/P2M/607910723390/Udupi Gokula Veg     /Paid v/AXIS BANK</t>
  </si>
  <si>
    <t>UPI/P2M/644589939738/VINAY SINGH          /Paid v/YES BANK LIMITED YBS</t>
  </si>
  <si>
    <t>UPI/P2M/644590005242/REDDAMMA K           /Pay to/FEDERAL BANK</t>
  </si>
  <si>
    <t>Reddamma K</t>
  </si>
  <si>
    <t>UPI/P2M/608113522094/CRED Club            /paymen/AXIS BANK</t>
  </si>
  <si>
    <t>UPI/P2M/608213642945/CRED Club            /paymen/AXIS BANK</t>
  </si>
  <si>
    <t>UPI/P2A/644805795509/MEGHA GUP/HDFC/Paid via/</t>
  </si>
  <si>
    <t>UPI/P2M/608314883980/CRED Club            /paymen/AXIS BANK</t>
  </si>
  <si>
    <t>UPI/P2M/608330525357/ANANYA CATERERS      /Paid v/Punjab National Bank</t>
  </si>
  <si>
    <t>UPI/P2M/608416152810/CRED Club            /paymen/AXIS BANK</t>
  </si>
  <si>
    <t>UPI/P2M/608446423854/Anita Gupta          /Paid v/YES BANK LIMITED YBS</t>
  </si>
  <si>
    <t>UPI/P2M/608446474067/Sri Bhuvaneswary Rice/Paid v/AXIS BANK</t>
  </si>
  <si>
    <t>UPI/P2M/608517471962/CRED Club            /paymen/AXIS BANK</t>
  </si>
  <si>
    <t>UPI/P2M/608618702312/CRED Club            /paymen/AXIS BANK</t>
  </si>
  <si>
    <t>UPI/P2M/608666563959/PINDS OF PUNJAB      /Paid v/YES BANK LIMITED YBS</t>
  </si>
  <si>
    <t>Pinds Of Punjab</t>
  </si>
  <si>
    <t>UPI/P2M/608670662335/UDUPI GOKULA Veg     /Paid v/YES BANK LIMITED YBS</t>
  </si>
  <si>
    <t>UPI/P2M/608719997678/CRED Club            /paymen/AXIS BANK</t>
  </si>
  <si>
    <t>UPI/P2A/608776295485/SHARANABASAPPA  .    /Paid v/State Bank Of India</t>
  </si>
  <si>
    <t>Sharanabasappa  .</t>
  </si>
  <si>
    <t>UPI/P2M/608720363400/CRED Club            /paymen/AXIS BANK</t>
  </si>
  <si>
    <t>UPI/P2M/608776993056/SADASHIVA SERVICES   /Paid v/YES BANK LIMITED YBS</t>
  </si>
  <si>
    <t>Sadashiva Services</t>
  </si>
  <si>
    <t>UPI/P2A/608778451168/Subhash  Chandra     /Paid v/FINO PAYMENTS BANK L</t>
  </si>
  <si>
    <t>Subhash  Chandra</t>
  </si>
  <si>
    <t>UPI/P2A/608780490676/RISHI KESH  MEENA    /Paid v/State Bank Of India</t>
  </si>
  <si>
    <t>Rishi Kesh  Meena</t>
  </si>
  <si>
    <t>UPI/P2A/608782073533/MANAVI ANNAPURNA     /Paid v/UNION BANK OF INDIA</t>
  </si>
  <si>
    <t>UPI/P2A/608886760813/MUNNI DEVI           /Paid v/UNION BANK OF INDIA</t>
  </si>
  <si>
    <t>Munni Devi</t>
  </si>
  <si>
    <t>UPI/P2A/608889458848/SANJIV KUMAR         /Paid v/INDIA POST PAYMENTS</t>
  </si>
  <si>
    <t>Sanjiv Kumar</t>
  </si>
  <si>
    <t>UPI/P2A/608998021786/Mr MOHAN LAL SHARMA  /Paid v/CENTRAL BANK OF INDI</t>
  </si>
  <si>
    <t>Mr Mohan Lal Sharma</t>
  </si>
  <si>
    <t>UPI/P2A/645611457793/MEGHA GUPTA          /Paid v/HDFC BANK LTD</t>
  </si>
  <si>
    <t>SB:915010020334307:Int.Pd:01-01-2026 to 31-03-2026</t>
  </si>
  <si>
    <t>State Bank of India Narration Sheet</t>
  </si>
  <si>
    <t>Contra - Axis</t>
  </si>
  <si>
    <t>UPI - Paytm</t>
  </si>
  <si>
    <t>Misc Income</t>
  </si>
  <si>
    <t>MF Investment</t>
  </si>
  <si>
    <t>Received - Razorpay</t>
  </si>
  <si>
    <t>UPI - Google Pay</t>
  </si>
  <si>
    <t>UPI - Swiggy</t>
  </si>
  <si>
    <t>Received - Laxmidha</t>
  </si>
  <si>
    <t>Received - Jaikisha</t>
  </si>
  <si>
    <t>Received - Premier</t>
  </si>
  <si>
    <t>Income Tax Refund</t>
  </si>
  <si>
    <t>Zerodha Broking</t>
  </si>
  <si>
    <t>Received - Tn99</t>
  </si>
  <si>
    <t>Freelance Income</t>
  </si>
  <si>
    <t>Received - Chirag P</t>
  </si>
  <si>
    <t>Contra - HDFC</t>
  </si>
  <si>
    <t>Contra - Self</t>
  </si>
  <si>
    <t>Received - Shetaans</t>
  </si>
  <si>
    <t>Received - Yash Gupta</t>
  </si>
  <si>
    <t>Cashback - BHIM</t>
  </si>
  <si>
    <t>UPI Receipt</t>
  </si>
  <si>
    <t>UPI - Hotstar</t>
  </si>
  <si>
    <t>SuperMoney (Rewards)</t>
  </si>
  <si>
    <t xml:space="preserve"> DEP TFR   UPI/CR/765226990925/AAYUSH K/UTIB/9594435
 259/UPI   0097735162098 AT 11669 SHIVAJI NAGAR NASIK</t>
  </si>
  <si>
    <t>AXIS</t>
  </si>
  <si>
    <t xml:space="preserve"> DEP TFR   UPI/CR/765382250925/AAYUSH K/UTIB/9594435
 259/UPI   0097735162098 AT 11669 SHIVAJI NAGAR NASIK</t>
  </si>
  <si>
    <t xml:space="preserve"> WDL TFR   UPI/DR/545893374949/CRED RENT/UTIB/cred.re
 nt@/pay   0097693162093 AT 11669 SHIVAJI NAGAR NASIK</t>
  </si>
  <si>
    <t xml:space="preserve"> DEP TFR   NEFT*UTIB0002656*AXOMB09202414101*AAYUSH K
 UMAR GU   0099509044300 AT 11669 SHIVAJI NAGAR NASIK</t>
  </si>
  <si>
    <t xml:space="preserve"> WDL TFR   UPI/DR/509208961213/CRED Club/UTIB/cred.cl
 ub@/pay   0097693162093 AT 11669 SHIVAJI NAGAR NASIK</t>
  </si>
  <si>
    <t xml:space="preserve"> WDL TFR   UPI/DR/545868712527/Miss. ME/CBIN/meghagha
 ti/Paid   0097693162093 AT 11669 SHIVAJI NAGAR NASIK</t>
  </si>
  <si>
    <t xml:space="preserve"> WDL TFR   UPI/DR/545878868808/CRED Club/UTIB/cred.cl
 ub@/pay   0097693162093 AT 11669 SHIVAJI NAGAR NASIK</t>
  </si>
  <si>
    <t xml:space="preserve"> WDL TFR   UPI/DR/545887987358/CRED Club/UTIB/cred.cl
 ub@/pay   0097693162093 AT 11669 SHIVAJI NAGAR NASIK</t>
  </si>
  <si>
    <t xml:space="preserve"> WDL TFR   UPI/DR/545972230401/CRED Club/UTIB/cred.cl
 ub@/pay   0097694162092 AT 11669 SHIVAJI NAGAR NASIK</t>
  </si>
  <si>
    <t xml:space="preserve"> WDL TFR   UPI/DR/509378949775/CRED Club/UTIB/cred.cl
 ub@/pay   0097694162092 AT 11669 SHIVAJI NAGAR NASIK</t>
  </si>
  <si>
    <t xml:space="preserve"> WDL TFR   UPI/DR/509336037048/CRED Club/UTIB/cred.cl
 ub@/pay   0097694162092 AT 11669 SHIVAJI NAGAR NASIK</t>
  </si>
  <si>
    <t xml:space="preserve"> WDL TFR   UPI/DR/509438120147/MATS FUE/YESB/paytm-31
 10/Paid   0097695162091 AT 11669 SHIVAJI NAGAR NASIK</t>
  </si>
  <si>
    <t xml:space="preserve"> WDL TFR   UPI/DR/546194213465/Nandini/YESB/paytm.s1
 c3/Paid   0097696162090 AT 11669 SHIVAJI NAGAR NASIK</t>
  </si>
  <si>
    <t xml:space="preserve"> WDL TFR   UPI/DR/510189443769/Ferdus  /FINO/fardusal
 om/Paid   0097695162091 AT 11669 SHIVAJI NAGAR NASIK</t>
  </si>
  <si>
    <t>Ferdus</t>
  </si>
  <si>
    <t xml:space="preserve"> DEP TFR   UPI/REV/510189443769   0097
 695162091 AT 11669 SHIVAJI NAGAR NASIK</t>
  </si>
  <si>
    <t xml:space="preserve"> WDL TFR   UPI/DR/510127516128/Miss. ME/CBIN/meghagha
 ti/Paid   0097695162091 AT 11669 SHIVAJI NAGAR NASIK</t>
  </si>
  <si>
    <t xml:space="preserve"> WDL TFR   UPI/DR/510522647751/BHARAT S/IOBA/84248520
 34/Paid   0097692162094 AT 11669 SHIVAJI NAGAR NASIK</t>
  </si>
  <si>
    <t>Bharat S</t>
  </si>
  <si>
    <t xml:space="preserve"> DEP TFR   NEFT*UTIB0002656*AXOMB10626155334*AAYUSH K
 UMAR GU   0099509044300 AT 11669 SHIVAJI NAGAR NASIK</t>
  </si>
  <si>
    <t xml:space="preserve"> WDL TFR   UPI/DR/510629877598/Indian C/HDFC/icclzero
 dh/Merc   0097693162093 AT 11669 SHIVAJI NAGAR NASIK</t>
  </si>
  <si>
    <t>Investments</t>
  </si>
  <si>
    <t xml:space="preserve"> DEP TFR   UPI/CR/548257957091/AAYUSH K/KKBK/95944352
 59/Paid   0097738162095 AT 11669 SHIVAJI NAGAR NASIK</t>
  </si>
  <si>
    <t xml:space="preserve"> WDL TFR   SBIYA25116092502872203439-Deposit or Inv   0039706
 255133 OF Mr. AAYUSH KUMAR GUPTA AT 11669 SHIVAJI NAGAR NASIK</t>
  </si>
  <si>
    <t>SBI PPF</t>
  </si>
  <si>
    <t>PPF Deposit</t>
  </si>
  <si>
    <t xml:space="preserve"> DEP TFR   UPI/CR/294187471225/AAYUSH K/UTIB/9594435
 259/UPI   0097737162096 AT 11669 SHIVAJI NAGAR NASIK</t>
  </si>
  <si>
    <t xml:space="preserve"> WDL TFR   UPI/DR/512468818878/SURUSHE /YESB/Q770971
 173/UPI   0097690162095 AT 11669 SHIVAJI NAGAR NASIK</t>
  </si>
  <si>
    <t>Surushe</t>
  </si>
  <si>
    <t xml:space="preserve"> WDL TFR   UPI/DR/512468929763/BHIMA RAM/YESB/Q280789
 230/UPI   0097690162095 AT 11669 SHIVAJI NAGAR NASIK</t>
  </si>
  <si>
    <t>Bhima Ram</t>
  </si>
  <si>
    <t xml:space="preserve"> DEP TFR   UPI/CR/512804757639/MEGHA GU/HDFC/80056043
 28/Paid   0097736162097 AT 11669 SHIVAJI NAGAR NASIK</t>
  </si>
  <si>
    <t xml:space="preserve"> DEP TFR   UPI/CR/514924194600/MEGHA GU/HDFC/80056043
 28/Paid   0097736162097 AT 11669 SHIVAJI NAGAR NASIK</t>
  </si>
  <si>
    <t xml:space="preserve"> WDL TFR   UPI/DR/551503965355/MEGHA GU/HDFC/80056043
 28/Paid   0097694162092 AT 11669 SHIVAJI NAGAR NASIK</t>
  </si>
  <si>
    <t xml:space="preserve"> WDL TFR   UPI/DR/551616084739/IRCTC CF/HDFC/irctc.cf
 @h/IRCT   0097695162091 AT 11669 SHIVAJI NAGAR NASIK</t>
  </si>
  <si>
    <t xml:space="preserve"> DEP TFR   IMPS/515322719699/IDF-XX432-PERFIOS /hdf
 cLifeD   0098302162091 AT 11669 SHIVAJI NAGAR NASIK</t>
  </si>
  <si>
    <t xml:space="preserve"> DEP TFR   IMPS/515322728710/IDF-XX432-PERFIOS /hdf
 cLifeD   0098302162091 AT 11669 SHIVAJI NAGAR NASIK</t>
  </si>
  <si>
    <t xml:space="preserve"> DEP TFR   UPI/CR/515523018585/Razorpay/RATN/Payouts.
 ra/1745   0097735162098 AT 11669 SHIVAJI NAGAR NASIK</t>
  </si>
  <si>
    <t xml:space="preserve"> INTERES
 T CREDIT</t>
  </si>
  <si>
    <t xml:space="preserve"> DEP TFR   UPI/CR/498006251975/Google Pay/UTIB/google
 pay@/UP   0097735162098 AT 11669 SHIVAJI NAGAR NASIK</t>
  </si>
  <si>
    <t xml:space="preserve"> DEP TFR   UPI/CR/682542661985/Google Pay/UTIB/google
 pay@/UP   0097736162097 AT 11669 SHIVAJI NAGAR NASIK</t>
  </si>
  <si>
    <t xml:space="preserve"> WDL TFR   UPI/DR/522307669786/SWIGGY/ICIC/upiswiggy@
 /Paymen   0097691162095 AT 11669 SHIVAJI NAGAR NASIK</t>
  </si>
  <si>
    <t xml:space="preserve"> DEP TFR   UPI/CR/897204994636/LAXMIDHA/UCBA/94370586
 84/Paym   0097736162097 AT 11669 SHIVAJI NAGAR NASIK</t>
  </si>
  <si>
    <t xml:space="preserve"> DEP TFR   UPI/CR/522738186244/JAIKISHA/PUNB/jaikisha
 ns/Paid   0097737162096 AT 11669 SHIVAJI NAGAR NASIK</t>
  </si>
  <si>
    <t xml:space="preserve"> DEP TFR   UPI/CR/160416032445/AAYUSH K/UTIB/9594435
 259/UPI   0097733162090 AT 11669 SHIVAJI NAGAR NASIK</t>
  </si>
  <si>
    <t xml:space="preserve"> WDL TFR   INB Transfer amount   0032718635441 OF M
 r. AJAY  KUMAR  GUPTA AT 11669 SHIVAJI NAGAR NASIK</t>
  </si>
  <si>
    <t xml:space="preserve"> DEP TFR   UPI/CR/218604962445/AAYUSH K/UTIB/9594435
 259/UPI   0097733162090 AT 11669 SHIVAJI NAGAR NASIK</t>
  </si>
  <si>
    <t xml:space="preserve"> WDL TFR   INB Transfer amount   0032679487685 OF M
 rs. SUNITA AJAY GUPTA AT 11669 SHIVAJI NAGAR NASIK</t>
  </si>
  <si>
    <t xml:space="preserve"> DEP TFR   INB Payment towards loan repayment   0032718635
 441 OF Mr. AJAY  KUMAR  GUPTA AT 11669 SHIVAJI NAGAR NASIK</t>
  </si>
  <si>
    <t xml:space="preserve"> WDL TFR   UPI/DR/561223071996/CRED RENT/UTIB/cred.re
 nt@/pay   0097693162093 AT 11669 SHIVAJI NAGAR NASIK</t>
  </si>
  <si>
    <t xml:space="preserve"> DEP TFR   UPI/CR/524822066866/PREMIER /RATN/Payouts.
 ja/Payo   0097737162096 AT 11669 SHIVAJI NAGAR NASIK</t>
  </si>
  <si>
    <t xml:space="preserve"> CEMTEX DEP   ITDTAX RE
 FUND 2025-26 BRGPG8066G</t>
  </si>
  <si>
    <t>Income Tax</t>
  </si>
  <si>
    <t xml:space="preserve"> WDL TFR   UPI/DR/562516364559/Aayush K/KKBK/95944352
 59/Paid   0097692162094 AT 11669 SHIVAJI NAGAR NASIK</t>
  </si>
  <si>
    <t xml:space="preserve"> WDL TFR   UPI/DR/563513494583/Zerodha /HDFC/zerodhab
 ro/5875   0097695162091 AT 11669 SHIVAJI NAGAR NASIK</t>
  </si>
  <si>
    <t>Zerodha Broking Limited</t>
  </si>
  <si>
    <t xml:space="preserve"> DEP TFR   UPI/CR/564797203739/Miss MEG/CBIN/meghagh
 ati/UPI   0097735162098 AT 11669 SHIVAJI NAGAR NASIK</t>
  </si>
  <si>
    <t xml:space="preserve"> WDL TFR   UPI/DR/564874311996/95944352/KKBK/95944352
 59/Paid   0097694162092 AT 11669 SHIVAJI NAGAR NASIK</t>
  </si>
  <si>
    <t xml:space="preserve"> DEP TFR   UPI/CR/565328839390/MEGHA GU/HDFC/80056043
 28/Paid   0097734162099 AT 11669 SHIVAJI NAGAR NASIK</t>
  </si>
  <si>
    <t xml:space="preserve"> WDL TFR   UPI/DR/567599014620/HARSH DI/HDFC/harsh.k
 oka/UPI   0097693162093 AT 11669 SHIVAJI NAGAR NASIK</t>
  </si>
  <si>
    <t>Harsh Di</t>
  </si>
  <si>
    <t xml:space="preserve"> DEP TFR   UPI/CR/568428703730/MEGHA GU/HDFC/80056043
 28/Paid   0097737162096 AT 11669 SHIVAJI NAGAR NASIK</t>
  </si>
  <si>
    <t xml:space="preserve"> DEP TFR   UPI/CR/571063600506/Miss MEG/CBIN/meghagh
 ati/UPI   0097735162098 AT 11669 SHIVAJI NAGAR NASIK</t>
  </si>
  <si>
    <t xml:space="preserve"> DEP TFR   UPI/CR/571025401558/Miss MEG/CBIN/meghagh
 ati/UPI   0097735162098 AT 11669 SHIVAJI NAGAR NASIK</t>
  </si>
  <si>
    <t xml:space="preserve"> WDL TFR   UPI/DR/534423871983/AAYUSH K/KKBK/aayush2
 0gu/UPI   0097693162093 AT 11669 SHIVAJI NAGAR NASIK</t>
  </si>
  <si>
    <t xml:space="preserve"> DEP TFR   UPI/CR/535623790031/Miss MEG/CBIN/meghagh
 ati/UPI   0097733162090 AT 11669 SHIVAJI NAGAR NASIK</t>
  </si>
  <si>
    <t xml:space="preserve"> DEP TFR   UPI/CR/572327731584/ARCHIT G/UTIB/archit4
 801/UPI   0097734162099 AT 11669 SHIVAJI NAGAR NASIK</t>
  </si>
  <si>
    <t xml:space="preserve"> DEP TFR   UPI/CR/572336816675/ARCHIT G/UTIB/archit4
 801/UPI   0097734162099 AT 11669 SHIVAJI NAGAR NASIK</t>
  </si>
  <si>
    <t xml:space="preserve"> WDL TFR   UPI/DR/572305853332/ARCHIT G/UTIB/archit48
 01/Paid   0097692162094 AT 11669 SHIVAJI NAGAR NASIK</t>
  </si>
  <si>
    <t xml:space="preserve"> DEP TFR   UPI/CR/535879515241/Miss MEG/CBIN/meghagh
 ati/UPI   0097735162098 AT 11669 SHIVAJI NAGAR NASIK</t>
  </si>
  <si>
    <t xml:space="preserve"> DEP TFR   UPI/CR/696221419888/TN99/HDFC/gonnadrv@p/S
 ent usi   0097736162097 AT 11669 SHIVAJI NAGAR NASIK</t>
  </si>
  <si>
    <t xml:space="preserve"> DEP TFR   NEFT*INDB0000006*INDBH29125478318*PAYMENT
  ESCROW   0099509044300 AT 11669 SHIVAJI NAGAR NASIK</t>
  </si>
  <si>
    <t xml:space="preserve"> WDL TFR   UPI/DR/536465560825/CRED Club/UTIB/cred.cl
 ub@/pay   0097692162094 AT 11669 SHIVAJI NAGAR NASIK</t>
  </si>
  <si>
    <t xml:space="preserve"> WDL TFR   UPI/DR/536470546712/VIJEESH B/CNRB/vijeesh
 289/Pai   0097692162094 AT 11669 SHIVAJI NAGAR NASIK</t>
  </si>
  <si>
    <t>Vijeesh B</t>
  </si>
  <si>
    <t xml:space="preserve"> WDL TFR   UPI/DR/536479469562/95944352/KKBK/95944352
 59/Paid   0097692162094 AT 11669 SHIVAJI NAGAR NASIK</t>
  </si>
  <si>
    <t xml:space="preserve"> WDL TFR   UPI/DR/536581481598/CRED Club/UTIB/cred.cl
 ub@/pay   0097693162093 AT 11669 SHIVAJI NAGAR NASIK</t>
  </si>
  <si>
    <t xml:space="preserve"> WDL TFR   UPI/DR/536589002936/ABDUL HA/BARB/ponaniha
 se/Paid   0097693162093 AT 11669 SHIVAJI NAGAR NASIK</t>
  </si>
  <si>
    <t>Abdul Ha</t>
  </si>
  <si>
    <t xml:space="preserve"> WDL TFR   UPI/DR/536589750332/FAMILY F/IDFB/88098256
 @i/Paid   0097693162093 AT 11669 SHIVAJI NAGAR NASIK</t>
  </si>
  <si>
    <t>Family F</t>
  </si>
  <si>
    <t xml:space="preserve"> WDL TFR   UPI/DR/536589825371/Nandini/YESB/paytm.s1
 au/Paid   0097693162093 AT 11669 SHIVAJI NAGAR NASIK</t>
  </si>
  <si>
    <t xml:space="preserve"> WDL TFR   UPI/DR/636725025260/FOTO FIELD/YESB/paytmq
 r647/Pa   0097694162092 AT 11669 SHIVAJI NAGAR NASIK</t>
  </si>
  <si>
    <t xml:space="preserve"> WDL TFR   UPI/DR/636730425595/YASH  PA/YESB/q6432024
 45/Paid   0097694162092 AT 11669 SHIVAJI NAGAR NASIK</t>
  </si>
  <si>
    <t>Yash  Pa</t>
  </si>
  <si>
    <t xml:space="preserve"> WDL TFR   UPI/DR/636844899292/Pavithra Y/YESB/paytm.
 s18x/Pa   0097695162091 AT 11669 SHIVAJI NAGAR NASIK</t>
  </si>
  <si>
    <t xml:space="preserve"> WDL TFR   UPI/DR/636844984756/MRP FRUI/UTIB/gpay-112
 53/Paid   0097695162091 AT 11669 SHIVAJI NAGAR NASIK</t>
  </si>
  <si>
    <t xml:space="preserve"> WDL TFR   UPI/DR/636845452513/Nagamani/YESB/paytmqr6
 j4/Paid   0097695162091 AT 11669 SHIVAJI NAGAR NASIK</t>
  </si>
  <si>
    <t xml:space="preserve"> WDL TFR   UPI/DR/636845545897/NALABHIM/YESB/paytmqr6
 uv/Paid   0097695162091 AT 11669 SHIVAJI NAGAR NASIK</t>
  </si>
  <si>
    <t xml:space="preserve"> WDL TFR   UPI/DR/637914326838/VODAFONE/HSBC/viprevf@
 hs/Paid   0097691162095 AT 11669 SHIVAJI NAGAR NASIK</t>
  </si>
  <si>
    <t>Vodafone</t>
  </si>
  <si>
    <t xml:space="preserve"> WDL TFR   UPI/DR/638125719461/DISTRICT/AIRP/district
 di/UPII   0097693162093 AT 11669 SHIVAJI NAGAR NASIK</t>
  </si>
  <si>
    <t>District</t>
  </si>
  <si>
    <t xml:space="preserve"> DEP TFR   UPI/CR/601569478286/AAYUSH K/KKBK/95944352
 59/Paid   0097735162098 AT 11669 SHIVAJI NAGAR NASIK</t>
  </si>
  <si>
    <t xml:space="preserve"> DEP TFR   UPI/CR/601569529799/AAYUSH K/KKBK/95944352
 59/Paid   0097735162098 AT 11669 SHIVAJI NAGAR NASIK</t>
  </si>
  <si>
    <t xml:space="preserve"> DEP TFR   UPI/CR/476311256183/CHIRAG P/HDFC/chiragtu
 ba/Paym   0097734162099 AT 11669 SHIVAJI NAGAR NASIK</t>
  </si>
  <si>
    <t xml:space="preserve"> WDL TFR   UPI/DR/929509588404/IRCTC ET/NSPB/cf.irctc
 @c/IRCT   0097692162094 AT 11669 SHIVAJI NAGAR NASIK</t>
  </si>
  <si>
    <t xml:space="preserve"> WDL TFR   UPI/DR/639588556111/95944352/KKBK/95944352
 59/Paid   0097693162093 AT 11669 SHIVAJI NAGAR NASIK</t>
  </si>
  <si>
    <t xml:space="preserve"> DEP TFR   NEFT*HDFC0000001*HDFCH00768841281*AAYUSH K
 UMAR GU   0099509044300 AT 11669 SHIVAJI NAGAR NASIK</t>
  </si>
  <si>
    <t>HDFC 5413</t>
  </si>
  <si>
    <t xml:space="preserve"> WDL TFR   UPI/DR/603041682315/ABHINDAN/YESB/q144456
 834/UPI   0097694162092 AT 11669 SHIVAJI NAGAR NASIK</t>
  </si>
  <si>
    <t xml:space="preserve"> DEP TFR   UPI/CR/639848674109/SHETAANS/KKBK/20shait
 ank/UPI   0097738162095 AT 11669 SHIVAJI NAGAR NASIK</t>
  </si>
  <si>
    <t xml:space="preserve"> WDL TFR   UPI/DR/639829452747/YASH GUPTA/ICIC/yashgu
 pta1/kr   0097696162090 AT 11669 SHIVAJI NAGAR NASIK</t>
  </si>
  <si>
    <t xml:space="preserve"> WDL TFR   UPI/DR/639800450547/SHETAANS/KKBK/20shaita
 nk/arey   0097696162090 AT 11669 SHIVAJI NAGAR NASIK</t>
  </si>
  <si>
    <t>Shetaans</t>
  </si>
  <si>
    <t xml:space="preserve"> DEP TFR   UPI/CR/603222539038/YASH GUPTA/HDFC/yashgu
 pta1/pa   0097738162095 AT 11669 SHIVAJI NAGAR NASIK</t>
  </si>
  <si>
    <t xml:space="preserve"> WDL TFR   UPI/DR/639931458810/YASH GUPTA/HDFC/yashgu
 pta1/kr   0097690162095 AT 11669 SHIVAJI NAGAR NASIK</t>
  </si>
  <si>
    <t xml:space="preserve"> DEP TFR   UPI/CR/603391938344/AAYUSH K/UTIB/95944352
 59/Paid   0097732162091 AT 11669 SHIVAJI NAGAR NASIK</t>
  </si>
  <si>
    <t xml:space="preserve"> DEP TFR   UPI/CR/603463766641/SHETAANS/KKBK/20shait
 ank/UPI   0097733162090 AT 11669 SHIVAJI NAGAR NASIK</t>
  </si>
  <si>
    <t xml:space="preserve"> WDL TFR   UPI/DR/520699040576/AAYUSH K/KKBK/9594435
 259/UPI   0097693162093 AT 11669 SHIVAJI NAGAR NASIK</t>
  </si>
  <si>
    <t xml:space="preserve"> WDL TFR   UPI/DR/109300057514/Zerodha /ICIC/zerodha.
 rz/gJgY   0097691162095 AT 11669 SHIVAJI NAGAR NASIK</t>
  </si>
  <si>
    <t xml:space="preserve"> DEP TFR   UPI/CR/102865244357/NPCI BHIM/HDFC/bhimcas
 hba/BHI   0097737162096 AT 11669 SHIVAJI NAGAR NASIK</t>
  </si>
  <si>
    <t xml:space="preserve"> CEMTEX DEP   UPI/ONRF/92
 9509588404/280126/070326</t>
  </si>
  <si>
    <t xml:space="preserve"> WDL TFR   UPI/DR/644021649518/IRCTC ET/NSPB/cf.irctc
 @c/IRCT   0097696162090 AT 11669 SHIVAJI NAGAR NASIK</t>
  </si>
  <si>
    <t xml:space="preserve"> WDL TFR   UPI/DR/607831805822/JioHotstar/YESB/hotsta
 ronl/Co   0097693162093 AT 11669 SHIVAJI NAGAR NASIK</t>
  </si>
  <si>
    <t>Subscriptions</t>
  </si>
  <si>
    <t xml:space="preserve"> DEP TFR   UPI/CR/102949205929/NPCI BHIM/HDFC/bhimcas
 hba/BHI   0097736162097 AT 11669 SHIVAJI NAGAR NASIK</t>
  </si>
  <si>
    <t xml:space="preserve"> DEP TFR   UPI/CR/102962359041/NPCI BHIM/HDFC/bhimcas
 hba/BHI   0097732162091 AT 11669 SHIVAJI NAGAR NASIK</t>
  </si>
  <si>
    <t xml:space="preserve"> DEP TFR   UPI/CR/102969232051/NPCI BHIM/HDFC/bhimcas
 hba/BHI   0097733162090 AT 11669 SHIVAJI NAGAR NASIK</t>
  </si>
  <si>
    <t xml:space="preserve"> DEP TFR   UPI/CR/102974706292/NPCI BHIM/HDFC/bhimcas
 hba/BHI   0097734162099 AT 11669 SHIVAJI NAGAR NASIK</t>
  </si>
  <si>
    <t xml:space="preserve"> WDL TFR   UPI/DR/104016165774/Bangalor/UTIB/englishb
 mr/NO R   0097695162091 AT 11669 SHIVAJI NAGAR NASIK</t>
  </si>
  <si>
    <t>Bangalor</t>
  </si>
  <si>
    <t xml:space="preserve"> DEP TFR   UPI/CR/102989441826/NPCI BHIM/HDFC/bhimcas
 hba/BHI   0097737162096 AT 11669 SHIVAJI NAGAR NASIK</t>
  </si>
  <si>
    <t xml:space="preserve"> DEP TFR   UPI/CR/608782019259/supermoney/YESB/superm
 oney/Su   0097737162096 AT 11669 SHIVAJI NAGAR NASIK</t>
  </si>
  <si>
    <t xml:space="preserve"> DEP TFR   NEFT*INDB0000006*INDBH30038815652*PAYMENT
  ESCROW   0099509044300 AT 11669 SHIVAJI NAGAR NASIK</t>
  </si>
  <si>
    <t xml:space="preserve"> WDL TFR    UPI/DR/645619743149/95944352/KKBK/9594435
 259/Paid   0097691162095 AT 11669 SHIVAJI NAGAR NASIK</t>
  </si>
  <si>
    <t>Kotak Mahindra Bank Narration Sheet</t>
  </si>
  <si>
    <t>UPI Reversal</t>
  </si>
  <si>
    <t>Govt / Utility Payment</t>
  </si>
  <si>
    <t>IMPS Receipt</t>
  </si>
  <si>
    <t>Refund - Wakefit</t>
  </si>
  <si>
    <t>Cashback - Kiwi</t>
  </si>
  <si>
    <t>INDmoney Investment</t>
  </si>
  <si>
    <t>Depository Credit</t>
  </si>
  <si>
    <t>Card Purchase</t>
  </si>
  <si>
    <t>UPI - Google Play</t>
  </si>
  <si>
    <t>Contra - SBM</t>
  </si>
  <si>
    <t>UPI - District (Dining)</t>
  </si>
  <si>
    <t>Received - Tejas   P</t>
  </si>
  <si>
    <t>Received - Utkarsh Bhandar</t>
  </si>
  <si>
    <t>Received - Kriti  Gupta</t>
  </si>
  <si>
    <t>Received - Google Pay</t>
  </si>
  <si>
    <t>UPI - OpenAI</t>
  </si>
  <si>
    <t>IPO Application (UPI)</t>
  </si>
  <si>
    <t>Received - Google India Di</t>
  </si>
  <si>
    <t>UPI - Zomato</t>
  </si>
  <si>
    <t>UPI/BARATHI ANBAZHA/509137039846/Paid via SuperM</t>
  </si>
  <si>
    <t>UPI-509197194351</t>
  </si>
  <si>
    <t>Barathi Anbazha</t>
  </si>
  <si>
    <t>UPI/SAMOSA PARTY Ba/509141156489/Paid via SuperM</t>
  </si>
  <si>
    <t>UPI-509118876248</t>
  </si>
  <si>
    <t>Samosa Party Ba</t>
  </si>
  <si>
    <t>UPI/Mrs. G  Pavithr/509367683617/Paid via SuperM</t>
  </si>
  <si>
    <t>UPI-509356331060</t>
  </si>
  <si>
    <t>Mrs. G  Pavithr</t>
  </si>
  <si>
    <t>UPI/supermoney/509381273041/Supermoney Rewa</t>
  </si>
  <si>
    <t>UPI-509376992939</t>
  </si>
  <si>
    <t>UPI/WALKO FOOD COMP/509484810231/Paid via SuperM</t>
  </si>
  <si>
    <t>UPI-509442182659</t>
  </si>
  <si>
    <t>Walko Food Comp</t>
  </si>
  <si>
    <t>NEFT YESF350953824281 ZERODHA BROKING LTD DSCNB A</t>
  </si>
  <si>
    <t>NEFTINW-1174470955</t>
  </si>
  <si>
    <t>UPI/Counter 4/509593584977/Paid via SuperM</t>
  </si>
  <si>
    <t>UPI-509588244702</t>
  </si>
  <si>
    <t>Counter 4</t>
  </si>
  <si>
    <t>UPI/DINESH KUMAR GU/546205310184/Paid via SuperM</t>
  </si>
  <si>
    <t>UPI-509648113097</t>
  </si>
  <si>
    <t>Dinesh Kumar Gu</t>
  </si>
  <si>
    <t>NEFT AXISCN0958713705 NIPPON INDIA SMALL CAP FUND</t>
  </si>
  <si>
    <t>NEFTINW-1180794199</t>
  </si>
  <si>
    <t>UPI/Ferdus  Alom/546773545667/Paid via CRED a</t>
  </si>
  <si>
    <t>UPI-510184999331</t>
  </si>
  <si>
    <t>REV-UPI/Ferdus  Alom/546773545667/</t>
  </si>
  <si>
    <t>UPI/Ferdus  Alom/546773546667/Paid via CRED a</t>
  </si>
  <si>
    <t>UPI-510185051060</t>
  </si>
  <si>
    <t>REV-UPI/Ferdus  Alom/546773546667/</t>
  </si>
  <si>
    <t>UPI/CRED/546773735558/payment on CRED</t>
  </si>
  <si>
    <t>UPI-510195642472</t>
  </si>
  <si>
    <t>UPI/SBIMOPS/547177174910/MOPSUPITxn</t>
  </si>
  <si>
    <t>UPI-510591765767</t>
  </si>
  <si>
    <t>Utilities</t>
  </si>
  <si>
    <t>UPI/CRED/547278151800/payment on CRED</t>
  </si>
  <si>
    <t>UPI-510652750321</t>
  </si>
  <si>
    <t>TRANS</t>
  </si>
  <si>
    <t>FCM-250416G7VEUG</t>
  </si>
  <si>
    <t>UPI/Miss. MEGHA  GU/547278323187/Happy 3 month A</t>
  </si>
  <si>
    <t>UPI-510661882848</t>
  </si>
  <si>
    <t>UPI/IRCTC CF/100375704017/IRCTC TICKET BO</t>
  </si>
  <si>
    <t>UPI-510713871404</t>
  </si>
  <si>
    <t>UPI/CredClub/547379551441/payment on CRED</t>
  </si>
  <si>
    <t>UPI-510733285335</t>
  </si>
  <si>
    <t>UPI/CRED/547581338377/payment on CRED</t>
  </si>
  <si>
    <t>UPI-510935091919</t>
  </si>
  <si>
    <t>UPI/CRED/547581662583/payment on CRED</t>
  </si>
  <si>
    <t>UPI-510951959231</t>
  </si>
  <si>
    <t>UPI/CRED/547581914199/payment on CRED</t>
  </si>
  <si>
    <t>UPI-510965727111</t>
  </si>
  <si>
    <t>UPI/ASHIK KHAN/510976601574/Paid via SuperM</t>
  </si>
  <si>
    <t>UPI-510987188278</t>
  </si>
  <si>
    <t>Ashik Khan</t>
  </si>
  <si>
    <t>UPI/MAHENDRA SINGH/510977058907/Paid via SuperM</t>
  </si>
  <si>
    <t>UPI-510989447720</t>
  </si>
  <si>
    <t>Mahendra Singh</t>
  </si>
  <si>
    <t>UPI/MEGHA GUPTA/547683296341/Paid via CRED</t>
  </si>
  <si>
    <t>UPI-511039130892</t>
  </si>
  <si>
    <t>UPI/CRED/547683353682/payment on CRED</t>
  </si>
  <si>
    <t>UPI-511041990132</t>
  </si>
  <si>
    <t>UPI/CRED/547783701613/payment on CRED</t>
  </si>
  <si>
    <t>UPI-511161263012</t>
  </si>
  <si>
    <t>NEFT HDFCH00196714813 MIRAE ASSET MF REDEMPTION A</t>
  </si>
  <si>
    <t>NEFTINW-1191507783</t>
  </si>
  <si>
    <t>UPI/IRCTC CF/547985899437/IRCTC TICKET BO</t>
  </si>
  <si>
    <t>UPI-511382097756</t>
  </si>
  <si>
    <t>UPI/IRCTC CF/547917547710/IRCTC TICKET BO</t>
  </si>
  <si>
    <t>UPI-511382338732</t>
  </si>
  <si>
    <t>UPI/Om Supar Shopi/548030374691/Paid via SuperM</t>
  </si>
  <si>
    <t>UPI-511441566118</t>
  </si>
  <si>
    <t>Om Supar Shopi</t>
  </si>
  <si>
    <t>UPI/9594435259@supe/548257957091/Paid via SuperM</t>
  </si>
  <si>
    <t>UPI-511665616235</t>
  </si>
  <si>
    <t>UPI/SACHIN SHIVAJI /548264628441/Paid via SuperM</t>
  </si>
  <si>
    <t>UPI-511696435579</t>
  </si>
  <si>
    <t>Sachin Shivaji</t>
  </si>
  <si>
    <t>NACH-MUT-DR-INDIAN CLEARING CORP-000000PFDXIMY7ND</t>
  </si>
  <si>
    <t>NACHDR28042506263900</t>
  </si>
  <si>
    <t>UPI/Miss. MEGHA  GU/548796376019/Paid via CRED a</t>
  </si>
  <si>
    <t>UPI-512110893337</t>
  </si>
  <si>
    <t>UPI/Miss. MEGHA  GU/548796379699/Paid via CRED a</t>
  </si>
  <si>
    <t>UPI-512111066095</t>
  </si>
  <si>
    <t>UPI/CRED/548897087231/payment on CRED</t>
  </si>
  <si>
    <t>UPI-512244268011</t>
  </si>
  <si>
    <t>UPI/AAYUSH KUMAR GU/294427061225/UPI</t>
  </si>
  <si>
    <t>UPI-512244855995</t>
  </si>
  <si>
    <t>UPI/AAYUSH KUMAR GU/294526291225/UPI</t>
  </si>
  <si>
    <t>UPI-512244915205</t>
  </si>
  <si>
    <t>UPI/SACHIN SHIVAJI /512244955899/Paid via SuperM</t>
  </si>
  <si>
    <t>UPI-512275461489</t>
  </si>
  <si>
    <t>UPI/AAYUSH KUMAR GU/415981531235/UPI</t>
  </si>
  <si>
    <t>UPI-512319612218</t>
  </si>
  <si>
    <t>UPI/BHAGWAT BHIMRAO/512465473377/Paid via SuperM</t>
  </si>
  <si>
    <t>UPI-512472603018</t>
  </si>
  <si>
    <t>Bhagwat Bhimrao</t>
  </si>
  <si>
    <t>UPI/Amazon Pay Bala/512400051395/You are paying</t>
  </si>
  <si>
    <t>UPI-512482255509</t>
  </si>
  <si>
    <t>Recd:IMPS/512502012718/NAVI MUTUA/KKBK/X7316/Fund</t>
  </si>
  <si>
    <t>IMPS-512502485720</t>
  </si>
  <si>
    <t>Recd:IMPS/512502023239/NAVI MUTUA/KKBK/X7316/Fund</t>
  </si>
  <si>
    <t>IMPS-512502494271</t>
  </si>
  <si>
    <t>UPI/Zerodha Broking/512602521749/353646016145310</t>
  </si>
  <si>
    <t>UPI-512607324677</t>
  </si>
  <si>
    <t>UPI/SANJAYKUMAR HAR/512804499361/Paid via CRED</t>
  </si>
  <si>
    <t>UPI-512820689415</t>
  </si>
  <si>
    <t>UPI/MEGHA GUPTA/512804762076/Paid via CRED</t>
  </si>
  <si>
    <t>UPI-512835473551</t>
  </si>
  <si>
    <t>UPI/ARTI SANDIP BHA/549538116062/Paid via SuperM</t>
  </si>
  <si>
    <t>UPI-512929489200</t>
  </si>
  <si>
    <t>Arti Sandip Bha</t>
  </si>
  <si>
    <t>UPI/Mr SHUBHAM RAVI/549643110338/Paid via SuperM</t>
  </si>
  <si>
    <t>UPI-513062663161</t>
  </si>
  <si>
    <t>Mr Shubham Ravi</t>
  </si>
  <si>
    <t>UPI/CHOPDA AUTO WHE/513006856454/Pay to BharatPe</t>
  </si>
  <si>
    <t>UPI-513064188493</t>
  </si>
  <si>
    <t>UPI/IRCTCETICKETING/100532089954/Pine Labs Payme</t>
  </si>
  <si>
    <t>UPI-513111733398</t>
  </si>
  <si>
    <t>UPI/IRCTC CF/100532100746/IRCTC TICKET BO</t>
  </si>
  <si>
    <t>UPI-513111931159</t>
  </si>
  <si>
    <t>UPI/GWEN SUMEET KHE/513213613192/UPI</t>
  </si>
  <si>
    <t>UPI-513207161827</t>
  </si>
  <si>
    <t>Gwen Sumeet Khe</t>
  </si>
  <si>
    <t>UPI/Zerodha Broking/513309616859/007060421252654</t>
  </si>
  <si>
    <t>UPI-513330872694</t>
  </si>
  <si>
    <t>NEFT AXISCN0974957690 NIPPON INDIA SMALL CAP FUND</t>
  </si>
  <si>
    <t>NEFTINW-1210937207</t>
  </si>
  <si>
    <t>UPI/CRED WALLET/513511457076/payment on CRED</t>
  </si>
  <si>
    <t>UPI-513553012943</t>
  </si>
  <si>
    <t>UPI/CRED/513511467013/payment on CRED</t>
  </si>
  <si>
    <t>UPI-513553583633</t>
  </si>
  <si>
    <t>UPI/IRCTC CF/513713292919/IRCTC TICKET BO</t>
  </si>
  <si>
    <t>UPI-513782417790</t>
  </si>
  <si>
    <t>UPI/IRCTC CF/100570866260/UPI Refund</t>
  </si>
  <si>
    <t>UPI-513705020960</t>
  </si>
  <si>
    <t>UPI/MOHMMAD SHOABE /513814119480/Paid via CRED</t>
  </si>
  <si>
    <t>UPI-513840166521</t>
  </si>
  <si>
    <t>UPI/AKIRANI SONS/513815094999/Paid via SuperM</t>
  </si>
  <si>
    <t>UPI-513841152464</t>
  </si>
  <si>
    <t>Akirani Sons</t>
  </si>
  <si>
    <t>UPI/SREERAG M A/513914988417/Paid via CRED a</t>
  </si>
  <si>
    <t>UPI-513998678778</t>
  </si>
  <si>
    <t>UPI/SHAMSHUDDIN/513929282094/Paid via SuperM</t>
  </si>
  <si>
    <t>UPI-513934633606</t>
  </si>
  <si>
    <t>Shamshuddin</t>
  </si>
  <si>
    <t>UPI/RK FARM FRESH V/514035234323/Paid via SuperM</t>
  </si>
  <si>
    <t>UPI-514072324239</t>
  </si>
  <si>
    <t>Rk Farm Fresh V</t>
  </si>
  <si>
    <t>UPI/Ali  Haidar/550715908597/Pay to BharatPe</t>
  </si>
  <si>
    <t>UPI-514159635812</t>
  </si>
  <si>
    <t>UPI/ARCHITA GUPTA/550877800149/wakefit Refund</t>
  </si>
  <si>
    <t>UPI-514206168963</t>
  </si>
  <si>
    <t>UPI/Miss. MEGHA  GU/514271567496/UPI</t>
  </si>
  <si>
    <t>UPI-514227672654</t>
  </si>
  <si>
    <t>UPI/SHIVANNA  H S/550904157384/Paid via CRED</t>
  </si>
  <si>
    <t>UPI-514369645960</t>
  </si>
  <si>
    <t>UPI/Nandini/551219523177/Paid via CRED</t>
  </si>
  <si>
    <t>UPI-514621004386</t>
  </si>
  <si>
    <t>UPI/Ali  Haidar/551218525742/Pay to BharatPe</t>
  </si>
  <si>
    <t>UPI-514621460438</t>
  </si>
  <si>
    <t>UPI/T S ASHOKA/551227517704/Paid via CRED</t>
  </si>
  <si>
    <t>UPI-514621594839</t>
  </si>
  <si>
    <t>NACH-ECS-CR-BAJAJ FINANCE LIMITE-7005624</t>
  </si>
  <si>
    <t>NACHDB26052516390400</t>
  </si>
  <si>
    <t>UPI/LAKSHMAMMA/551315669791/Paid via CRED</t>
  </si>
  <si>
    <t>UPI-514785513617</t>
  </si>
  <si>
    <t>NACH-MUT-DR-ZERODHA BROKING LTD-WOA35OYUNSED</t>
  </si>
  <si>
    <t>NACHDR28052506262700</t>
  </si>
  <si>
    <t>UPI/IRCTC CF/515086317592/IRCTC TICKET BO</t>
  </si>
  <si>
    <t>UPI-515065553633</t>
  </si>
  <si>
    <t>UPI/MANJUNATHA S N/515092051166/Send Money</t>
  </si>
  <si>
    <t>UPI-515090972020</t>
  </si>
  <si>
    <t>Manjunatha S N</t>
  </si>
  <si>
    <t>UPI/Nandini/515092492254/Send Money</t>
  </si>
  <si>
    <t>UPI-515092704404</t>
  </si>
  <si>
    <t>UPI/IRCTC CF/100650342690/IRCTC TICKET BO</t>
  </si>
  <si>
    <t>UPI-515014824202</t>
  </si>
  <si>
    <t>UPI/ARCHIT GUPTA/551750116468/BT ear buds</t>
  </si>
  <si>
    <t>UPI-515162656608</t>
  </si>
  <si>
    <t>UPI/ARCHIT GUPTA/551785507126/UPI</t>
  </si>
  <si>
    <t>UPI-515166541351</t>
  </si>
  <si>
    <t>UPI/ARCHIT GUPTA/515103326461/UPI</t>
  </si>
  <si>
    <t>UPI-515176106490</t>
  </si>
  <si>
    <t>UPI/RAJA N/551804522587/Paid via CRED</t>
  </si>
  <si>
    <t>UPI-515221365505</t>
  </si>
  <si>
    <t>UPI/Nandini/551802523167/Paid via CRED</t>
  </si>
  <si>
    <t>UPI-515221447268</t>
  </si>
  <si>
    <t>UPI/AAYUSH KUMAR GU/868844991535/UPI</t>
  </si>
  <si>
    <t>UPI-515370939314</t>
  </si>
  <si>
    <t>UPI/AAYUSH KUMAR GU/869103531535/UPI</t>
  </si>
  <si>
    <t>UPI-515371140519</t>
  </si>
  <si>
    <t>UPI/supermoney/515451742169/Supermoney Rewa</t>
  </si>
  <si>
    <t>UPI-515416965085</t>
  </si>
  <si>
    <t>UPI/GOVINDAPPAN/552069447126/Paid via SuperM</t>
  </si>
  <si>
    <t>UPI-515429211702</t>
  </si>
  <si>
    <t>Govindappan</t>
  </si>
  <si>
    <t>UPI/ABHISHEK  D/552073524597/Paid via SuperM</t>
  </si>
  <si>
    <t>UPI-515453666346</t>
  </si>
  <si>
    <t>Abhishek  D</t>
  </si>
  <si>
    <t>UPI/MATS FUEL PARK /552075871981/Paid via SuperM</t>
  </si>
  <si>
    <t>UPI-515467839147</t>
  </si>
  <si>
    <t>UPI/GoKiwi Tech Pri/144699841555/Rewards Payout</t>
  </si>
  <si>
    <t>UPI-515584909446</t>
  </si>
  <si>
    <t>UPI/INDMoney/552124042095/PayviaRazorpay</t>
  </si>
  <si>
    <t>UPI-515528374999</t>
  </si>
  <si>
    <t>UPI/CAPITALFLOAT/552103043773/You are paying</t>
  </si>
  <si>
    <t>UPI-515530560761</t>
  </si>
  <si>
    <t>Capitalfloat</t>
  </si>
  <si>
    <t>UPI/Amazon Pay Bala/552124048570/You are paying</t>
  </si>
  <si>
    <t>UPI-515530801889</t>
  </si>
  <si>
    <t>UPI/Nandini/552313370151/Paid via CRED</t>
  </si>
  <si>
    <t>UPI-515764399184</t>
  </si>
  <si>
    <t>UPI/Green Choice Mi/552406555504/Paid via CRED</t>
  </si>
  <si>
    <t>UPI-515836880777</t>
  </si>
  <si>
    <t>UPI/GOVINDSINGH RAV/552417554701/Paid via CRED</t>
  </si>
  <si>
    <t>UPI-515837095659</t>
  </si>
  <si>
    <t>UPI/Nandini/552527598627/Paid via CRED</t>
  </si>
  <si>
    <t>UPI-515954722703</t>
  </si>
  <si>
    <t>UPI/BHARATH J/552505656687/Paid via CRED</t>
  </si>
  <si>
    <t>UPI-515977406589</t>
  </si>
  <si>
    <t>NEFT ICIN216015015875 CENTRAL DEPOSITORY SERVICES</t>
  </si>
  <si>
    <t>NEFTINW-1237168257</t>
  </si>
  <si>
    <t>CDSL</t>
  </si>
  <si>
    <t>UPI/Nandini/552719994173/Paid via CRED</t>
  </si>
  <si>
    <t>UPI-516115444502</t>
  </si>
  <si>
    <t>UPI/CRED/516138092462/payment on CRED</t>
  </si>
  <si>
    <t>UPI-516130032633</t>
  </si>
  <si>
    <t>UPI/CRED/516238120370/payment on CRED</t>
  </si>
  <si>
    <t>UPI-516231915867</t>
  </si>
  <si>
    <t>NEFT AXISCN0990326300 NIPPON INDIA SMALL CAP FUND</t>
  </si>
  <si>
    <t>NEFTINW-1239187671</t>
  </si>
  <si>
    <t>UPI/CRED/516238472323/payment on CRED</t>
  </si>
  <si>
    <t>UPI-516255932312</t>
  </si>
  <si>
    <t>UPI/CRED/516238476449/payment on CRED</t>
  </si>
  <si>
    <t>UPI-516256212295</t>
  </si>
  <si>
    <t>UPI/IRCTC/100740147956/Easebuzz</t>
  </si>
  <si>
    <t>UPI-516259998706</t>
  </si>
  <si>
    <t>UPI/IRCTC CF/100740331401/IRCTC TICKET BO</t>
  </si>
  <si>
    <t>UPI-516261910459</t>
  </si>
  <si>
    <t>UPI/Nandini/552812157771/Paid via CRED</t>
  </si>
  <si>
    <t>UPI-516289522622</t>
  </si>
  <si>
    <t>UPI/CRED/516339108505/payment on CRED</t>
  </si>
  <si>
    <t>UPI-516301551639</t>
  </si>
  <si>
    <t>UPI/CRED/516339814186/payment on CRED</t>
  </si>
  <si>
    <t>UPI-516352348003</t>
  </si>
  <si>
    <t>UPI/CRED/516339861257/payment on CRED</t>
  </si>
  <si>
    <t>UPI-516355705777</t>
  </si>
  <si>
    <t>UPI/IRCTC CF/100751025620/UPI Refund</t>
  </si>
  <si>
    <t>UPI-516463098429</t>
  </si>
  <si>
    <t>UPI/CRED/516440037695/payment on CRED</t>
  </si>
  <si>
    <t>UPI-516468127325</t>
  </si>
  <si>
    <t>UPI/CRED/516440038720/payment on CRED</t>
  </si>
  <si>
    <t>UPI-516468202306</t>
  </si>
  <si>
    <t>UPI/AAYUSH KUMAR GU/264644071645/UPI</t>
  </si>
  <si>
    <t>UPI-516481614530</t>
  </si>
  <si>
    <t>UPI/CRED/516540743271/payment on CRED</t>
  </si>
  <si>
    <t>UPI-516520244654</t>
  </si>
  <si>
    <t>UPI/CRED/516540960598/payment on CRED</t>
  </si>
  <si>
    <t>UPI-516534794138</t>
  </si>
  <si>
    <t>UPI/Nandini/516596931892/Paid via SuperM</t>
  </si>
  <si>
    <t>UPI-516542003751</t>
  </si>
  <si>
    <t>UPI/CRED/516541256196/payment on CRED</t>
  </si>
  <si>
    <t>UPI-516555350480</t>
  </si>
  <si>
    <t>UPI/CRED/516641612716/payment on CRED</t>
  </si>
  <si>
    <t>UPI-516680981679</t>
  </si>
  <si>
    <t>UPI/CRED/516641724694/payment on CRED</t>
  </si>
  <si>
    <t>UPI-516688881581</t>
  </si>
  <si>
    <t>UPI/CRED/516642015113/payment on CRED</t>
  </si>
  <si>
    <t>UPI-516607325988</t>
  </si>
  <si>
    <t>UPI/K PRAMOD KRISHN/553214470599/Paid via SuperM</t>
  </si>
  <si>
    <t>UPI-516637040813</t>
  </si>
  <si>
    <t>K Pramod Krishn</t>
  </si>
  <si>
    <t>UPI/CRED/516742570366/payment on CRED</t>
  </si>
  <si>
    <t>UPI-516747927411</t>
  </si>
  <si>
    <t>UPI/Nandini/553329769512/Paid via CRED</t>
  </si>
  <si>
    <t>UPI-516749046121</t>
  </si>
  <si>
    <t>UPI/RAHUL GUPTA/553321789210/Paid via CRED</t>
  </si>
  <si>
    <t>UPI-516758131143</t>
  </si>
  <si>
    <t>UPI/CRED/516843384005/payment on CRED</t>
  </si>
  <si>
    <t>UPI-516809256455</t>
  </si>
  <si>
    <t>UPI/CRED/516843721999/payment on CRED</t>
  </si>
  <si>
    <t>UPI-516834714561</t>
  </si>
  <si>
    <t>UPI/Nandini/553408015553/Paid via CRED</t>
  </si>
  <si>
    <t>UPI-516859300532</t>
  </si>
  <si>
    <t>UPI/CRED Club/553510028196/payment on CRED</t>
  </si>
  <si>
    <t>UPI-516963738102</t>
  </si>
  <si>
    <t>UPI/Nandini/553514048418/Paid via CRED</t>
  </si>
  <si>
    <t>UPI-516975345114</t>
  </si>
  <si>
    <t>UPI/CRED/517045095499/payment on CRED</t>
  </si>
  <si>
    <t>UPI-517028931294</t>
  </si>
  <si>
    <t>UPI/CENTRO Bengalur/553611269872/Paid via CRED</t>
  </si>
  <si>
    <t>UPI-517076997681</t>
  </si>
  <si>
    <t>UPI/Nandini/553606269856/Paid via CRED</t>
  </si>
  <si>
    <t>UPI-517077576906</t>
  </si>
  <si>
    <t>UPI/CRED/517146415362/payment on CRED</t>
  </si>
  <si>
    <t>UPI-517193992722</t>
  </si>
  <si>
    <t>UPI/CRED/517247596253/payment on CRED</t>
  </si>
  <si>
    <t>UPI-517251669074</t>
  </si>
  <si>
    <t>UPI/CRED/517348918871/payment on CRED</t>
  </si>
  <si>
    <t>UPI-517311798823</t>
  </si>
  <si>
    <t>UPI/CRED/517450232732/payment on CRED</t>
  </si>
  <si>
    <t>UPI-517470770750</t>
  </si>
  <si>
    <t>UPI/CRED/517551435068/payment on CRED</t>
  </si>
  <si>
    <t>UPI-517529858872</t>
  </si>
  <si>
    <t>PCD/4395/WWW DREAMFOLKS IN/NEW DELHI260625/01:07</t>
  </si>
  <si>
    <t>UPI/DIPAK GAMAN PAW/517962105699/Paid via SuperM</t>
  </si>
  <si>
    <t>UPI-517995952282</t>
  </si>
  <si>
    <t>Dipak Gaman Paw</t>
  </si>
  <si>
    <t>Int.Pd:3649610333:01-04-2025 to 30-06-2025</t>
  </si>
  <si>
    <t>UPI/Shinas  A/518292852468/Paid via SuperM</t>
  </si>
  <si>
    <t>UPI-518250066945</t>
  </si>
  <si>
    <t>Shinas  A</t>
  </si>
  <si>
    <t>UPI/ROOPESHA/518299706502/Paid via SuperM</t>
  </si>
  <si>
    <t>UPI-518280223613</t>
  </si>
  <si>
    <t>Roopesha</t>
  </si>
  <si>
    <t>UPI/Nandini/554801983589/Paid via SuperM</t>
  </si>
  <si>
    <t>UPI-518292695855</t>
  </si>
  <si>
    <t>UPI/CRED/518362872928/payment on CRED</t>
  </si>
  <si>
    <t>UPI-518326539639</t>
  </si>
  <si>
    <t>UPI/JUGAL KISHORE/554908721233/Paid via SuperM</t>
  </si>
  <si>
    <t>UPI-518327302722</t>
  </si>
  <si>
    <t>Jugal Kishore</t>
  </si>
  <si>
    <t>UPI/Zerodha Broking/555139239705/484588691068574</t>
  </si>
  <si>
    <t>UPI-518572215316</t>
  </si>
  <si>
    <t>UPI/Nandini/555140041488/Paid via SuperM</t>
  </si>
  <si>
    <t>UPI-518575989099</t>
  </si>
  <si>
    <t>UPI/JAYAMANI G/555259429544/Paid via SuperM</t>
  </si>
  <si>
    <t>UPI-518668683417</t>
  </si>
  <si>
    <t>Jayamani G</t>
  </si>
  <si>
    <t>UPI/Janki Bai Gupta/555410871295/Paid via CRED</t>
  </si>
  <si>
    <t>UPI-518891552182</t>
  </si>
  <si>
    <t>UPI/CRED/518872234383/payment on CRED</t>
  </si>
  <si>
    <t>UPI-518892272266</t>
  </si>
  <si>
    <t>NACH-ECS-CR-VEDANTA LIMITED-34961096</t>
  </si>
  <si>
    <t>NACHDB08072512332000</t>
  </si>
  <si>
    <t>UPI/CRED/518974236958/payment on CRED</t>
  </si>
  <si>
    <t>UPI-518978176899</t>
  </si>
  <si>
    <t>UPI/CRED/519074456808/payment on CRED</t>
  </si>
  <si>
    <t>UPI-519088876112</t>
  </si>
  <si>
    <t>UPI/CRED/519175820228/payment on CRED</t>
  </si>
  <si>
    <t>UPI-519153850525</t>
  </si>
  <si>
    <t>NEFT AXISCN1016325628 NIPPON INDIA SMALL CAP FUND</t>
  </si>
  <si>
    <t>NEFTINW-1267818523</t>
  </si>
  <si>
    <t>UPI/Zerodha Broking/519129560764/684283368074403</t>
  </si>
  <si>
    <t>UPI-519174191079</t>
  </si>
  <si>
    <t>UPI/CRED/519277168887/payment on CRED</t>
  </si>
  <si>
    <t>UPI-519221155085</t>
  </si>
  <si>
    <t>UPI/Zerodha Broking/519244796585/161156228328016</t>
  </si>
  <si>
    <t>UPI-519240112917</t>
  </si>
  <si>
    <t>UPI/CRED/519378535483/payment on CRED</t>
  </si>
  <si>
    <t>UPI-519391408835</t>
  </si>
  <si>
    <t>UPI/CRED/519479844090/payment on CRED</t>
  </si>
  <si>
    <t>UPI-519455579287</t>
  </si>
  <si>
    <t>UPI/NARASIMHA MURTH/519477699863/Paid via SuperM</t>
  </si>
  <si>
    <t>UPI-519480398628</t>
  </si>
  <si>
    <t>Narasimha Murth</t>
  </si>
  <si>
    <t>UPI/Surajmal  Sunva/519478870884/Paid via SuperM</t>
  </si>
  <si>
    <t>UPI-519485790688</t>
  </si>
  <si>
    <t>Surajmal  Sunva</t>
  </si>
  <si>
    <t>UPI/CRED/519581120678/payment on CRED</t>
  </si>
  <si>
    <t>UPI-519516956747</t>
  </si>
  <si>
    <t>UPI/Nandini/519589841826/Paid via SuperM</t>
  </si>
  <si>
    <t>UPI-519528998296</t>
  </si>
  <si>
    <t>UPI/CRED/519682273602/payment on CRED</t>
  </si>
  <si>
    <t>UPI-519680082909</t>
  </si>
  <si>
    <t>UPI/MEGHA GUPTA/556208623082/UPI</t>
  </si>
  <si>
    <t>UPI-519696848582</t>
  </si>
  <si>
    <t>UPI/MEGHA GUPTA/519603007198/UPI</t>
  </si>
  <si>
    <t>UPI-519600091923</t>
  </si>
  <si>
    <t>UPI/Google Play Sto/497986831975/MandateExecute</t>
  </si>
  <si>
    <t>UPI-519747588262</t>
  </si>
  <si>
    <t>UPI/CRED/519783637488/payment on CRED</t>
  </si>
  <si>
    <t>UPI-519755230794</t>
  </si>
  <si>
    <t>UPI/supermoney/519888744474/Supermoney Rewa</t>
  </si>
  <si>
    <t>UPI-519830153349</t>
  </si>
  <si>
    <t>UPI/Google Play Sto/682489391985/MandateExecute</t>
  </si>
  <si>
    <t>UPI-519855115668</t>
  </si>
  <si>
    <t>NACH-10-CR-NESTLEINDIALTD-00000000000000186284</t>
  </si>
  <si>
    <t>NACHDB24072506314900</t>
  </si>
  <si>
    <t>UPI/AAYUSH KUMAR GU/551107842055/UPI</t>
  </si>
  <si>
    <t>UPI-520526864758</t>
  </si>
  <si>
    <t>NACH-ECS-CR-CAMS FNLDIV 2024 25-311096</t>
  </si>
  <si>
    <t>NACHDB25072506321200</t>
  </si>
  <si>
    <t>NACH-ECS-CR-BAJAJ FINANCE LIMITE-7902327</t>
  </si>
  <si>
    <t>NACHDB25072514332700</t>
  </si>
  <si>
    <t>UPI/Nandini/520670157018/Paid via SuperM</t>
  </si>
  <si>
    <t>UPI-520618809314</t>
  </si>
  <si>
    <t>UPI/AAYUSH KUMAR GU/810935882075/UPI</t>
  </si>
  <si>
    <t>UPI-520734150409</t>
  </si>
  <si>
    <t>NACH-MUT-DR-INDIAN CLEARING CORP-0000V8ST66OWJYR6</t>
  </si>
  <si>
    <t>NACHDR28072506171400</t>
  </si>
  <si>
    <t>UPI/Mr  AJITHVARUN /557626966767/Paid via SuperM</t>
  </si>
  <si>
    <t>UPI-521007155111</t>
  </si>
  <si>
    <t>Mr  Ajithvarun</t>
  </si>
  <si>
    <t>NACH-ECS-CR-ITC LIMITED-1853765</t>
  </si>
  <si>
    <t>NACHDB30072512332500</t>
  </si>
  <si>
    <t>NEFT STCB010825236957 AAYUSH KUMAR GUPTA STCB0000</t>
  </si>
  <si>
    <t>NEFTINW-1289187444</t>
  </si>
  <si>
    <t>SBM</t>
  </si>
  <si>
    <t>NACH-10-CR-SHRIRAM.FINLTD F2425-STF12081600772142</t>
  </si>
  <si>
    <t>NACHDB01082510322800</t>
  </si>
  <si>
    <t>UPI/AAYUSH KUMAR GU/728499832135/UPI</t>
  </si>
  <si>
    <t>UPI-521365320470</t>
  </si>
  <si>
    <t>UPI/Zerodha Broking/557903384998/942064036675798</t>
  </si>
  <si>
    <t>UPI-521365363342</t>
  </si>
  <si>
    <t>UPI/SHADAB HUSNAIN/521631857440/Paid via SuperM</t>
  </si>
  <si>
    <t>UPI-521673899461</t>
  </si>
  <si>
    <t>Shadab Husnain</t>
  </si>
  <si>
    <t>UPI/MR AJITHVARUN  /521741437154/Paid via SuperM</t>
  </si>
  <si>
    <t>UPI-521704852261</t>
  </si>
  <si>
    <t>Mr Ajithvarun</t>
  </si>
  <si>
    <t>UPI/RK FARM FRESH V/521978428989/Paid via SuperM</t>
  </si>
  <si>
    <t>UPI-521956184158</t>
  </si>
  <si>
    <t>UPI/SANTHIYA R/521981580207/Paid via SuperM</t>
  </si>
  <si>
    <t>UPI-521972326156</t>
  </si>
  <si>
    <t>Santhiya R</t>
  </si>
  <si>
    <t>UPI/AAYUSH KUMAR GU/802551602205/UPI</t>
  </si>
  <si>
    <t>UPI-522021259782</t>
  </si>
  <si>
    <t>UPI/Zerodha Broking/558614613894/768701382039629</t>
  </si>
  <si>
    <t>UPI-522021321015</t>
  </si>
  <si>
    <t>UPI/AAYUSH KUMAR GU/892339792215/UPI</t>
  </si>
  <si>
    <t>UPI-522172451456</t>
  </si>
  <si>
    <t>UPI/Tapan Kumar Bha/558963858955/Paid via Navi U</t>
  </si>
  <si>
    <t>UPI-522304173777</t>
  </si>
  <si>
    <t>NEFT AXISCN1049031938 NIPPON INDIA SMALL CAP FUND</t>
  </si>
  <si>
    <t>NEFTINW-1300797669</t>
  </si>
  <si>
    <t>NACH-ECS-CR-CDSL FNLDIV 2024 25-1020860</t>
  </si>
  <si>
    <t>NACHDB16082506330900</t>
  </si>
  <si>
    <t>NACH-ECS-CR-CAMS 1ST INTDIV25 26-315186</t>
  </si>
  <si>
    <t>NACHDB21082510460200</t>
  </si>
  <si>
    <t>UPI/CRED WALLET/560639657053/payment on CRED</t>
  </si>
  <si>
    <t>UPI-524075740531</t>
  </si>
  <si>
    <t>NACH-MUT-DR-INDIAN CLEARING CORP-0000ETAYPT8AQZTE</t>
  </si>
  <si>
    <t>NACHDR28082506382600</t>
  </si>
  <si>
    <t>UPI/supermoney/524018361361/Supermoney Rewa</t>
  </si>
  <si>
    <t>UPI-524096618958</t>
  </si>
  <si>
    <t>NACH-ECS-CR-RELIANCE INDUSTRIES-253157613</t>
  </si>
  <si>
    <t>NACHDB29082518591600</t>
  </si>
  <si>
    <t>UPI/CRED WALLET/560944444224/payment on CRED</t>
  </si>
  <si>
    <t>UPI-524378908393</t>
  </si>
  <si>
    <t>UPI/CRED WALLET/560944610412/payment on CRED</t>
  </si>
  <si>
    <t>UPI-524385256931</t>
  </si>
  <si>
    <t>UPI/ARCHIT GUPTA/110633030608/UPI</t>
  </si>
  <si>
    <t>UPI-524461414362</t>
  </si>
  <si>
    <t>UPI/DISTRICT D/561047136379/UPIIntent</t>
  </si>
  <si>
    <t>UPI-524491587441</t>
  </si>
  <si>
    <t>NACH-ECS-CR-PARASDEFENCEFNL24 25-248045</t>
  </si>
  <si>
    <t>NACHDB03092519163401</t>
  </si>
  <si>
    <t>NACH-ECS-CR-VEDANTA LIMITED-37158283</t>
  </si>
  <si>
    <t>NACHDB09092506324800</t>
  </si>
  <si>
    <t>NEFT AXISCN1078727412 NIPPON INDIA SMALL CAP FUND</t>
  </si>
  <si>
    <t>NEFTINW-1329253384</t>
  </si>
  <si>
    <t>UPI/TEJAS   P/695133525184/Payment from Ph</t>
  </si>
  <si>
    <t>UPI-525436712217</t>
  </si>
  <si>
    <t>UPI/supermoney/525665153151/Supermoney Rewa</t>
  </si>
  <si>
    <t>UPI-525602228219</t>
  </si>
  <si>
    <t>UPI/UTKARSH BHANDAR/562385613916/UPI</t>
  </si>
  <si>
    <t>UPI-525759958148</t>
  </si>
  <si>
    <t>UPI/UTKARSH BHANDAR/525816473188/UPI</t>
  </si>
  <si>
    <t>UPI-525801126956</t>
  </si>
  <si>
    <t>Utkarsh Bhandar</t>
  </si>
  <si>
    <t>UPI/AAYUSH KUMAR GU/562516364559/Paid via CRED</t>
  </si>
  <si>
    <t>UPI-525907187257</t>
  </si>
  <si>
    <t>UPI/INDmoney/562567804443/INDmoney</t>
  </si>
  <si>
    <t>UPI-525907259541</t>
  </si>
  <si>
    <t>UPI/Kriti  Gupta/526027929781/UPI</t>
  </si>
  <si>
    <t>UPI-526040250935</t>
  </si>
  <si>
    <t>NACH-ECS-CR-MCX OF INDIA LTD-4065754</t>
  </si>
  <si>
    <t>NACHDB25092514302100</t>
  </si>
  <si>
    <t>NACH-MUT-DR-ZERODHA BROKING LTD-L2WDSDDV8CPGEB</t>
  </si>
  <si>
    <t>NACHDR28092506182700</t>
  </si>
  <si>
    <t>UPI/Google Pay/594870122715/UPI</t>
  </si>
  <si>
    <t>UPI-527162788760</t>
  </si>
  <si>
    <t>Int.Pd:3649610333:01-07-2025 to 30-09-2025</t>
  </si>
  <si>
    <t>NEFT YESF352776809854 ZERODHA BROKING LTD DSCNB A</t>
  </si>
  <si>
    <t>NEFTINW-1353810003</t>
  </si>
  <si>
    <t>PCD/4395/GOOGLE ADS/0224092000041025/19:16</t>
  </si>
  <si>
    <t>NACH-ECS-CR-NSDL FINDIV 2025-548952</t>
  </si>
  <si>
    <t>NACHDB06102518222700</t>
  </si>
  <si>
    <t>UPI/AAYUSH KUMAR GU/564874311996/Paid via SuperM</t>
  </si>
  <si>
    <t>UPI-528218814238</t>
  </si>
  <si>
    <t>NEFT AXISCN1113778995 NIPPON INDIA SMALL CAP FUND</t>
  </si>
  <si>
    <t>NEFTINW-1360898959</t>
  </si>
  <si>
    <t>VISA-REFUND/111025/111025/GOOGLE ADS</t>
  </si>
  <si>
    <t>FOS25286112883509</t>
  </si>
  <si>
    <t>UPI/supermoney/529269170820/Supermoney Rewa</t>
  </si>
  <si>
    <t>UPI-529240560901</t>
  </si>
  <si>
    <t>UPI/CRED/529513092944/payment on CRED</t>
  </si>
  <si>
    <t>UPI-529537974726</t>
  </si>
  <si>
    <t>UPI/IRCTC/101794426220/Easebuzz</t>
  </si>
  <si>
    <t>UPI-529990249163</t>
  </si>
  <si>
    <t>UPI/KINAR IBRAHIM K/566509184811/Paid via SuperM</t>
  </si>
  <si>
    <t>UPI-529927995969</t>
  </si>
  <si>
    <t>Kinar Ibrahim K</t>
  </si>
  <si>
    <t>NACH-MUT-DR-ZERODHA BROKING LTD-N5ZSOXPSZI6MGM</t>
  </si>
  <si>
    <t>NACHDR28102506112700</t>
  </si>
  <si>
    <t>UPI/BINODABIHARI  K/566739204212/Paid via SuperM</t>
  </si>
  <si>
    <t>UPI-530116920497</t>
  </si>
  <si>
    <t>Binodabihari  K</t>
  </si>
  <si>
    <t>UPI/Nandini/566744284364/Paid via SuperM</t>
  </si>
  <si>
    <t>UPI-530141422154</t>
  </si>
  <si>
    <t>UPI/Nandini/566856074677/Paid via SuperM</t>
  </si>
  <si>
    <t>UPI-530271112885</t>
  </si>
  <si>
    <t>UPI/JioHotstar/530480936880/Collect request</t>
  </si>
  <si>
    <t>UPI-530417574986</t>
  </si>
  <si>
    <t>UPI/Nandini/530515291814/Paid via SuperM</t>
  </si>
  <si>
    <t>UPI-530568828349</t>
  </si>
  <si>
    <t>UPI/Nandini/567503615013/Paid via SuperM</t>
  </si>
  <si>
    <t>UPI-530982430866</t>
  </si>
  <si>
    <t>UPI/OpenAI LLC/530922694407/Mandate Request</t>
  </si>
  <si>
    <t>UPI-530916445597</t>
  </si>
  <si>
    <t>REV-UPI/OpenAI LLC/530922694407/Refund</t>
  </si>
  <si>
    <t>UPI-531064664457</t>
  </si>
  <si>
    <t>UPI/AAYUSH KUMAR GU/416467133115/Investment</t>
  </si>
  <si>
    <t>UPI-531113547052</t>
  </si>
  <si>
    <t>UPI/VIJAY YADAV/567751750904/Paid via SuperM</t>
  </si>
  <si>
    <t>UPI-531159092778</t>
  </si>
  <si>
    <t>Vijay Yadav</t>
  </si>
  <si>
    <t>UPI/AKASH/567866624829/Paid via SuperM</t>
  </si>
  <si>
    <t>UPI-531205648894</t>
  </si>
  <si>
    <t>Akash</t>
  </si>
  <si>
    <t>UPIM/Billionbrains Garage/108550592259</t>
  </si>
  <si>
    <t>NEFT AXISCN1152137963 NIPPON INDIA SMALL CAP FUND</t>
  </si>
  <si>
    <t>NEFTINW-1394630571</t>
  </si>
  <si>
    <t>UPI/Nandini/531639719607/Paid via SuperM</t>
  </si>
  <si>
    <t>UPI-531664052008</t>
  </si>
  <si>
    <t>SHRIRAM FINANCE LIMITED IDIV26</t>
  </si>
  <si>
    <t>FCM-251117JRIBIE</t>
  </si>
  <si>
    <t>NACH-ECS-CR-CAMS 2ND INTDIV25 26-340108</t>
  </si>
  <si>
    <t>NACHDB19112506094300</t>
  </si>
  <si>
    <t>NACH-ECS-CR-NUVAMA2INTDIV2025 26-88509</t>
  </si>
  <si>
    <t>NACHDB20112512143900</t>
  </si>
  <si>
    <t>UPI/AAYUSH KUMAR GU/408381273305/UPI</t>
  </si>
  <si>
    <t>UPI-533058921498</t>
  </si>
  <si>
    <t>NACH-MUT-DR-ZERODHA BROKING LTD-VE5W7E8CFSP6VX</t>
  </si>
  <si>
    <t>NACHDR28112506135500</t>
  </si>
  <si>
    <t>UPI/AAYUSH KUMAR GU/509940303355/UPI</t>
  </si>
  <si>
    <t>UPI-533579481350</t>
  </si>
  <si>
    <t>NEFT IN22534244354050 CENTRAL DEPOSITORY SERVICES</t>
  </si>
  <si>
    <t>NEFTINW-1421087754</t>
  </si>
  <si>
    <t>NEFT AXISCN1181980549 NIPPON INDIA SMALL CAP FUND</t>
  </si>
  <si>
    <t>NEFTINW-1423311053</t>
  </si>
  <si>
    <t>UPI/Miss MEGHA  GUP/571075608314/UPI</t>
  </si>
  <si>
    <t>UPI-534449539738</t>
  </si>
  <si>
    <t>UPI/Miss MEGHA  GUP/571080614360/UPI</t>
  </si>
  <si>
    <t>UPI-534449610009</t>
  </si>
  <si>
    <t>UPI/GOOGLE INDIA DI/667879373445/UPI</t>
  </si>
  <si>
    <t>UPI-534449660822</t>
  </si>
  <si>
    <t>UPI/AAYUSH KUMAR GU/534423871983/UPI</t>
  </si>
  <si>
    <t>UPI-534450533610</t>
  </si>
  <si>
    <t>UPI/HUBSHAN S/571767632763/advance against</t>
  </si>
  <si>
    <t>UPI-535127873929</t>
  </si>
  <si>
    <t>Hubshan S</t>
  </si>
  <si>
    <t>UPI/MEGHA GUPTA/535625289715/UPI</t>
  </si>
  <si>
    <t>UPI-535633036198</t>
  </si>
  <si>
    <t>UPI/MEGHA GUPTA/572539378715/UPI</t>
  </si>
  <si>
    <t>UPI-535986340489</t>
  </si>
  <si>
    <t>NACH-MUT-DR-INDIAN CLEARING CORP-0000Q4YZWEJD8B67</t>
  </si>
  <si>
    <t>NACHDR28122506124700</t>
  </si>
  <si>
    <t>UPI/AAYUSH KUMAR GU/536479469562/Paid via SuperM</t>
  </si>
  <si>
    <t>UPI-536480852939</t>
  </si>
  <si>
    <t>Int.Pd:3649610333:01-10-2025 to 31-12-2025</t>
  </si>
  <si>
    <t>NEFT YESF360037662653 ZERODHA BROKING LTD DSCNB A</t>
  </si>
  <si>
    <t>NEFTINW-1448066050</t>
  </si>
  <si>
    <t>UPI/ZOMATO LIMITED/636980483521/UPIIntent</t>
  </si>
  <si>
    <t>UPI-600304059831</t>
  </si>
  <si>
    <t>UPI/SANTHOSHA  N/600520950171/Paid via SuperM</t>
  </si>
  <si>
    <t>UPI-600508940266</t>
  </si>
  <si>
    <t>Santhosha  N</t>
  </si>
  <si>
    <t>UPI/ZERODHA BROKING/600643173706/228893478051146</t>
  </si>
  <si>
    <t>UPI-600675834929</t>
  </si>
  <si>
    <t>UPI/KARTHIK   V/600649258787/Paid via SuperM</t>
  </si>
  <si>
    <t>UPI-600603669146</t>
  </si>
  <si>
    <t>Karthik   V</t>
  </si>
  <si>
    <t>UPI/AUTOPE PAYMENT /600927180992/Pay with UPI</t>
  </si>
  <si>
    <t>UPI-600930430909</t>
  </si>
  <si>
    <t>UPI/SYED KHAJA  PAS/637650192555/Pay to BharatPe</t>
  </si>
  <si>
    <t>UPI-601013772073</t>
  </si>
  <si>
    <t>UPI/HAP DAILY/637762330516/Paid via SuperM</t>
  </si>
  <si>
    <t>UPI-601136283017</t>
  </si>
  <si>
    <t>UPI/PRAKASH  K/637762391484/Paid via SuperM</t>
  </si>
  <si>
    <t>UPI-601136344828</t>
  </si>
  <si>
    <t>Prakash  K</t>
  </si>
  <si>
    <t>UPI/Krishna Home Ap/637766174639/Paid via SuperM</t>
  </si>
  <si>
    <t>UPI-601147225677</t>
  </si>
  <si>
    <t>Krishna Home Ap</t>
  </si>
  <si>
    <t>NEFT AXISCN1217008599 NIPPON INDIA SMALL CAP FUND</t>
  </si>
  <si>
    <t>NEFTINW-1457659515</t>
  </si>
  <si>
    <t>UPI/supermoney/601238008470/Supermoney Rewa</t>
  </si>
  <si>
    <t>UPI-601279002588</t>
  </si>
  <si>
    <t>UPI/AAYUSH KUMAR GU/601201260168/Paid via SuperM</t>
  </si>
  <si>
    <t>UPI-601279984036</t>
  </si>
  <si>
    <t>UPI/FINZOOMERS SERV/637819950766/Paid via CRED</t>
  </si>
  <si>
    <t>UPI-601280000041</t>
  </si>
  <si>
    <t>UPI/9594435259@supe/601569478286/Paid via SuperM</t>
  </si>
  <si>
    <t>UPI-601590092891</t>
  </si>
  <si>
    <t>UPI/9594435259@supe/601569529799/Paid via SuperM</t>
  </si>
  <si>
    <t>UPI-601590383443</t>
  </si>
  <si>
    <t>UPI/District Dining/638231897363/District Paymen</t>
  </si>
  <si>
    <t>UPI-601663810089</t>
  </si>
  <si>
    <t>UPI/AAYUSH KUMAR GU/638304510676/Paid via SuperM</t>
  </si>
  <si>
    <t>UPI-601778818652</t>
  </si>
  <si>
    <t>UPI/Bangalore Metro/639122189284/UPIIntent</t>
  </si>
  <si>
    <t>UPI-602551293511</t>
  </si>
  <si>
    <t>Bangalore Metro</t>
  </si>
  <si>
    <t>NACH-MUT-DR-INDIAN CLEARING CORP-0000PJ9STFTYEKC7</t>
  </si>
  <si>
    <t>NACHDR28012600021739</t>
  </si>
  <si>
    <t>UPI/AAYUSH KUMAR GU/639588556111/Paid via SuperM</t>
  </si>
  <si>
    <t>UPI-602917646301</t>
  </si>
  <si>
    <t>UPI/ZERODHA BROKING/639588577041/200636975514236</t>
  </si>
  <si>
    <t>UPI-602917752368</t>
  </si>
  <si>
    <t>UPI/AAYUSH KUMAR GU/603391964405/Paid via SuperM</t>
  </si>
  <si>
    <t>UPI-603320832436</t>
  </si>
  <si>
    <t>NEFT AXISCN1248388657 NIPPON INDIA SMALL CAP FUND</t>
  </si>
  <si>
    <t>NEFTINW-1488958180</t>
  </si>
  <si>
    <t>NACH-ECS-CR-CAMS 3RD INTDIV25 26-354644</t>
  </si>
  <si>
    <t>NACHDB12022600052643</t>
  </si>
  <si>
    <t>UPI/Cashfree/605322113249/Refund</t>
  </si>
  <si>
    <t>UPI-605320478689</t>
  </si>
  <si>
    <t>UPI/AAYUSH KUMAR GU/520699040576/UPI</t>
  </si>
  <si>
    <t>UPI-605786331355</t>
  </si>
  <si>
    <t>UPI/supermoney/605891176884/Supermoney Rewa</t>
  </si>
  <si>
    <t>UPI-605884287159</t>
  </si>
  <si>
    <t>NACH-MUT-DR-INDIAN CLEARING CORP-0000KMKQLRJ43J3Y</t>
  </si>
  <si>
    <t>NACHDR28022600007533</t>
  </si>
  <si>
    <t>Recd:IMPS/605922566749/WISE PAYME/KKBK/X8831/RDA V</t>
  </si>
  <si>
    <t>IMPS-605922689752</t>
  </si>
  <si>
    <t>UPI/AAYUSH KUMAR GU/642663188179/Paid via SuperM</t>
  </si>
  <si>
    <t>UPI-606063700486</t>
  </si>
  <si>
    <t>NACH-MUT-DR-ZERODHA BROKING LTD-DV633MJGF1IKP1</t>
  </si>
  <si>
    <t>NACHDR03032600668769</t>
  </si>
  <si>
    <t>UPI/ICCL ZERODHA/102833202300/BaLAmYvw0T7413D</t>
  </si>
  <si>
    <t>UPI-606271664060</t>
  </si>
  <si>
    <t>Chrg: ECS Return on 20260303 HDFCLifeInsuranceCom</t>
  </si>
  <si>
    <t>UPI/AAYUSH KUMAR GU/606851380215/Paid via SuperM</t>
  </si>
  <si>
    <t>UPI-606837364349</t>
  </si>
  <si>
    <t>UPI/ZERODHA BROKING/606851397399/620881395310603</t>
  </si>
  <si>
    <t>UPI-606837469835</t>
  </si>
  <si>
    <t>UPI/AAYUSH KUMAR GU/645619743149/Paid via SuperM</t>
  </si>
  <si>
    <t>UPI-609061892035</t>
  </si>
  <si>
    <t>Int.Pd:3649610333:01-01-2026 to 31-03-2026</t>
  </si>
  <si>
    <t>SBM Bank Narration Sheet</t>
  </si>
  <si>
    <t>20052205306441:Int.Pd:31-03-2025 to 30-04-2025</t>
  </si>
  <si>
    <t>20052205306441:Int.Pd:01-05-2025 to 31-05-2025</t>
  </si>
  <si>
    <t>20052205306441:Int.Pd:01-06-2025 to 30-06-2025</t>
  </si>
  <si>
    <t>20052205306441:Int.Pd:01-07-2025 to 31-07-2025</t>
  </si>
  <si>
    <t>NEFT/STCB010825236957/Aayush Kumar Gupta</t>
  </si>
  <si>
    <t>STCB010825236957</t>
  </si>
  <si>
    <t>Tally Export Narration Sheet</t>
  </si>
  <si>
    <t>TX Date</t>
  </si>
  <si>
    <t>Narration</t>
  </si>
  <si>
    <t>Account Head</t>
  </si>
  <si>
    <t>Account No</t>
  </si>
  <si>
    <t>Kya Hai?</t>
  </si>
  <si>
    <t>Bank</t>
  </si>
  <si>
    <t>Duplicate</t>
  </si>
  <si>
    <t>HDFC Bank</t>
  </si>
  <si>
    <t>Kotak Mahindra Bank</t>
  </si>
  <si>
    <t>Axis Bank</t>
  </si>
  <si>
    <t>⚠ Possible Duplicate</t>
  </si>
  <si>
    <t>State Bank of India</t>
  </si>
  <si>
    <t>SBM Bank</t>
  </si>
  <si>
    <t>Aayush Kumar Gupta</t>
  </si>
  <si>
    <t>Account of Statements from 01-Apr-2025 to 01-Apr-2026</t>
  </si>
  <si>
    <t>All Banks</t>
  </si>
  <si>
    <t>Aayush Gupta Bank Summary</t>
  </si>
  <si>
    <t>01-Apr-2025 to 01-Apr-2026</t>
  </si>
  <si>
    <t>Total Credit (₹)</t>
  </si>
  <si>
    <t>Total Debit (₹)</t>
  </si>
  <si>
    <t>TOTAL</t>
  </si>
  <si>
    <t>Net</t>
  </si>
  <si>
    <t>Opening &amp; Closing Balances</t>
  </si>
  <si>
    <t>Account</t>
  </si>
  <si>
    <t>Opening Balance (₹)</t>
  </si>
  <si>
    <t>Closing Balance (₹)</t>
  </si>
  <si>
    <t>Confidence Distribution</t>
  </si>
  <si>
    <t>Band</t>
  </si>
  <si>
    <t>Count</t>
  </si>
  <si>
    <t>% of Total</t>
  </si>
  <si>
    <t>High (≥ 0.85) — Confident</t>
  </si>
  <si>
    <t>Medium (0.60–0.84) — Review</t>
  </si>
  <si>
    <t>Low (&lt; 0.60) — Needs attention</t>
  </si>
  <si>
    <t>Monthly Spend &amp; Income Pivot</t>
  </si>
  <si>
    <t>Bank Filter Toggles:</t>
  </si>
  <si>
    <t>PAYMENTS / DEBITS (Bank)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</si>
  <si>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</si>
  <si>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</si>
  <si>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</si>
  <si>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</si>
  <si>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</si>
  <si>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</si>
  <si>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</si>
  <si>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</si>
  <si>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</si>
  <si>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</si>
  <si>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</si>
  <si>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</si>
  <si>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</si>
  <si>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MONTHLY TOTAL</t>
  </si>
  <si>
    <t>RECEIPTS / CREDITS</t>
  </si>
  <si>
    <t>CC SPENDS (by transaction date)</t>
  </si>
  <si>
    <t>CC - Automotive</t>
  </si>
  <si>
    <t>CC - Entertainment</t>
  </si>
  <si>
    <t>CC - Fuel</t>
  </si>
  <si>
    <t>CC - Groceries</t>
  </si>
  <si>
    <t>CC - Healthcare</t>
  </si>
  <si>
    <t>CC - Other</t>
  </si>
  <si>
    <t>CC - Recreation</t>
  </si>
  <si>
    <t>CC - Restaurants</t>
  </si>
  <si>
    <t>CC - Services</t>
  </si>
  <si>
    <t>CC - Shopping</t>
  </si>
  <si>
    <t>CC - Telecom</t>
  </si>
  <si>
    <t>CC - Travel</t>
  </si>
  <si>
    <t>CC - Utilities</t>
  </si>
  <si>
    <t>CC - Wifi</t>
  </si>
  <si>
    <t>CC MONTHLY TOTAL</t>
  </si>
  <si>
    <t>Merchant</t>
  </si>
  <si>
    <t>CC Category</t>
  </si>
  <si>
    <t>Auto Narration</t>
  </si>
  <si>
    <t>DR (Rs.)</t>
  </si>
  <si>
    <t>CR (Rs.)</t>
  </si>
  <si>
    <t>Statement Period</t>
  </si>
  <si>
    <t>── Apr-2025 ──</t>
  </si>
  <si>
    <t>Yesvegetable</t>
  </si>
  <si>
    <t>DepartmentalStore</t>
  </si>
  <si>
    <t>Mar-2025 to Apr-2025</t>
  </si>
  <si>
    <t>Shivaramaks</t>
  </si>
  <si>
    <t>Restaurants</t>
  </si>
  <si>
    <t>Mrsmanjulab</t>
  </si>
  <si>
    <t>Grocery</t>
  </si>
  <si>
    <t>Familyfruits</t>
  </si>
  <si>
    <t>Bykemaniasol</t>
  </si>
  <si>
    <t>Recreation</t>
  </si>
  <si>
    <t>Automotive</t>
  </si>
  <si>
    <t>Themysoreca</t>
  </si>
  <si>
    <t>Shivaramu</t>
  </si>
  <si>
    <t>Ashokkumar</t>
  </si>
  <si>
    <t>OtherMerchants</t>
  </si>
  <si>
    <t>Oamindustrie</t>
  </si>
  <si>
    <t>Tsashoka</t>
  </si>
  <si>
    <t>Districtdini</t>
  </si>
  <si>
    <t>Mcd</t>
  </si>
  <si>
    <t>Gangakumary</t>
  </si>
  <si>
    <t>Rajeshkottar</t>
  </si>
  <si>
    <t>Vi</t>
  </si>
  <si>
    <t>Telecom</t>
  </si>
  <si>
    <t>Mrrameshpun</t>
  </si>
  <si>
    <t>Services</t>
  </si>
  <si>
    <t>Manishhemant</t>
  </si>
  <si>
    <t>Amolsantudh</t>
  </si>
  <si>
    <t>Kunaleaknath</t>
  </si>
  <si>
    <t>Shivbholaveg</t>
  </si>
  <si>
    <t>Omsuparshop</t>
  </si>
  <si>
    <t>Sandeepsomna</t>
  </si>
  <si>
    <t>Gangasagardh</t>
  </si>
  <si>
    <t>Apr-2025 to May-2025</t>
  </si>
  <si>
    <t>Mrasaramnar</t>
  </si>
  <si>
    <t>Krishnapalip</t>
  </si>
  <si>
    <t>Mrsjayshree</t>
  </si>
  <si>
    <t>Sajidnabiyar</t>
  </si>
  <si>
    <t>Hardware</t>
  </si>
  <si>
    <t>Maharashtrau</t>
  </si>
  <si>
    <t>── May-2025 ──</t>
  </si>
  <si>
    <t>Sheetalfood</t>
  </si>
  <si>
    <t>Celebrationc</t>
  </si>
  <si>
    <t>Gitesanjays</t>
  </si>
  <si>
    <t>Vishwanathni</t>
  </si>
  <si>
    <t>Medplusashok</t>
  </si>
  <si>
    <t>Medical</t>
  </si>
  <si>
    <t>Hldhatraka</t>
  </si>
  <si>
    <t>Fuel</t>
  </si>
  <si>
    <t>Sagarsweets</t>
  </si>
  <si>
    <t>Savitamanik</t>
  </si>
  <si>
    <t>Nandienterpr</t>
  </si>
  <si>
    <t>Akiranisons</t>
  </si>
  <si>
    <t>Sunitasainiwo</t>
  </si>
  <si>
    <t>Cafeamudham</t>
  </si>
  <si>
    <t>May-2025 to Jun-2025</t>
  </si>
  <si>
    <t>Aneer Khan</t>
  </si>
  <si>
    <t>Countrydeligh</t>
  </si>
  <si>
    <t>Bbnow</t>
  </si>
  <si>
    <t>Zomatoltd</t>
  </si>
  <si>
    <t>Zepto</t>
  </si>
  <si>
    <t>Cleartrippri</t>
  </si>
  <si>
    <t>TravelAgencies</t>
  </si>
  <si>
    <t>Railroads</t>
  </si>
  <si>
    <t>Gopalchandra</t>
  </si>
  <si>
    <t>Anushamfoods</t>
  </si>
  <si>
    <t>Vijayyadav</t>
  </si>
  <si>
    <t>Commercial</t>
  </si>
  <si>
    <t>Mrgollakoti</t>
  </si>
  <si>
    <t>Freshmart</t>
  </si>
  <si>
    <t>Avenuesuperm</t>
  </si>
  <si>
    <t>Chandrag</t>
  </si>
  <si>
    <t>── Jun-2025 ──</t>
  </si>
  <si>
    <t>Meharali</t>
  </si>
  <si>
    <t>Rkfarmfresh</t>
  </si>
  <si>
    <t>Mcdonalds</t>
  </si>
  <si>
    <t>Bhavanahome</t>
  </si>
  <si>
    <t>Itplpsqbike</t>
  </si>
  <si>
    <t>C108Kabeng</t>
  </si>
  <si>
    <t>Kvgayathri</t>
  </si>
  <si>
    <t>Nmahadeva</t>
  </si>
  <si>
    <t>R Gowri</t>
  </si>
  <si>
    <t>Mr Nagaraja</t>
  </si>
  <si>
    <t>Vidyarthibha</t>
  </si>
  <si>
    <t>Hpriya</t>
  </si>
  <si>
    <t>Burgerking</t>
  </si>
  <si>
    <t>Kkmallofas</t>
  </si>
  <si>
    <t>Luiseleo</t>
  </si>
  <si>
    <t>Zakariyana</t>
  </si>
  <si>
    <t>Rrcounter2</t>
  </si>
  <si>
    <t>Mrsarbia Ta</t>
  </si>
  <si>
    <t>Computer</t>
  </si>
  <si>
    <t>Sudarshan</t>
  </si>
  <si>
    <t>Mrmahammads</t>
  </si>
  <si>
    <t>Nandini</t>
  </si>
  <si>
    <t>Jun-2025 to Jul-2025</t>
  </si>
  <si>
    <t>Basheerka</t>
  </si>
  <si>
    <t>Bsukanya</t>
  </si>
  <si>
    <t>Mrsshanashe</t>
  </si>
  <si>
    <t>Gowrigajanan</t>
  </si>
  <si>
    <t>Dineshkumar</t>
  </si>
  <si>
    <t>DreamfolksServicesPri 356</t>
  </si>
  <si>
    <t>Kedarkumar</t>
  </si>
  <si>
    <t>TRAVELCLUBLOUNGE 356</t>
  </si>
  <si>
    <t>── Jul-2025 ──</t>
  </si>
  <si>
    <t>Vodafoneidea</t>
  </si>
  <si>
    <t>Vinaykumars</t>
  </si>
  <si>
    <t>Matsfuelpar</t>
  </si>
  <si>
    <t>Kapoorscafe</t>
  </si>
  <si>
    <t>Airtelpaymen</t>
  </si>
  <si>
    <t>Thecornerbar</t>
  </si>
  <si>
    <t>Premshankardu</t>
  </si>
  <si>
    <t>Milanoicecr</t>
  </si>
  <si>
    <t>Anilsonakar</t>
  </si>
  <si>
    <t>Abdulrahmani</t>
  </si>
  <si>
    <t>Mrshivarame</t>
  </si>
  <si>
    <t>Lchandrashek</t>
  </si>
  <si>
    <t>Apparels</t>
  </si>
  <si>
    <t>Mrpradeepra</t>
  </si>
  <si>
    <t>Richtrends</t>
  </si>
  <si>
    <t>Punjabichaap</t>
  </si>
  <si>
    <t>Ravikumargu</t>
  </si>
  <si>
    <t>Lookatme</t>
  </si>
  <si>
    <t>Antsrmenss</t>
  </si>
  <si>
    <t>Ammaiah</t>
  </si>
  <si>
    <t>Udupiupachar</t>
  </si>
  <si>
    <t>Rrangaswamy</t>
  </si>
  <si>
    <t>14824Apollo</t>
  </si>
  <si>
    <t>Jul-2025 to Aug-2025</t>
  </si>
  <si>
    <t>Dasappahc</t>
  </si>
  <si>
    <t>Husnainfoods</t>
  </si>
  <si>
    <t>Mrmahendra</t>
  </si>
  <si>
    <t>Avenuefoodp</t>
  </si>
  <si>
    <t>Syedsaleemf</t>
  </si>
  <si>
    <t>── Aug-2025 ──</t>
  </si>
  <si>
    <t>Tharthetast</t>
  </si>
  <si>
    <t>Sushmats</t>
  </si>
  <si>
    <t>Swiggy</t>
  </si>
  <si>
    <t>Annapoornahy</t>
  </si>
  <si>
    <t>Westsideaun</t>
  </si>
  <si>
    <t>Centrobengal</t>
  </si>
  <si>
    <t>Zomato</t>
  </si>
  <si>
    <t>Lassivenue</t>
  </si>
  <si>
    <t>Aug-2025 to Sep-2025</t>
  </si>
  <si>
    <t>Midasjuicep</t>
  </si>
  <si>
    <t>Chandankumar</t>
  </si>
  <si>
    <t>Muktharshen</t>
  </si>
  <si>
    <t>Mdtanvirala</t>
  </si>
  <si>
    <t>Ajeetsinghs</t>
  </si>
  <si>
    <t>Abenterprise</t>
  </si>
  <si>
    <t>Bangaloremet</t>
  </si>
  <si>
    <t>Nandhiniairp</t>
  </si>
  <si>
    <t>Madhusudhana</t>
  </si>
  <si>
    <t>Kasajayaprak</t>
  </si>
  <si>
    <t>Thallapakaan</t>
  </si>
  <si>
    <t>Hotelmanjuna</t>
  </si>
  <si>
    <t>Mrsdramanam</t>
  </si>
  <si>
    <t>Sayadbaanu</t>
  </si>
  <si>
    <t>Sigarambotla</t>
  </si>
  <si>
    <t>Narendarredd</t>
  </si>
  <si>
    <t>Ramdevfancy</t>
  </si>
  <si>
    <t>Mynofoods</t>
  </si>
  <si>
    <t>M2Zionsalon</t>
  </si>
  <si>
    <t>── Sep-2025 ──</t>
  </si>
  <si>
    <t>Jayammaflowe</t>
  </si>
  <si>
    <t>Sureshs</t>
  </si>
  <si>
    <t>Tacobellpho</t>
  </si>
  <si>
    <t>Ismdpl2Wpos</t>
  </si>
  <si>
    <t>Tvsrinivasa</t>
  </si>
  <si>
    <t>Poojabakery</t>
  </si>
  <si>
    <t>C107Kabeng</t>
  </si>
  <si>
    <t>Shiva M</t>
  </si>
  <si>
    <t>Therameshwar</t>
  </si>
  <si>
    <t>Adyarananda</t>
  </si>
  <si>
    <t>Brahmeshkuma</t>
  </si>
  <si>
    <t>Credpayzoomca</t>
  </si>
  <si>
    <t>Anandkl</t>
  </si>
  <si>
    <t>Ruchi_Mane_</t>
  </si>
  <si>
    <t>Airbnb</t>
  </si>
  <si>
    <t>Mysoremylari</t>
  </si>
  <si>
    <t>Umav</t>
  </si>
  <si>
    <t>Kodagumanan</t>
  </si>
  <si>
    <t>Vkshailaja</t>
  </si>
  <si>
    <t>Sabithakr</t>
  </si>
  <si>
    <t>DirectMarketing</t>
  </si>
  <si>
    <t>Hotelshrish</t>
  </si>
  <si>
    <t>Makemytripin</t>
  </si>
  <si>
    <t>Ibibogroupp</t>
  </si>
  <si>
    <t>Hoteludupig</t>
  </si>
  <si>
    <t>Swiggyltd</t>
  </si>
  <si>
    <t>Sunblessedc</t>
  </si>
  <si>
    <t>Nagaraju</t>
  </si>
  <si>
    <t>Vkfruits</t>
  </si>
  <si>
    <t>Mrskiranrav</t>
  </si>
  <si>
    <t>Magnoliacake</t>
  </si>
  <si>
    <t>Starbazaart</t>
  </si>
  <si>
    <t>Googleindia</t>
  </si>
  <si>
    <t>Sep-2025 to Oct-2025</t>
  </si>
  <si>
    <t>Sidvinenter</t>
  </si>
  <si>
    <t>Krsculinary</t>
  </si>
  <si>
    <t>AMAZON 356</t>
  </si>
  <si>
    <t>Realfreshdo</t>
  </si>
  <si>
    <t>Timezoneente</t>
  </si>
  <si>
    <t>Arunr</t>
  </si>
  <si>
    <t>Foodtrack</t>
  </si>
  <si>
    <t>Sanjayshrikr</t>
  </si>
  <si>
    <t>── Oct-2025 ──</t>
  </si>
  <si>
    <t>Vaibhavbhagu</t>
  </si>
  <si>
    <t>Niteshdasva</t>
  </si>
  <si>
    <t>Gopalkumars</t>
  </si>
  <si>
    <t>Gorakhramesh</t>
  </si>
  <si>
    <t>SwiggyFood 356</t>
  </si>
  <si>
    <t>Dhanavisheal</t>
  </si>
  <si>
    <t>Dairydon</t>
  </si>
  <si>
    <t>Govinddande</t>
  </si>
  <si>
    <t>Jewelry</t>
  </si>
  <si>
    <t>Shribalajif</t>
  </si>
  <si>
    <t>Mrkaranravi</t>
  </si>
  <si>
    <t>Krushnasunilb</t>
  </si>
  <si>
    <t>Ashishkumar</t>
  </si>
  <si>
    <t>Masterevent</t>
  </si>
  <si>
    <t>Dhanashreeen</t>
  </si>
  <si>
    <t>Kamaleshsukd</t>
  </si>
  <si>
    <t>Stationery</t>
  </si>
  <si>
    <t>Yashashokdu</t>
  </si>
  <si>
    <t>ConsumerDurable</t>
  </si>
  <si>
    <t>Krishnasagar</t>
  </si>
  <si>
    <t>Oct-2025 to Nov-2025</t>
  </si>
  <si>
    <t>Pizzaburst</t>
  </si>
  <si>
    <t>Piyushgayapr</t>
  </si>
  <si>
    <t>Shauqatmusta</t>
  </si>
  <si>
    <t>Reenadilipku</t>
  </si>
  <si>
    <t>Mr Mohamadg</t>
  </si>
  <si>
    <t>── Nov-2025 ──</t>
  </si>
  <si>
    <t>Anitapal</t>
  </si>
  <si>
    <t>Zeptonow</t>
  </si>
  <si>
    <t>Nandinimilk</t>
  </si>
  <si>
    <t>Bsthanujku</t>
  </si>
  <si>
    <t>Medplusbeml</t>
  </si>
  <si>
    <t>Syed Zaid</t>
  </si>
  <si>
    <t>Mrprakash</t>
  </si>
  <si>
    <t>Agodacompany</t>
  </si>
  <si>
    <t>Dilshad Dils</t>
  </si>
  <si>
    <t>Narendrayada</t>
  </si>
  <si>
    <t>Gautamrestau</t>
  </si>
  <si>
    <t>Tuljaichines</t>
  </si>
  <si>
    <t>Credpayabhibu</t>
  </si>
  <si>
    <t>Nov-2025 to Dec-2025</t>
  </si>
  <si>
    <t>Shreeshreem</t>
  </si>
  <si>
    <t>Famousparath</t>
  </si>
  <si>
    <t>Jitendradhing</t>
  </si>
  <si>
    <t>Shankarmasal</t>
  </si>
  <si>
    <t>Shankarmadra</t>
  </si>
  <si>
    <t>Rahilkhan</t>
  </si>
  <si>
    <t>Manibhadrat</t>
  </si>
  <si>
    <t>Pushpendrakh</t>
  </si>
  <si>
    <t>Mrmanishkum</t>
  </si>
  <si>
    <t>Ssargunam</t>
  </si>
  <si>
    <t>Hotels</t>
  </si>
  <si>
    <t>── Dec-2025 ──</t>
  </si>
  <si>
    <t>Goibibo</t>
  </si>
  <si>
    <t>02 Manohard</t>
  </si>
  <si>
    <t>Pandawprasad</t>
  </si>
  <si>
    <t>Greenchoice</t>
  </si>
  <si>
    <t>Ravishkumar</t>
  </si>
  <si>
    <t>Apollopharma</t>
  </si>
  <si>
    <t>Mraarif</t>
  </si>
  <si>
    <t>Kapoorschaat</t>
  </si>
  <si>
    <t>Chandrappakr</t>
  </si>
  <si>
    <t>Mohans</t>
  </si>
  <si>
    <t>Midasdailys</t>
  </si>
  <si>
    <t>Makemytrip</t>
  </si>
  <si>
    <t>Dmartavenue</t>
  </si>
  <si>
    <t>Makemytripco</t>
  </si>
  <si>
    <t>Dec-2025 to Jan-2026</t>
  </si>
  <si>
    <t>Dmart</t>
  </si>
  <si>
    <t>Ranishotel</t>
  </si>
  <si>
    <t>Abdulazees</t>
  </si>
  <si>
    <t>Valarmathig</t>
  </si>
  <si>
    <t>Mandolimedic</t>
  </si>
  <si>
    <t>Phsadique</t>
  </si>
  <si>
    <t>Shaheer</t>
  </si>
  <si>
    <t>Ashokabakers</t>
  </si>
  <si>
    <t>Mrfebin Pa</t>
  </si>
  <si>
    <t>Avetikyanhot</t>
  </si>
  <si>
    <t>Airindiabil</t>
  </si>
  <si>
    <t>Airline</t>
  </si>
  <si>
    <t>Keerikkadanc</t>
  </si>
  <si>
    <t>── Jan-2026 ──</t>
  </si>
  <si>
    <t>Pearltrifood</t>
  </si>
  <si>
    <t>Jan-2026 to Feb-2026</t>
  </si>
  <si>
    <t>Kpnfarmfres</t>
  </si>
  <si>
    <t>Dayanandsata</t>
  </si>
  <si>
    <t>Sonujuicece</t>
  </si>
  <si>
    <t>Mohammedali</t>
  </si>
  <si>
    <t>Sukhsagar</t>
  </si>
  <si>
    <t>Sshankari</t>
  </si>
  <si>
    <t>Mallikarjunai</t>
  </si>
  <si>
    <t>Ashutosh Sin</t>
  </si>
  <si>
    <t>Salmankhan</t>
  </si>
  <si>
    <t>Mrsheena Ko</t>
  </si>
  <si>
    <t>Sukheshpc</t>
  </si>
  <si>
    <t>Zeptomarketp</t>
  </si>
  <si>
    <t>Sureshraov</t>
  </si>
  <si>
    <t>Mrupendraj</t>
  </si>
  <si>
    <t>Komaldevi</t>
  </si>
  <si>
    <t>Thehabfamil</t>
  </si>
  <si>
    <t>Roshanfruits</t>
  </si>
  <si>
    <t>── Feb-2026 ──</t>
  </si>
  <si>
    <t>Manjunatha P</t>
  </si>
  <si>
    <t>Aravindavi</t>
  </si>
  <si>
    <t>Vegetablesho</t>
  </si>
  <si>
    <t>Kmohan</t>
  </si>
  <si>
    <t>Chetanjayram</t>
  </si>
  <si>
    <t>Mohansingh</t>
  </si>
  <si>
    <t>Kvprasanna</t>
  </si>
  <si>
    <t>Kswetha</t>
  </si>
  <si>
    <t>Zakeer</t>
  </si>
  <si>
    <t>Mrarbazpash</t>
  </si>
  <si>
    <t>Venkateshcol</t>
  </si>
  <si>
    <t>Vasavicondim</t>
  </si>
  <si>
    <t>Nagarathnah</t>
  </si>
  <si>
    <t>Jayanthi</t>
  </si>
  <si>
    <t>Sharathkumar</t>
  </si>
  <si>
    <t>Vijaypansho</t>
  </si>
  <si>
    <t>Mrsramya</t>
  </si>
  <si>
    <t>Krishnaprata</t>
  </si>
  <si>
    <t>Smartbangalo</t>
  </si>
  <si>
    <t>Bigguyswings</t>
  </si>
  <si>
    <t>Familychoice</t>
  </si>
  <si>
    <t>Mrshankar N</t>
  </si>
  <si>
    <t>Ljiyengarsc</t>
  </si>
  <si>
    <t>Pfno89Nort</t>
  </si>
  <si>
    <t>Sarcoenterpr</t>
  </si>
  <si>
    <t>Kpprabhat</t>
  </si>
  <si>
    <t>Maheshsahu</t>
  </si>
  <si>
    <t>Mrrajesh Bh</t>
  </si>
  <si>
    <t>Feb-2026 to Mar-2026</t>
  </si>
  <si>
    <t>Mrgajendrau</t>
  </si>
  <si>
    <t>Sajeevanvp</t>
  </si>
  <si>
    <t>Peoplesmart</t>
  </si>
  <si>
    <t>Mrsmanjula</t>
  </si>
  <si>
    <t>Vidyalakshmi</t>
  </si>
  <si>
    <t>Annashakthi</t>
  </si>
  <si>
    <t>Smdharani</t>
  </si>
  <si>
    <t>Ajayn</t>
  </si>
  <si>
    <t>Amansingh</t>
  </si>
  <si>
    <t>── Mar-2026 ──</t>
  </si>
  <si>
    <t>Eternallimit</t>
  </si>
  <si>
    <t>Meeraakshaya</t>
  </si>
  <si>
    <t>Shamashersin</t>
  </si>
  <si>
    <t>Ashwinis</t>
  </si>
  <si>
    <t>Subramanir</t>
  </si>
  <si>
    <t>Zomatolimite</t>
  </si>
  <si>
    <t>Eatclub</t>
  </si>
  <si>
    <t>Ramya</t>
  </si>
  <si>
    <t>Vishwaricet</t>
  </si>
  <si>
    <t>Zomatofood</t>
  </si>
  <si>
    <t>Cred</t>
  </si>
  <si>
    <t>Bvamaresha</t>
  </si>
  <si>
    <t>Swiggylimite</t>
  </si>
  <si>
    <t>Mrmanjunath</t>
  </si>
  <si>
    <t>Mrsureshlal</t>
  </si>
  <si>
    <t>--- CATEGORY TOTALS ---</t>
  </si>
  <si>
    <t>GRAND TOTAL</t>
  </si>
  <si>
    <t>Workbook Colour Legend</t>
  </si>
  <si>
    <t>INCOME &amp; INFLOWS</t>
  </si>
  <si>
    <t>Colour Code</t>
  </si>
  <si>
    <t>Description</t>
  </si>
  <si>
    <t>Sample Fill</t>
  </si>
  <si>
    <t>Salary Credit (Mphasis)</t>
  </si>
  <si>
    <t>Interest earned on Savings accounts</t>
  </si>
  <si>
    <t>Dividend payout from shares</t>
  </si>
  <si>
    <t>Annuity credits (HDFC Life)</t>
  </si>
  <si>
    <t>Income Tax Refund from Department</t>
  </si>
  <si>
    <t>Inflows from selling Mutual Funds</t>
  </si>
  <si>
    <t>Upwork Income</t>
  </si>
  <si>
    <t>Inward remittances from Upwork freelancing</t>
  </si>
  <si>
    <t>Cash Deposit</t>
  </si>
  <si>
    <t>Cash deposits made at CDM / Branch</t>
  </si>
  <si>
    <t>Freelance work escrow payouts</t>
  </si>
  <si>
    <t>Cashback rewards earned on BHIM app</t>
  </si>
  <si>
    <t>Cashback rewards earned on Kiwi app</t>
  </si>
  <si>
    <t>INVESTMENTS</t>
  </si>
  <si>
    <t>Refund from Wakefit for online shopping</t>
  </si>
  <si>
    <t>Monthly Mutual Fund SIP payments</t>
  </si>
  <si>
    <t>Lumpsum Mutual Fund investments</t>
  </si>
  <si>
    <t>Auto Sweep FD</t>
  </si>
  <si>
    <t>Sweep in/out between Savings and FD</t>
  </si>
  <si>
    <t>CDSL credits / payouts</t>
  </si>
  <si>
    <t>Payments/payouts associated with Zerodha</t>
  </si>
  <si>
    <t>REGULAR OUTFLOWS &amp; INSURANCE</t>
  </si>
  <si>
    <t>Settlement transfers to HDFC Securities</t>
  </si>
  <si>
    <t>Rent payments to landlord</t>
  </si>
  <si>
    <t>Life / general insurance premium payments</t>
  </si>
  <si>
    <t>Health insurance premium payments</t>
  </si>
  <si>
    <t>Security deposit paid for rental home</t>
  </si>
  <si>
    <t>TAXES &amp; BANK CHARGES</t>
  </si>
  <si>
    <t>Refund/return of security deposit</t>
  </si>
  <si>
    <t>Advance Tax</t>
  </si>
  <si>
    <t>Advance tax payments</t>
  </si>
  <si>
    <t>Income tax payments to CBDT</t>
  </si>
  <si>
    <t>SMS charges, minimum balance fees, alert fees</t>
  </si>
  <si>
    <t>FAMILY TRANSFERS</t>
  </si>
  <si>
    <t>CDSL / DP charges</t>
  </si>
  <si>
    <t>Transfers to/from Sunita Gupta</t>
  </si>
  <si>
    <t>Transfers to/from Ajay Gupta</t>
  </si>
  <si>
    <t>Transfers to/from Archit Gupta</t>
  </si>
  <si>
    <t>SELF TRANSFERS (CONTRA)</t>
  </si>
  <si>
    <t>Transfers to/from Megha Gupta</t>
  </si>
  <si>
    <t>Self-transfer to/from State Bank of India</t>
  </si>
  <si>
    <t>Self-transfer to/from Kotak Mahindra Bank</t>
  </si>
  <si>
    <t>Contra - Jupiter</t>
  </si>
  <si>
    <t>Self-transfer to/from Jupiter account</t>
  </si>
  <si>
    <t>Self-transfer to/from HDFC Bank</t>
  </si>
  <si>
    <t>Self-transfer to/from Axis Bank</t>
  </si>
  <si>
    <t>Self-transfer to/from SBM Bank</t>
  </si>
  <si>
    <t>Self-transfer between own accounts</t>
  </si>
  <si>
    <t>UPI SPEND CATEGORIES</t>
  </si>
  <si>
    <t>Self-transfer via SuperMoney VPA</t>
  </si>
  <si>
    <t>Food ordering via Zomato</t>
  </si>
  <si>
    <t>Food / Instamart ordering via Swiggy</t>
  </si>
  <si>
    <t>UPI - BigBasket</t>
  </si>
  <si>
    <t>Grocery shopping via BigBasket / Zepto / Blinkit</t>
  </si>
  <si>
    <t>Online shopping via Amazon / Flipkart / Ajio</t>
  </si>
  <si>
    <t>UPI - Ola</t>
  </si>
  <si>
    <t>Cab / auto booking via Ola / Uber / BluSmart</t>
  </si>
  <si>
    <t>UPI - Netflix</t>
  </si>
  <si>
    <t>Subscriptions like Netflix, Spotify, Prime Video</t>
  </si>
  <si>
    <t>Payments made through CRED, PhonePe, Paytm</t>
  </si>
  <si>
    <t>UPI - Apollo</t>
  </si>
  <si>
    <t>Medical expenses via Apollo / MedPlus / Wellness</t>
  </si>
  <si>
    <t>Train / flight bookings via IRCTC or IndiGo</t>
  </si>
  <si>
    <t>GENERIC FALLBACKS &amp; SUSPENSE</t>
  </si>
  <si>
    <t>Fuel purchases at HPCL / BPCL / IOCL pumps</t>
  </si>
  <si>
    <t>Generic outbound UPI transfers to individuals</t>
  </si>
  <si>
    <t>Generic inbound UPI transfers from individuals</t>
  </si>
  <si>
    <t>What is this?</t>
  </si>
  <si>
    <t>Suspense items requiring review (Suspense)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</si>
</sst>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%"/>
    <numFmt numFmtId="166" formatCode="dd\-mmm\-yyyy"/>
  </numFmts>
  <fonts count="16" x14ac:knownFonts="1">
    <font>
      <sz val="11"/>
      <color theme="1"/>
      <name val="Calibri"/>
      <family val="2"/>
      <scheme val="minor"/>
    </font>
    <font>
      <b/>
      <sz val="12"/>
      <color rgb="FF1A1A2E"/>
      <name val="Calibri"/>
    </font>
    <font>
      <b/>
      <sz val="10"/>
      <color rgb="FF1F3A60"/>
      <name val="Calibri"/>
    </font>
    <font>
      <b/>
      <sz val="9"/>
      <name val="Calibri"/>
    </font>
    <font>
      <b/>
      <sz val="10"/>
      <color rgb="FFFFFFFF"/>
      <name val="Calibri"/>
    </font>
    <font>
      <b/>
      <sz val="11"/>
      <color rgb="FF8B0000"/>
      <name val="Calibri"/>
    </font>
    <font>
      <b/>
      <sz val="12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B4F72"/>
      <name val="Calibri"/>
    </font>
    <font>
      <b/>
      <i/>
      <sz val="11"/>
      <color rgb="FF555555"/>
      <name val="Calibri"/>
    </font>
    <font>
      <b/>
      <sz val="14"/>
      <color rgb="FF1A1A2E"/>
      <name val="Calibri"/>
    </font>
    <font>
      <b/>
      <sz val="11"/>
      <color rgb="FF1F3A60"/>
      <name val="Calibri"/>
    </font>
    <font>
      <sz val="9"/>
      <color rgb="FF000000"/>
      <name val="Calibri"/>
    </font>
  </fonts>
  <fills count="73">
    <fill>
      <patternFill patternType="none"/>
    </fill>
    <fill>
      <patternFill patternType="gray125"/>
    </fill>
    <fill>
      <patternFill patternType="solid">
        <fgColor rgb="FFD0ECF8"/>
      </patternFill>
    </fill>
    <fill>
      <patternFill patternType="solid">
        <fgColor rgb="FFFFF0B3"/>
      </patternFill>
    </fill>
    <fill>
      <patternFill patternType="solid">
        <fgColor rgb="FFFFE8CC"/>
      </patternFill>
    </fill>
    <fill>
      <patternFill patternType="solid">
        <fgColor rgb="FFD4EDDA"/>
      </patternFill>
    </fill>
    <fill>
      <patternFill patternType="solid">
        <fgColor rgb="FFE8D5F5"/>
      </patternFill>
    </fill>
    <fill>
      <patternFill patternType="solid">
        <fgColor rgb="FFF8D7DA"/>
      </patternFill>
    </fill>
    <fill>
      <patternFill patternType="solid">
        <fgColor rgb="FFF5D5E8"/>
      </patternFill>
    </fill>
    <fill>
      <patternFill patternType="solid">
        <fgColor rgb="FFD6F5D6"/>
      </patternFill>
    </fill>
    <fill>
      <patternFill patternType="solid">
        <fgColor rgb="FFD5F5CC"/>
      </patternFill>
    </fill>
    <fill>
      <patternFill patternType="solid">
        <fgColor rgb="FFCCFFE0"/>
      </patternFill>
    </fill>
    <fill>
      <patternFill patternType="solid">
        <fgColor rgb="FFE8F0D5"/>
      </patternFill>
    </fill>
    <fill>
      <patternFill patternType="solid">
        <fgColor rgb="FFD5E8F5"/>
      </patternFill>
    </fill>
    <fill>
      <patternFill patternType="solid">
        <fgColor rgb="FFC4EBF0"/>
      </patternFill>
    </fill>
    <fill>
      <patternFill patternType="solid">
        <fgColor rgb="FFF5EDD5"/>
      </patternFill>
    </fill>
    <fill>
      <patternFill patternType="solid">
        <fgColor rgb="FFE8E8E8"/>
      </patternFill>
    </fill>
    <fill>
      <patternFill patternType="solid">
        <fgColor rgb="FFC8F5C8"/>
      </patternFill>
    </fill>
    <fill>
      <patternFill patternType="solid">
        <fgColor rgb="FFF5C6CB"/>
      </patternFill>
    </fill>
    <fill>
      <patternFill patternType="solid">
        <fgColor rgb="FFC8DCF5"/>
      </patternFill>
    </fill>
    <fill>
      <patternFill patternType="solid">
        <fgColor rgb="FF1A1A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B8F0C4"/>
      </patternFill>
    </fill>
    <fill>
      <patternFill patternType="solid">
        <fgColor rgb="FFCCF5FF"/>
      </patternFill>
    </fill>
    <fill>
      <patternFill patternType="solid">
        <fgColor rgb="FFFFF3CD"/>
      </patternFill>
    </fill>
    <fill>
      <patternFill patternType="solid">
        <fgColor rgb="FFEDE9F6"/>
      </patternFill>
    </fill>
    <fill>
      <patternFill patternType="solid">
        <fgColor rgb="FFE8CCFF"/>
      </patternFill>
    </fill>
    <fill>
      <patternFill patternType="solid">
        <fgColor rgb="FFF0D5F5"/>
      </patternFill>
    </fill>
    <fill>
      <patternFill patternType="solid">
        <fgColor rgb="FFFDDCB5"/>
      </patternFill>
    </fill>
    <fill>
      <patternFill patternType="solid">
        <fgColor rgb="FFFFE5B4"/>
      </patternFill>
    </fill>
    <fill>
      <patternFill patternType="solid">
        <fgColor rgb="FFCCFFD5"/>
      </patternFill>
    </fill>
    <fill>
      <patternFill patternType="solid">
        <fgColor rgb="FFCCE8FF"/>
      </patternFill>
    </fill>
    <fill>
      <patternFill patternType="solid">
        <fgColor rgb="FFFFD5CC"/>
      </patternFill>
    </fill>
    <fill>
      <patternFill patternType="solid">
        <fgColor rgb="FFF5D0F5"/>
      </patternFill>
    </fill>
    <fill>
      <patternFill patternType="solid">
        <fgColor rgb="FFF5E6CC"/>
      </patternFill>
    </fill>
    <fill>
      <patternFill patternType="solid">
        <fgColor rgb="FFD5F0E8"/>
      </patternFill>
    </fill>
    <fill>
      <patternFill patternType="solid">
        <fgColor rgb="FFCCF5E5"/>
      </patternFill>
    </fill>
    <fill>
      <patternFill patternType="solid">
        <fgColor rgb="FFCCECFF"/>
      </patternFill>
    </fill>
    <fill>
      <patternFill patternType="solid">
        <fgColor rgb="FFF5CCFF"/>
      </patternFill>
    </fill>
    <fill>
      <patternFill patternType="solid">
        <fgColor rgb="FFCCE5FF"/>
      </patternFill>
    </fill>
    <fill>
      <patternFill patternType="solid">
        <fgColor rgb="FFD0F5E8"/>
      </patternFill>
    </fill>
    <fill>
      <patternFill patternType="solid">
        <fgColor rgb="FFCCFFEE"/>
      </patternFill>
    </fill>
    <fill>
      <patternFill patternType="solid">
        <fgColor rgb="FFFFE5CC"/>
      </patternFill>
    </fill>
    <fill>
      <patternFill patternType="solid">
        <fgColor rgb="FFD5F5E5"/>
      </patternFill>
    </fill>
    <fill>
      <patternFill patternType="solid">
        <fgColor rgb="FFD0F5C8"/>
      </patternFill>
    </fill>
    <fill>
      <patternFill patternType="solid">
        <fgColor rgb="FFFFE0B2"/>
      </patternFill>
    </fill>
    <fill>
      <patternFill patternType="solid">
        <fgColor rgb="FFE8F5CC"/>
      </patternFill>
    </fill>
    <fill>
      <patternFill patternType="solid">
        <fgColor rgb="FFCCE0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D0F0E8"/>
      </patternFill>
    </fill>
    <fill>
      <patternFill patternType="solid">
        <fgColor rgb="FFFFF5EE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1A5276"/>
      </patternFill>
    </fill>
    <fill>
      <patternFill patternType="solid">
        <fgColor rgb="FF6C3483"/>
      </patternFill>
    </fill>
    <fill>
      <patternFill patternType="solid">
        <fgColor rgb="FFFFE8B3"/>
      </patternFill>
    </fill>
    <fill>
      <patternFill patternType="solid">
        <fgColor rgb="FFF5F5DC"/>
      </patternFill>
    </fill>
    <fill>
      <patternFill patternType="solid">
        <fgColor rgb="FFEDD5F5"/>
      </patternFill>
    </fill>
    <fill>
      <patternFill patternType="solid">
        <fgColor rgb="FFD0E8FF"/>
      </patternFill>
    </fill>
    <fill>
      <patternFill patternType="solid">
        <fgColor rgb="FF5B2C6F"/>
      </patternFill>
    </fill>
    <fill>
      <patternFill patternType="solid">
        <fgColor rgb="FFF0F0F0"/>
      </patternFill>
    </fill>
    <fill>
      <patternFill patternType="solid">
        <fgColor rgb="FFF0D9C8"/>
      </patternFill>
    </fill>
    <fill>
      <patternFill patternType="solid">
        <fgColor rgb="FFCCF0FF"/>
      </patternFill>
    </fill>
    <fill>
      <patternFill patternType="solid">
        <fgColor rgb="FFFFCCCC"/>
      </patternFill>
    </fill>
    <fill>
      <patternFill patternType="solid">
        <fgColor rgb="FFD5FFE8"/>
      </patternFill>
    </fill>
    <fill>
      <patternFill patternType="solid">
        <fgColor rgb="FFFFE4C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 vertical="center" wrapText="1"/>
    </xf>
    <xf numFmtId="16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4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64" fontId="0" fillId="9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22" borderId="1" xfId="0" applyFill="1" applyBorder="1" applyAlignment="1">
      <alignment vertical="center"/>
    </xf>
    <xf numFmtId="0" fontId="0" fillId="23" borderId="1" xfId="0" applyFill="1" applyBorder="1" applyAlignment="1">
      <alignment vertical="center"/>
    </xf>
    <xf numFmtId="164" fontId="0" fillId="10" borderId="1" xfId="0" applyNumberForma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164" fontId="0" fillId="11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64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164" fontId="0" fillId="13" borderId="1" xfId="0" applyNumberForma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164" fontId="0" fillId="14" borderId="1" xfId="0" applyNumberForma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164" fontId="0" fillId="15" borderId="1" xfId="0" applyNumberFormat="1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164" fontId="0" fillId="16" borderId="1" xfId="0" applyNumberForma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164" fontId="0" fillId="17" borderId="1" xfId="0" applyNumberForma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164" fontId="0" fillId="18" borderId="1" xfId="0" applyNumberFormat="1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164" fontId="0" fillId="19" borderId="1" xfId="0" applyNumberFormat="1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164" fontId="0" fillId="24" borderId="1" xfId="0" applyNumberFormat="1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vertical="center"/>
    </xf>
    <xf numFmtId="164" fontId="0" fillId="25" borderId="1" xfId="0" applyNumberFormat="1" applyFill="1" applyBorder="1" applyAlignment="1">
      <alignment vertical="center"/>
    </xf>
    <xf numFmtId="0" fontId="0" fillId="25" borderId="1" xfId="0" applyFill="1" applyBorder="1" applyAlignment="1">
      <alignment vertical="center"/>
    </xf>
    <xf numFmtId="164" fontId="0" fillId="26" borderId="1" xfId="0" applyNumberFormat="1" applyFill="1" applyBorder="1" applyAlignment="1">
      <alignment vertical="center"/>
    </xf>
    <xf numFmtId="0" fontId="0" fillId="26" borderId="1" xfId="0" applyFill="1" applyBorder="1" applyAlignment="1">
      <alignment vertical="center"/>
    </xf>
    <xf numFmtId="164" fontId="5" fillId="26" borderId="1" xfId="0" applyNumberFormat="1" applyFont="1" applyFill="1" applyBorder="1" applyAlignment="1">
      <alignment vertical="center"/>
    </xf>
    <xf numFmtId="0" fontId="5" fillId="26" borderId="1" xfId="0" applyFont="1" applyFill="1" applyBorder="1" applyAlignment="1">
      <alignment vertical="center"/>
    </xf>
    <xf numFmtId="164" fontId="0" fillId="27" borderId="1" xfId="0" applyNumberFormat="1" applyFill="1" applyBorder="1" applyAlignment="1">
      <alignment vertical="center"/>
    </xf>
    <xf numFmtId="0" fontId="0" fillId="27" borderId="1" xfId="0" applyFill="1" applyBorder="1" applyAlignment="1">
      <alignment vertical="center"/>
    </xf>
    <xf numFmtId="164" fontId="5" fillId="28" borderId="1" xfId="0" applyNumberFormat="1" applyFont="1" applyFill="1" applyBorder="1" applyAlignment="1">
      <alignment vertical="center"/>
    </xf>
    <xf numFmtId="0" fontId="5" fillId="28" borderId="1" xfId="0" applyFont="1" applyFill="1" applyBorder="1" applyAlignment="1">
      <alignment vertical="center"/>
    </xf>
    <xf numFmtId="164" fontId="5" fillId="29" borderId="1" xfId="0" applyNumberFormat="1" applyFont="1" applyFill="1" applyBorder="1" applyAlignment="1">
      <alignment vertical="center"/>
    </xf>
    <xf numFmtId="0" fontId="5" fillId="29" borderId="1" xfId="0" applyFont="1" applyFill="1" applyBorder="1" applyAlignment="1">
      <alignment vertical="center"/>
    </xf>
    <xf numFmtId="164" fontId="0" fillId="30" borderId="1" xfId="0" applyNumberFormat="1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164" fontId="0" fillId="29" borderId="1" xfId="0" applyNumberForma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164" fontId="0" fillId="31" borderId="1" xfId="0" applyNumberFormat="1" applyFill="1" applyBorder="1" applyAlignment="1">
      <alignment vertical="center"/>
    </xf>
    <xf numFmtId="0" fontId="0" fillId="31" borderId="1" xfId="0" applyFill="1" applyBorder="1" applyAlignment="1">
      <alignment vertical="center"/>
    </xf>
    <xf numFmtId="164" fontId="0" fillId="28" borderId="1" xfId="0" applyNumberFormat="1" applyFill="1" applyBorder="1" applyAlignment="1">
      <alignment vertical="center"/>
    </xf>
    <xf numFmtId="0" fontId="0" fillId="28" borderId="1" xfId="0" applyFill="1" applyBorder="1" applyAlignment="1">
      <alignment vertical="center"/>
    </xf>
    <xf numFmtId="164" fontId="0" fillId="32" borderId="1" xfId="0" applyNumberFormat="1" applyFill="1" applyBorder="1" applyAlignment="1">
      <alignment vertical="center"/>
    </xf>
    <xf numFmtId="0" fontId="0" fillId="32" borderId="1" xfId="0" applyFill="1" applyBorder="1" applyAlignment="1">
      <alignment vertical="center"/>
    </xf>
    <xf numFmtId="164" fontId="0" fillId="33" borderId="1" xfId="0" applyNumberFormat="1" applyFill="1" applyBorder="1" applyAlignment="1">
      <alignment vertical="center"/>
    </xf>
    <xf numFmtId="0" fontId="0" fillId="33" borderId="1" xfId="0" applyFill="1" applyBorder="1" applyAlignment="1">
      <alignment vertical="center"/>
    </xf>
    <xf numFmtId="164" fontId="0" fillId="34" borderId="1" xfId="0" applyNumberFormat="1" applyFill="1" applyBorder="1" applyAlignment="1">
      <alignment vertical="center"/>
    </xf>
    <xf numFmtId="0" fontId="0" fillId="34" borderId="1" xfId="0" applyFill="1" applyBorder="1" applyAlignment="1">
      <alignment vertical="center"/>
    </xf>
    <xf numFmtId="164" fontId="0" fillId="35" borderId="1" xfId="0" applyNumberFormat="1" applyFill="1" applyBorder="1" applyAlignment="1">
      <alignment vertical="center"/>
    </xf>
    <xf numFmtId="0" fontId="0" fillId="35" borderId="1" xfId="0" applyFill="1" applyBorder="1" applyAlignment="1">
      <alignment vertical="center"/>
    </xf>
    <xf numFmtId="164" fontId="0" fillId="36" borderId="1" xfId="0" applyNumberFormat="1" applyFill="1" applyBorder="1" applyAlignment="1">
      <alignment vertical="center"/>
    </xf>
    <xf numFmtId="0" fontId="0" fillId="36" borderId="1" xfId="0" applyFill="1" applyBorder="1" applyAlignment="1">
      <alignment vertical="center"/>
    </xf>
    <xf numFmtId="164" fontId="0" fillId="37" borderId="1" xfId="0" applyNumberFormat="1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164" fontId="0" fillId="38" borderId="1" xfId="0" applyNumberFormat="1" applyFill="1" applyBorder="1" applyAlignment="1">
      <alignment vertical="center"/>
    </xf>
    <xf numFmtId="0" fontId="0" fillId="38" borderId="1" xfId="0" applyFill="1" applyBorder="1" applyAlignment="1">
      <alignment vertical="center"/>
    </xf>
    <xf numFmtId="164" fontId="0" fillId="39" borderId="1" xfId="0" applyNumberFormat="1" applyFill="1" applyBorder="1" applyAlignment="1">
      <alignment vertical="center"/>
    </xf>
    <xf numFmtId="0" fontId="0" fillId="39" borderId="1" xfId="0" applyFill="1" applyBorder="1" applyAlignment="1">
      <alignment vertical="center"/>
    </xf>
    <xf numFmtId="164" fontId="0" fillId="40" borderId="1" xfId="0" applyNumberFormat="1" applyFill="1" applyBorder="1" applyAlignment="1">
      <alignment vertical="center"/>
    </xf>
    <xf numFmtId="0" fontId="0" fillId="40" borderId="1" xfId="0" applyFill="1" applyBorder="1" applyAlignment="1">
      <alignment vertical="center"/>
    </xf>
    <xf numFmtId="0" fontId="3" fillId="41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164" fontId="0" fillId="41" borderId="1" xfId="0" applyNumberFormat="1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164" fontId="0" fillId="42" borderId="1" xfId="0" applyNumberFormat="1" applyFill="1" applyBorder="1" applyAlignment="1">
      <alignment vertical="center"/>
    </xf>
    <xf numFmtId="0" fontId="0" fillId="42" borderId="1" xfId="0" applyFill="1" applyBorder="1" applyAlignment="1">
      <alignment vertical="center"/>
    </xf>
    <xf numFmtId="164" fontId="0" fillId="50" borderId="1" xfId="0" applyNumberFormat="1" applyFill="1" applyBorder="1" applyAlignment="1">
      <alignment vertical="center"/>
    </xf>
    <xf numFmtId="0" fontId="0" fillId="50" borderId="1" xfId="0" applyFill="1" applyBorder="1" applyAlignment="1">
      <alignment vertical="center"/>
    </xf>
    <xf numFmtId="164" fontId="0" fillId="43" borderId="1" xfId="0" applyNumberFormat="1" applyFill="1" applyBorder="1" applyAlignment="1">
      <alignment vertical="center"/>
    </xf>
    <xf numFmtId="0" fontId="0" fillId="43" borderId="1" xfId="0" applyFill="1" applyBorder="1" applyAlignment="1">
      <alignment vertical="center"/>
    </xf>
    <xf numFmtId="164" fontId="0" fillId="44" borderId="1" xfId="0" applyNumberFormat="1" applyFill="1" applyBorder="1" applyAlignment="1">
      <alignment vertical="center"/>
    </xf>
    <xf numFmtId="0" fontId="0" fillId="44" borderId="1" xfId="0" applyFill="1" applyBorder="1" applyAlignment="1">
      <alignment vertical="center"/>
    </xf>
    <xf numFmtId="164" fontId="0" fillId="45" borderId="1" xfId="0" applyNumberFormat="1" applyFill="1" applyBorder="1" applyAlignment="1">
      <alignment vertical="center"/>
    </xf>
    <xf numFmtId="0" fontId="0" fillId="45" borderId="1" xfId="0" applyFill="1" applyBorder="1" applyAlignment="1">
      <alignment vertical="center"/>
    </xf>
    <xf numFmtId="164" fontId="0" fillId="46" borderId="1" xfId="0" applyNumberFormat="1" applyFill="1" applyBorder="1" applyAlignment="1">
      <alignment vertical="center"/>
    </xf>
    <xf numFmtId="0" fontId="0" fillId="46" borderId="1" xfId="0" applyFill="1" applyBorder="1" applyAlignment="1">
      <alignment vertical="center"/>
    </xf>
    <xf numFmtId="164" fontId="0" fillId="47" borderId="1" xfId="0" applyNumberFormat="1" applyFill="1" applyBorder="1" applyAlignment="1">
      <alignment vertical="center"/>
    </xf>
    <xf numFmtId="0" fontId="0" fillId="47" borderId="1" xfId="0" applyFill="1" applyBorder="1" applyAlignment="1">
      <alignment vertical="center"/>
    </xf>
    <xf numFmtId="164" fontId="0" fillId="48" borderId="1" xfId="0" applyNumberFormat="1" applyFill="1" applyBorder="1" applyAlignment="1">
      <alignment vertical="center"/>
    </xf>
    <xf numFmtId="0" fontId="0" fillId="48" borderId="1" xfId="0" applyFill="1" applyBorder="1" applyAlignment="1">
      <alignment vertical="center"/>
    </xf>
    <xf numFmtId="164" fontId="0" fillId="49" borderId="1" xfId="0" applyNumberFormat="1" applyFill="1" applyBorder="1" applyAlignment="1">
      <alignment vertical="center"/>
    </xf>
    <xf numFmtId="0" fontId="0" fillId="49" borderId="1" xfId="0" applyFill="1" applyBorder="1" applyAlignment="1">
      <alignment vertical="center"/>
    </xf>
    <xf numFmtId="0" fontId="3" fillId="51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164" fontId="0" fillId="51" borderId="1" xfId="0" applyNumberFormat="1" applyFill="1" applyBorder="1" applyAlignment="1">
      <alignment vertical="center"/>
    </xf>
    <xf numFmtId="0" fontId="0" fillId="51" borderId="1" xfId="0" applyFill="1" applyBorder="1" applyAlignment="1">
      <alignment vertical="center"/>
    </xf>
    <xf numFmtId="164" fontId="0" fillId="52" borderId="1" xfId="0" applyNumberFormat="1" applyFill="1" applyBorder="1" applyAlignment="1">
      <alignment vertical="center"/>
    </xf>
    <xf numFmtId="0" fontId="0" fillId="52" borderId="1" xfId="0" applyFill="1" applyBorder="1" applyAlignment="1">
      <alignment vertical="center"/>
    </xf>
    <xf numFmtId="164" fontId="0" fillId="53" borderId="1" xfId="0" applyNumberFormat="1" applyFill="1" applyBorder="1" applyAlignment="1">
      <alignment vertical="center"/>
    </xf>
    <xf numFmtId="0" fontId="0" fillId="53" borderId="1" xfId="0" applyFill="1" applyBorder="1" applyAlignment="1">
      <alignment vertical="center"/>
    </xf>
    <xf numFmtId="0" fontId="6" fillId="0" borderId="0" xfId="0" applyFont="1"/>
    <xf numFmtId="0" fontId="7" fillId="0" borderId="0" xfId="0" applyFont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0" xfId="0" applyFont="1"/>
    <xf numFmtId="0" fontId="9" fillId="54" borderId="0" xfId="0" applyFont="1" applyFill="1" applyAlignment="1">
      <alignment horizontal="center" vertical="center" wrapText="1"/>
    </xf>
    <xf numFmtId="0" fontId="9" fillId="54" borderId="0" xfId="0" applyFont="1" applyFill="1" applyAlignment="1">
      <alignment vertical="center"/>
    </xf>
    <xf numFmtId="0" fontId="10" fillId="0" borderId="0" xfId="0" applyFont="1"/>
    <xf numFmtId="0" fontId="9" fillId="55" borderId="0" xfId="0" applyFont="1" applyFill="1" applyAlignment="1">
      <alignment horizontal="center" vertical="center" wrapText="1"/>
    </xf>
    <xf numFmtId="0" fontId="9" fillId="55" borderId="0" xfId="0" applyFont="1" applyFill="1"/>
    <xf numFmtId="165" fontId="0" fillId="24" borderId="1" xfId="0" applyNumberFormat="1" applyFill="1" applyBorder="1" applyAlignment="1">
      <alignment vertical="center"/>
    </xf>
    <xf numFmtId="165" fontId="0" fillId="26" borderId="1" xfId="0" applyNumberFormat="1" applyFill="1" applyBorder="1" applyAlignment="1">
      <alignment vertical="center"/>
    </xf>
    <xf numFmtId="165" fontId="0" fillId="7" borderId="1" xfId="0" applyNumberFormat="1" applyFill="1" applyBorder="1" applyAlignment="1">
      <alignment vertical="center"/>
    </xf>
    <xf numFmtId="0" fontId="7" fillId="0" borderId="0" xfId="0" applyFont="1" applyAlignment="1">
      <alignment horizontal="right"/>
    </xf>
    <xf numFmtId="0" fontId="7" fillId="56" borderId="2" xfId="0" applyFont="1" applyFill="1" applyBorder="1" applyAlignment="1">
      <alignment horizontal="center"/>
    </xf>
    <xf numFmtId="0" fontId="11" fillId="57" borderId="2" xfId="0" applyFont="1" applyFill="1" applyBorder="1" applyAlignment="1">
      <alignment horizontal="center"/>
    </xf>
    <xf numFmtId="0" fontId="9" fillId="58" borderId="1" xfId="0" applyFont="1" applyFill="1" applyBorder="1" applyAlignment="1">
      <alignment horizontal="center" vertical="center" wrapText="1"/>
    </xf>
    <xf numFmtId="0" fontId="9" fillId="59" borderId="1" xfId="0" applyFont="1" applyFill="1" applyBorder="1"/>
    <xf numFmtId="0" fontId="9" fillId="60" borderId="1" xfId="0" applyFont="1" applyFill="1" applyBorder="1" applyAlignment="1">
      <alignment horizontal="center" vertical="center" wrapText="1"/>
    </xf>
    <xf numFmtId="0" fontId="9" fillId="60" borderId="1" xfId="0" applyFont="1" applyFill="1" applyBorder="1"/>
    <xf numFmtId="0" fontId="9" fillId="61" borderId="1" xfId="0" applyFont="1" applyFill="1" applyBorder="1" applyAlignment="1">
      <alignment horizontal="center" vertical="center" wrapText="1"/>
    </xf>
    <xf numFmtId="0" fontId="0" fillId="62" borderId="1" xfId="0" applyFill="1" applyBorder="1" applyAlignment="1">
      <alignment vertical="center"/>
    </xf>
    <xf numFmtId="0" fontId="0" fillId="63" borderId="1" xfId="0" applyFill="1" applyBorder="1" applyAlignment="1">
      <alignment vertical="center"/>
    </xf>
    <xf numFmtId="0" fontId="0" fillId="64" borderId="1" xfId="0" applyFill="1" applyBorder="1" applyAlignment="1">
      <alignment vertical="center"/>
    </xf>
    <xf numFmtId="0" fontId="0" fillId="65" borderId="1" xfId="0" applyFill="1" applyBorder="1" applyAlignment="1">
      <alignment vertical="center"/>
    </xf>
    <xf numFmtId="0" fontId="9" fillId="66" borderId="1" xfId="0" applyFont="1" applyFill="1" applyBorder="1"/>
    <xf numFmtId="0" fontId="4" fillId="20" borderId="1" xfId="0" applyFont="1" applyFill="1" applyBorder="1" applyAlignment="1">
      <alignment horizontal="center" vertical="center" wrapText="1"/>
    </xf>
    <xf numFmtId="0" fontId="12" fillId="67" borderId="0" xfId="0" applyFont="1" applyFill="1"/>
    <xf numFmtId="0" fontId="0" fillId="67" borderId="0" xfId="0" applyFill="1"/>
    <xf numFmtId="166" fontId="0" fillId="36" borderId="1" xfId="0" applyNumberFormat="1" applyFill="1" applyBorder="1" applyAlignment="1">
      <alignment vertical="center"/>
    </xf>
    <xf numFmtId="166" fontId="0" fillId="34" borderId="1" xfId="0" applyNumberFormat="1" applyFill="1" applyBorder="1" applyAlignment="1">
      <alignment vertical="center"/>
    </xf>
    <xf numFmtId="166" fontId="0" fillId="10" borderId="1" xfId="0" applyNumberFormat="1" applyFill="1" applyBorder="1" applyAlignment="1">
      <alignment vertical="center"/>
    </xf>
    <xf numFmtId="166" fontId="0" fillId="64" borderId="1" xfId="0" applyNumberFormat="1" applyFill="1" applyBorder="1" applyAlignment="1">
      <alignment vertical="center"/>
    </xf>
    <xf numFmtId="166" fontId="0" fillId="33" borderId="1" xfId="0" applyNumberFormat="1" applyFill="1" applyBorder="1" applyAlignment="1">
      <alignment vertical="center"/>
    </xf>
    <xf numFmtId="166" fontId="0" fillId="63" borderId="1" xfId="0" applyNumberFormat="1" applyFill="1" applyBorder="1" applyAlignment="1">
      <alignment vertical="center"/>
    </xf>
    <xf numFmtId="166" fontId="0" fillId="52" borderId="1" xfId="0" applyNumberFormat="1" applyFill="1" applyBorder="1" applyAlignment="1">
      <alignment vertical="center"/>
    </xf>
    <xf numFmtId="166" fontId="0" fillId="16" borderId="1" xfId="0" applyNumberFormat="1" applyFill="1" applyBorder="1" applyAlignment="1">
      <alignment vertical="center"/>
    </xf>
    <xf numFmtId="166" fontId="0" fillId="11" borderId="1" xfId="0" applyNumberFormat="1" applyFill="1" applyBorder="1" applyAlignment="1">
      <alignment vertical="center"/>
    </xf>
    <xf numFmtId="166" fontId="0" fillId="62" borderId="1" xfId="0" applyNumberFormat="1" applyFill="1" applyBorder="1" applyAlignment="1">
      <alignment vertical="center"/>
    </xf>
    <xf numFmtId="166" fontId="0" fillId="65" borderId="1" xfId="0" applyNumberFormat="1" applyFill="1" applyBorder="1" applyAlignment="1">
      <alignment vertical="center"/>
    </xf>
    <xf numFmtId="166" fontId="0" fillId="35" borderId="1" xfId="0" applyNumberFormat="1" applyFill="1" applyBorder="1" applyAlignment="1">
      <alignment vertical="center"/>
    </xf>
    <xf numFmtId="166" fontId="0" fillId="37" borderId="1" xfId="0" applyNumberFormat="1" applyFill="1" applyBorder="1" applyAlignment="1">
      <alignment vertical="center"/>
    </xf>
    <xf numFmtId="0" fontId="7" fillId="65" borderId="1" xfId="0" applyFont="1" applyFill="1" applyBorder="1"/>
    <xf numFmtId="0" fontId="0" fillId="65" borderId="1" xfId="0" applyFill="1" applyBorder="1"/>
    <xf numFmtId="0" fontId="7" fillId="36" borderId="1" xfId="0" applyFont="1" applyFill="1" applyBorder="1"/>
    <xf numFmtId="0" fontId="0" fillId="36" borderId="1" xfId="0" applyFill="1" applyBorder="1"/>
    <xf numFmtId="0" fontId="7" fillId="10" borderId="1" xfId="0" applyFont="1" applyFill="1" applyBorder="1"/>
    <xf numFmtId="0" fontId="0" fillId="10" borderId="1" xfId="0" applyFill="1" applyBorder="1"/>
    <xf numFmtId="0" fontId="7" fillId="34" borderId="1" xfId="0" applyFont="1" applyFill="1" applyBorder="1"/>
    <xf numFmtId="0" fontId="0" fillId="34" borderId="1" xfId="0" applyFill="1" applyBorder="1"/>
    <xf numFmtId="0" fontId="7" fillId="33" borderId="1" xfId="0" applyFont="1" applyFill="1" applyBorder="1"/>
    <xf numFmtId="0" fontId="0" fillId="33" borderId="1" xfId="0" applyFill="1" applyBorder="1"/>
    <xf numFmtId="0" fontId="7" fillId="63" borderId="1" xfId="0" applyFont="1" applyFill="1" applyBorder="1"/>
    <xf numFmtId="0" fontId="0" fillId="63" borderId="1" xfId="0" applyFill="1" applyBorder="1"/>
    <xf numFmtId="0" fontId="7" fillId="52" borderId="1" xfId="0" applyFont="1" applyFill="1" applyBorder="1"/>
    <xf numFmtId="0" fontId="0" fillId="52" borderId="1" xfId="0" applyFill="1" applyBorder="1"/>
    <xf numFmtId="0" fontId="7" fillId="64" borderId="1" xfId="0" applyFont="1" applyFill="1" applyBorder="1"/>
    <xf numFmtId="0" fontId="0" fillId="64" borderId="1" xfId="0" applyFill="1" applyBorder="1"/>
    <xf numFmtId="0" fontId="7" fillId="37" borderId="1" xfId="0" applyFont="1" applyFill="1" applyBorder="1"/>
    <xf numFmtId="0" fontId="0" fillId="37" borderId="1" xfId="0" applyFill="1" applyBorder="1"/>
    <xf numFmtId="0" fontId="7" fillId="35" borderId="1" xfId="0" applyFont="1" applyFill="1" applyBorder="1"/>
    <xf numFmtId="0" fontId="0" fillId="35" borderId="1" xfId="0" applyFill="1" applyBorder="1"/>
    <xf numFmtId="0" fontId="7" fillId="16" borderId="1" xfId="0" applyFont="1" applyFill="1" applyBorder="1"/>
    <xf numFmtId="0" fontId="0" fillId="16" borderId="1" xfId="0" applyFill="1" applyBorder="1"/>
    <xf numFmtId="0" fontId="7" fillId="62" borderId="1" xfId="0" applyFont="1" applyFill="1" applyBorder="1"/>
    <xf numFmtId="0" fontId="0" fillId="62" borderId="1" xfId="0" applyFill="1" applyBorder="1"/>
    <xf numFmtId="0" fontId="7" fillId="11" borderId="1" xfId="0" applyFont="1" applyFill="1" applyBorder="1"/>
    <xf numFmtId="0" fontId="0" fillId="11" borderId="1" xfId="0" applyFill="1" applyBorder="1"/>
    <xf numFmtId="0" fontId="13" fillId="0" borderId="0" xfId="0" applyFont="1"/>
    <xf numFmtId="0" fontId="1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5" fillId="2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17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45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15" fillId="4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5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1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36" borderId="1" xfId="0" applyFont="1" applyFill="1" applyBorder="1" applyAlignment="1">
      <alignment horizontal="center" vertical="center"/>
    </xf>
    <xf numFmtId="0" fontId="15" fillId="37" borderId="1" xfId="0" applyFont="1" applyFill="1" applyBorder="1" applyAlignment="1">
      <alignment horizontal="center" vertical="center"/>
    </xf>
    <xf numFmtId="0" fontId="15" fillId="68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5" fillId="47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5" fillId="44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69" borderId="1" xfId="0" applyFont="1" applyFill="1" applyBorder="1" applyAlignment="1">
      <alignment horizontal="center" vertical="center"/>
    </xf>
    <xf numFmtId="0" fontId="15" fillId="70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5" fillId="71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7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8"/>
  <sheetViews>
    <sheetView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14" hidden="1" customWidth="1"/>
    <col min="2" max="2" width="60" customWidth="1"/>
    <col min="3" max="3" width="7" hidden="1" customWidth="1"/>
    <col min="4" max="4" width="14" hidden="1" customWidth="1"/>
    <col min="5" max="5" width="11" customWidth="1"/>
    <col min="6" max="6" width="12" customWidth="1"/>
    <col min="7" max="7" width="13" hidden="1" customWidth="1"/>
    <col min="8" max="8" width="25" hidden="1" customWidth="1"/>
    <col min="9" max="9" width="26" hidden="1" customWidth="1"/>
    <col min="10" max="10" width="35" customWidth="1"/>
    <col min="11" max="11" width="20" customWidth="1"/>
    <col min="12" max="12" width="14" customWidth="1"/>
    <col min="13" max="13" width="11" customWidth="1"/>
  </cols>
  <sheetData>
    <row r="1" spans="1:13" ht="15.6" x14ac:dyDescent="0.3">
      <c r="B1" s="1" t="s">
        <v>971</v>
      </c>
    </row>
    <row r="2" spans="1:13" x14ac:dyDescent="0.3">
      <c r="B2" s="2" t="s">
        <v>1</v>
      </c>
    </row>
    <row r="3" spans="1:13" x14ac:dyDescent="0.3">
      <c r="B3" s="61" t="s">
        <v>972</v>
      </c>
      <c r="C3" s="5" t="s">
        <v>30</v>
      </c>
      <c r="D3" s="62" t="s">
        <v>973</v>
      </c>
      <c r="E3" s="63" t="s">
        <v>974</v>
      </c>
      <c r="F3" s="64" t="s">
        <v>975</v>
      </c>
    </row>
    <row r="4" spans="1:13" x14ac:dyDescent="0.3">
      <c r="B4" s="65" t="s">
        <v>976</v>
      </c>
      <c r="C4" s="66" t="s">
        <v>977</v>
      </c>
      <c r="D4" s="66" t="s">
        <v>978</v>
      </c>
      <c r="E4" s="67" t="s">
        <v>979</v>
      </c>
      <c r="F4" s="18" t="s">
        <v>22</v>
      </c>
    </row>
    <row r="5" spans="1:13" x14ac:dyDescent="0.3">
      <c r="B5" s="3" t="s">
        <v>980</v>
      </c>
      <c r="C5" s="68" t="s">
        <v>981</v>
      </c>
      <c r="D5" s="11" t="s">
        <v>982</v>
      </c>
      <c r="E5" s="69" t="s">
        <v>983</v>
      </c>
      <c r="F5" s="11" t="s">
        <v>13</v>
      </c>
    </row>
    <row r="6" spans="1:13" x14ac:dyDescent="0.3">
      <c r="B6" s="12" t="s">
        <v>984</v>
      </c>
      <c r="C6" s="14" t="s">
        <v>24</v>
      </c>
      <c r="D6" s="16" t="s">
        <v>18</v>
      </c>
      <c r="E6" s="14" t="s">
        <v>16</v>
      </c>
      <c r="F6" s="65" t="s">
        <v>985</v>
      </c>
    </row>
    <row r="7" spans="1:13" x14ac:dyDescent="0.3">
      <c r="B7" s="70" t="s">
        <v>986</v>
      </c>
      <c r="C7" s="71" t="s">
        <v>987</v>
      </c>
      <c r="D7" s="72" t="s">
        <v>988</v>
      </c>
      <c r="E7" s="68" t="s">
        <v>989</v>
      </c>
      <c r="F7" s="67" t="s">
        <v>990</v>
      </c>
    </row>
    <row r="8" spans="1:13" x14ac:dyDescent="0.3">
      <c r="B8" s="67" t="s">
        <v>991</v>
      </c>
      <c r="C8" s="64" t="s">
        <v>992</v>
      </c>
      <c r="D8" s="70" t="s">
        <v>993</v>
      </c>
      <c r="E8" s="5" t="s">
        <v>11</v>
      </c>
      <c r="F8" s="73" t="s">
        <v>994</v>
      </c>
    </row>
    <row r="9" spans="1:13" x14ac:dyDescent="0.3">
      <c r="B9" s="19" t="s">
        <v>995</v>
      </c>
      <c r="C9" s="73" t="s">
        <v>996</v>
      </c>
      <c r="D9" s="11" t="s">
        <v>997</v>
      </c>
      <c r="E9" s="74" t="s">
        <v>998</v>
      </c>
      <c r="F9" s="75" t="s">
        <v>999</v>
      </c>
    </row>
    <row r="10" spans="1:13" x14ac:dyDescent="0.3">
      <c r="B10" s="11" t="s">
        <v>1000</v>
      </c>
      <c r="C10" s="10" t="s">
        <v>1001</v>
      </c>
      <c r="D10" s="16" t="s">
        <v>20</v>
      </c>
      <c r="E10" s="76" t="s">
        <v>1002</v>
      </c>
      <c r="F10" s="77" t="s">
        <v>1003</v>
      </c>
    </row>
    <row r="12" spans="1:13" x14ac:dyDescent="0.3">
      <c r="A12" s="21" t="s">
        <v>31</v>
      </c>
      <c r="B12" s="21" t="s">
        <v>32</v>
      </c>
      <c r="C12" s="21" t="s">
        <v>33</v>
      </c>
      <c r="D12" s="21" t="s">
        <v>34</v>
      </c>
      <c r="E12" s="21" t="s">
        <v>35</v>
      </c>
      <c r="F12" s="21" t="s">
        <v>36</v>
      </c>
      <c r="G12" s="21" t="s">
        <v>37</v>
      </c>
      <c r="H12" s="21" t="s">
        <v>38</v>
      </c>
      <c r="I12" s="21" t="s">
        <v>39</v>
      </c>
      <c r="J12" s="21" t="s">
        <v>40</v>
      </c>
      <c r="K12" s="21" t="s">
        <v>41</v>
      </c>
      <c r="L12" s="21" t="s">
        <v>42</v>
      </c>
      <c r="M12" s="21" t="s">
        <v>43</v>
      </c>
    </row>
    <row r="13" spans="1:13" x14ac:dyDescent="0.3">
      <c r="A13" s="78">
        <v>45749</v>
      </c>
      <c r="B13" s="79" t="s">
        <v>1004</v>
      </c>
      <c r="C13" s="79" t="s">
        <v>1005</v>
      </c>
      <c r="D13" s="78">
        <v>45749</v>
      </c>
      <c r="E13" s="79">
        <v>0</v>
      </c>
      <c r="F13" s="79">
        <v>66897</v>
      </c>
      <c r="G13" s="79">
        <v>84253.03</v>
      </c>
      <c r="H13" s="79"/>
      <c r="I13" s="79" t="s">
        <v>972</v>
      </c>
      <c r="J13" s="79" t="s">
        <v>972</v>
      </c>
      <c r="K13" s="79" t="s">
        <v>972</v>
      </c>
      <c r="L13" s="24">
        <v>0.95</v>
      </c>
      <c r="M13" s="79" t="s">
        <v>1006</v>
      </c>
    </row>
    <row r="14" spans="1:13" x14ac:dyDescent="0.3">
      <c r="A14" s="27">
        <v>45749</v>
      </c>
      <c r="B14" s="28" t="s">
        <v>1007</v>
      </c>
      <c r="C14" s="28" t="s">
        <v>1005</v>
      </c>
      <c r="D14" s="27">
        <v>45749</v>
      </c>
      <c r="E14" s="28">
        <v>1</v>
      </c>
      <c r="F14" s="28">
        <v>0</v>
      </c>
      <c r="G14" s="28">
        <v>84252.03</v>
      </c>
      <c r="H14" s="28"/>
      <c r="I14" s="28" t="s">
        <v>1008</v>
      </c>
      <c r="J14" s="28" t="s">
        <v>30</v>
      </c>
      <c r="K14" s="28" t="s">
        <v>837</v>
      </c>
      <c r="L14" s="24">
        <v>0.9</v>
      </c>
      <c r="M14" s="28" t="s">
        <v>1006</v>
      </c>
    </row>
    <row r="15" spans="1:13" x14ac:dyDescent="0.3">
      <c r="A15" s="27">
        <v>45749</v>
      </c>
      <c r="B15" s="28" t="s">
        <v>1009</v>
      </c>
      <c r="C15" s="28" t="s">
        <v>1005</v>
      </c>
      <c r="D15" s="27">
        <v>45749</v>
      </c>
      <c r="E15" s="28">
        <v>1</v>
      </c>
      <c r="F15" s="28">
        <v>0</v>
      </c>
      <c r="G15" s="28">
        <v>84251.03</v>
      </c>
      <c r="H15" s="28"/>
      <c r="I15" s="28" t="s">
        <v>1008</v>
      </c>
      <c r="J15" s="28" t="s">
        <v>30</v>
      </c>
      <c r="K15" s="28" t="s">
        <v>837</v>
      </c>
      <c r="L15" s="24">
        <v>0.9</v>
      </c>
      <c r="M15" s="28" t="s">
        <v>1006</v>
      </c>
    </row>
    <row r="16" spans="1:13" x14ac:dyDescent="0.3">
      <c r="A16" s="80">
        <v>45749</v>
      </c>
      <c r="B16" s="81" t="s">
        <v>1010</v>
      </c>
      <c r="C16" s="81" t="s">
        <v>1005</v>
      </c>
      <c r="D16" s="80">
        <v>45749</v>
      </c>
      <c r="E16" s="81">
        <v>40000</v>
      </c>
      <c r="F16" s="81">
        <v>0</v>
      </c>
      <c r="G16" s="81">
        <v>44251.03</v>
      </c>
      <c r="H16" s="81"/>
      <c r="I16" s="81" t="s">
        <v>1011</v>
      </c>
      <c r="J16" s="81" t="s">
        <v>30</v>
      </c>
      <c r="K16" s="81" t="s">
        <v>837</v>
      </c>
      <c r="L16" s="82">
        <v>0.9</v>
      </c>
      <c r="M16" s="81" t="s">
        <v>1012</v>
      </c>
    </row>
    <row r="17" spans="1:13" x14ac:dyDescent="0.3">
      <c r="A17" s="83">
        <v>45757</v>
      </c>
      <c r="B17" s="84" t="s">
        <v>1013</v>
      </c>
      <c r="C17" s="84" t="s">
        <v>1005</v>
      </c>
      <c r="D17" s="83">
        <v>45757</v>
      </c>
      <c r="E17" s="84">
        <v>5704.5</v>
      </c>
      <c r="F17" s="84">
        <v>0</v>
      </c>
      <c r="G17" s="84">
        <v>38546.53</v>
      </c>
      <c r="H17" s="84"/>
      <c r="I17" s="84" t="s">
        <v>1008</v>
      </c>
      <c r="J17" s="84" t="s">
        <v>973</v>
      </c>
      <c r="K17" s="84" t="s">
        <v>1014</v>
      </c>
      <c r="L17" s="24">
        <v>0.88</v>
      </c>
      <c r="M17" s="84" t="s">
        <v>1006</v>
      </c>
    </row>
    <row r="18" spans="1:13" x14ac:dyDescent="0.3">
      <c r="A18" s="80">
        <v>45763</v>
      </c>
      <c r="B18" s="81" t="s">
        <v>1015</v>
      </c>
      <c r="C18" s="81" t="s">
        <v>1005</v>
      </c>
      <c r="D18" s="80">
        <v>45763</v>
      </c>
      <c r="E18" s="81">
        <v>25000</v>
      </c>
      <c r="F18" s="81">
        <v>0</v>
      </c>
      <c r="G18" s="81">
        <v>13546.53</v>
      </c>
      <c r="H18" s="81"/>
      <c r="I18" s="81" t="s">
        <v>1011</v>
      </c>
      <c r="J18" s="81" t="s">
        <v>30</v>
      </c>
      <c r="K18" s="81" t="s">
        <v>837</v>
      </c>
      <c r="L18" s="82">
        <v>0.9</v>
      </c>
      <c r="M18" s="81" t="s">
        <v>1012</v>
      </c>
    </row>
    <row r="19" spans="1:13" x14ac:dyDescent="0.3">
      <c r="A19" s="78">
        <v>45779</v>
      </c>
      <c r="B19" s="79" t="s">
        <v>1016</v>
      </c>
      <c r="C19" s="79" t="s">
        <v>1005</v>
      </c>
      <c r="D19" s="78">
        <v>45779</v>
      </c>
      <c r="E19" s="79">
        <v>0</v>
      </c>
      <c r="F19" s="79">
        <v>98850</v>
      </c>
      <c r="G19" s="79">
        <v>112396.53</v>
      </c>
      <c r="H19" s="79"/>
      <c r="I19" s="79" t="s">
        <v>972</v>
      </c>
      <c r="J19" s="79" t="s">
        <v>972</v>
      </c>
      <c r="K19" s="79" t="s">
        <v>972</v>
      </c>
      <c r="L19" s="24">
        <v>0.97</v>
      </c>
      <c r="M19" s="79" t="s">
        <v>1006</v>
      </c>
    </row>
    <row r="20" spans="1:13" x14ac:dyDescent="0.3">
      <c r="A20" s="27">
        <v>45779</v>
      </c>
      <c r="B20" s="28" t="s">
        <v>1017</v>
      </c>
      <c r="C20" s="28" t="s">
        <v>1005</v>
      </c>
      <c r="D20" s="27">
        <v>45779</v>
      </c>
      <c r="E20" s="28">
        <v>1</v>
      </c>
      <c r="F20" s="28">
        <v>0</v>
      </c>
      <c r="G20" s="28">
        <v>112395.53</v>
      </c>
      <c r="H20" s="28"/>
      <c r="I20" s="28" t="s">
        <v>1008</v>
      </c>
      <c r="J20" s="28" t="s">
        <v>30</v>
      </c>
      <c r="K20" s="28" t="s">
        <v>837</v>
      </c>
      <c r="L20" s="24">
        <v>0.9</v>
      </c>
      <c r="M20" s="28" t="s">
        <v>1006</v>
      </c>
    </row>
    <row r="21" spans="1:13" x14ac:dyDescent="0.3">
      <c r="A21" s="85">
        <v>45779</v>
      </c>
      <c r="B21" s="86" t="s">
        <v>1018</v>
      </c>
      <c r="C21" s="86" t="s">
        <v>1005</v>
      </c>
      <c r="D21" s="85">
        <v>45779</v>
      </c>
      <c r="E21" s="86">
        <v>1</v>
      </c>
      <c r="F21" s="86">
        <v>0</v>
      </c>
      <c r="G21" s="86">
        <v>112394.53</v>
      </c>
      <c r="H21" s="86"/>
      <c r="I21" s="86" t="s">
        <v>1008</v>
      </c>
      <c r="J21" s="86" t="s">
        <v>974</v>
      </c>
      <c r="K21" s="86" t="s">
        <v>1019</v>
      </c>
      <c r="L21" s="24">
        <v>0.9</v>
      </c>
      <c r="M21" s="86" t="s">
        <v>1006</v>
      </c>
    </row>
    <row r="22" spans="1:13" x14ac:dyDescent="0.3">
      <c r="A22" s="87">
        <v>45779</v>
      </c>
      <c r="B22" s="88" t="s">
        <v>1020</v>
      </c>
      <c r="C22" s="88" t="s">
        <v>1005</v>
      </c>
      <c r="D22" s="87">
        <v>45779</v>
      </c>
      <c r="E22" s="88">
        <v>65000</v>
      </c>
      <c r="F22" s="88">
        <v>0</v>
      </c>
      <c r="G22" s="88">
        <v>47394.53</v>
      </c>
      <c r="H22" s="88"/>
      <c r="I22" s="88" t="s">
        <v>1021</v>
      </c>
      <c r="J22" s="88" t="s">
        <v>974</v>
      </c>
      <c r="K22" s="88" t="s">
        <v>1019</v>
      </c>
      <c r="L22" s="82">
        <v>0.9</v>
      </c>
      <c r="M22" s="88" t="s">
        <v>1012</v>
      </c>
    </row>
    <row r="23" spans="1:13" x14ac:dyDescent="0.3">
      <c r="A23" s="87">
        <v>45780</v>
      </c>
      <c r="B23" s="88" t="s">
        <v>1022</v>
      </c>
      <c r="C23" s="88" t="s">
        <v>1005</v>
      </c>
      <c r="D23" s="87">
        <v>45780</v>
      </c>
      <c r="E23" s="88">
        <v>7000</v>
      </c>
      <c r="F23" s="88">
        <v>0</v>
      </c>
      <c r="G23" s="88">
        <v>40394.53</v>
      </c>
      <c r="H23" s="88"/>
      <c r="I23" s="88" t="s">
        <v>1021</v>
      </c>
      <c r="J23" s="88" t="s">
        <v>974</v>
      </c>
      <c r="K23" s="88" t="s">
        <v>1019</v>
      </c>
      <c r="L23" s="82">
        <v>0.9</v>
      </c>
      <c r="M23" s="88" t="s">
        <v>1012</v>
      </c>
    </row>
    <row r="24" spans="1:13" x14ac:dyDescent="0.3">
      <c r="A24" s="89">
        <v>45789</v>
      </c>
      <c r="B24" s="90" t="s">
        <v>1023</v>
      </c>
      <c r="C24" s="90" t="s">
        <v>1005</v>
      </c>
      <c r="D24" s="89">
        <v>45789</v>
      </c>
      <c r="E24" s="90">
        <v>60</v>
      </c>
      <c r="F24" s="90">
        <v>0</v>
      </c>
      <c r="G24" s="90">
        <v>40334.53</v>
      </c>
      <c r="H24" s="90" t="s">
        <v>1024</v>
      </c>
      <c r="I24" s="90" t="s">
        <v>1008</v>
      </c>
      <c r="J24" s="90" t="s">
        <v>975</v>
      </c>
      <c r="K24" s="90" t="s">
        <v>91</v>
      </c>
      <c r="L24" s="39">
        <v>0.55000000000000004</v>
      </c>
      <c r="M24" s="90" t="s">
        <v>1006</v>
      </c>
    </row>
    <row r="25" spans="1:13" x14ac:dyDescent="0.3">
      <c r="A25" s="89">
        <v>45789</v>
      </c>
      <c r="B25" s="90" t="s">
        <v>1025</v>
      </c>
      <c r="C25" s="90" t="s">
        <v>1005</v>
      </c>
      <c r="D25" s="89">
        <v>45789</v>
      </c>
      <c r="E25" s="90">
        <v>125</v>
      </c>
      <c r="F25" s="90">
        <v>0</v>
      </c>
      <c r="G25" s="90">
        <v>40209.53</v>
      </c>
      <c r="H25" s="90" t="s">
        <v>1026</v>
      </c>
      <c r="I25" s="90" t="s">
        <v>1008</v>
      </c>
      <c r="J25" s="90" t="s">
        <v>975</v>
      </c>
      <c r="K25" s="90" t="s">
        <v>91</v>
      </c>
      <c r="L25" s="39">
        <v>0.55000000000000004</v>
      </c>
      <c r="M25" s="90" t="s">
        <v>1006</v>
      </c>
    </row>
    <row r="26" spans="1:13" x14ac:dyDescent="0.3">
      <c r="A26" s="91">
        <v>45798</v>
      </c>
      <c r="B26" s="92" t="s">
        <v>1027</v>
      </c>
      <c r="C26" s="92" t="s">
        <v>1005</v>
      </c>
      <c r="D26" s="91">
        <v>45798</v>
      </c>
      <c r="E26" s="92">
        <v>1000</v>
      </c>
      <c r="F26" s="92">
        <v>0</v>
      </c>
      <c r="G26" s="92">
        <v>39209.53</v>
      </c>
      <c r="H26" s="92"/>
      <c r="I26" s="92" t="s">
        <v>1008</v>
      </c>
      <c r="J26" s="92" t="s">
        <v>976</v>
      </c>
      <c r="K26" s="92" t="s">
        <v>1028</v>
      </c>
      <c r="L26" s="82">
        <v>0.85</v>
      </c>
      <c r="M26" s="92" t="s">
        <v>1012</v>
      </c>
    </row>
    <row r="27" spans="1:13" x14ac:dyDescent="0.3">
      <c r="A27" s="91">
        <v>45799</v>
      </c>
      <c r="B27" s="92" t="s">
        <v>1029</v>
      </c>
      <c r="C27" s="92" t="s">
        <v>1005</v>
      </c>
      <c r="D27" s="91">
        <v>45799</v>
      </c>
      <c r="E27" s="92">
        <v>1240.6600000000001</v>
      </c>
      <c r="F27" s="92">
        <v>0</v>
      </c>
      <c r="G27" s="92">
        <v>37968.870000000003</v>
      </c>
      <c r="H27" s="92"/>
      <c r="I27" s="92" t="s">
        <v>1008</v>
      </c>
      <c r="J27" s="92" t="s">
        <v>976</v>
      </c>
      <c r="K27" s="92" t="s">
        <v>1028</v>
      </c>
      <c r="L27" s="82">
        <v>0.85</v>
      </c>
      <c r="M27" s="92" t="s">
        <v>1012</v>
      </c>
    </row>
    <row r="28" spans="1:13" x14ac:dyDescent="0.3">
      <c r="A28" s="93">
        <v>45806</v>
      </c>
      <c r="B28" s="94" t="s">
        <v>1030</v>
      </c>
      <c r="C28" s="94" t="s">
        <v>1005</v>
      </c>
      <c r="D28" s="93">
        <v>45806</v>
      </c>
      <c r="E28" s="94">
        <v>0</v>
      </c>
      <c r="F28" s="94">
        <v>1001</v>
      </c>
      <c r="G28" s="94">
        <v>38969.870000000003</v>
      </c>
      <c r="H28" s="94"/>
      <c r="I28" s="94" t="s">
        <v>1008</v>
      </c>
      <c r="J28" s="94" t="s">
        <v>977</v>
      </c>
      <c r="K28" s="94" t="s">
        <v>1031</v>
      </c>
      <c r="L28" s="82">
        <v>0.85</v>
      </c>
      <c r="M28" s="94" t="s">
        <v>1012</v>
      </c>
    </row>
    <row r="29" spans="1:13" x14ac:dyDescent="0.3">
      <c r="A29" s="93">
        <v>45806</v>
      </c>
      <c r="B29" s="94" t="s">
        <v>1032</v>
      </c>
      <c r="C29" s="94" t="s">
        <v>1005</v>
      </c>
      <c r="D29" s="93">
        <v>45806</v>
      </c>
      <c r="E29" s="94">
        <v>1001</v>
      </c>
      <c r="F29" s="94">
        <v>0</v>
      </c>
      <c r="G29" s="94">
        <v>37968.870000000003</v>
      </c>
      <c r="H29" s="94"/>
      <c r="I29" s="94" t="s">
        <v>1008</v>
      </c>
      <c r="J29" s="94" t="s">
        <v>978</v>
      </c>
      <c r="K29" s="94" t="s">
        <v>1031</v>
      </c>
      <c r="L29" s="82">
        <v>0.85</v>
      </c>
      <c r="M29" s="94" t="s">
        <v>1012</v>
      </c>
    </row>
    <row r="30" spans="1:13" x14ac:dyDescent="0.3">
      <c r="A30" s="78">
        <v>45810</v>
      </c>
      <c r="B30" s="79" t="s">
        <v>1033</v>
      </c>
      <c r="C30" s="79" t="s">
        <v>1005</v>
      </c>
      <c r="D30" s="78">
        <v>45810</v>
      </c>
      <c r="E30" s="79">
        <v>0</v>
      </c>
      <c r="F30" s="79">
        <v>102548</v>
      </c>
      <c r="G30" s="79">
        <v>140516.87</v>
      </c>
      <c r="H30" s="79"/>
      <c r="I30" s="79" t="s">
        <v>972</v>
      </c>
      <c r="J30" s="79" t="s">
        <v>972</v>
      </c>
      <c r="K30" s="79" t="s">
        <v>972</v>
      </c>
      <c r="L30" s="24">
        <v>0.97</v>
      </c>
      <c r="M30" s="79" t="s">
        <v>1006</v>
      </c>
    </row>
    <row r="31" spans="1:13" x14ac:dyDescent="0.3">
      <c r="A31" s="95">
        <v>45810</v>
      </c>
      <c r="B31" s="96" t="s">
        <v>1034</v>
      </c>
      <c r="C31" s="96" t="s">
        <v>1005</v>
      </c>
      <c r="D31" s="95">
        <v>45810</v>
      </c>
      <c r="E31" s="96">
        <v>23000</v>
      </c>
      <c r="F31" s="96">
        <v>0</v>
      </c>
      <c r="G31" s="96">
        <v>117516.87</v>
      </c>
      <c r="H31" s="96"/>
      <c r="I31" s="96"/>
      <c r="J31" s="96" t="s">
        <v>979</v>
      </c>
      <c r="K31" s="96" t="s">
        <v>990</v>
      </c>
      <c r="L31" s="24">
        <v>0.88</v>
      </c>
      <c r="M31" s="96" t="s">
        <v>46</v>
      </c>
    </row>
    <row r="32" spans="1:13" x14ac:dyDescent="0.3">
      <c r="A32" s="85">
        <v>45810</v>
      </c>
      <c r="B32" s="86" t="s">
        <v>1035</v>
      </c>
      <c r="C32" s="86" t="s">
        <v>1005</v>
      </c>
      <c r="D32" s="85">
        <v>45810</v>
      </c>
      <c r="E32" s="86">
        <v>5000</v>
      </c>
      <c r="F32" s="86">
        <v>0</v>
      </c>
      <c r="G32" s="86">
        <v>112516.87</v>
      </c>
      <c r="H32" s="86"/>
      <c r="I32" s="86"/>
      <c r="J32" s="86" t="s">
        <v>974</v>
      </c>
      <c r="K32" s="86" t="s">
        <v>1019</v>
      </c>
      <c r="L32" s="24">
        <v>0.9</v>
      </c>
      <c r="M32" s="86" t="s">
        <v>46</v>
      </c>
    </row>
    <row r="33" spans="1:13" x14ac:dyDescent="0.3">
      <c r="A33" s="85">
        <v>45810</v>
      </c>
      <c r="B33" s="86" t="s">
        <v>1036</v>
      </c>
      <c r="C33" s="86" t="s">
        <v>1005</v>
      </c>
      <c r="D33" s="85">
        <v>45810</v>
      </c>
      <c r="E33" s="86">
        <v>40000</v>
      </c>
      <c r="F33" s="86">
        <v>0</v>
      </c>
      <c r="G33" s="86">
        <v>72516.87</v>
      </c>
      <c r="H33" s="86"/>
      <c r="I33" s="86"/>
      <c r="J33" s="86" t="s">
        <v>974</v>
      </c>
      <c r="K33" s="86" t="s">
        <v>1019</v>
      </c>
      <c r="L33" s="24">
        <v>0.9</v>
      </c>
      <c r="M33" s="86" t="s">
        <v>46</v>
      </c>
    </row>
    <row r="34" spans="1:13" x14ac:dyDescent="0.3">
      <c r="A34" s="85">
        <v>45821</v>
      </c>
      <c r="B34" s="86" t="s">
        <v>1037</v>
      </c>
      <c r="C34" s="86" t="s">
        <v>1005</v>
      </c>
      <c r="D34" s="85">
        <v>45821</v>
      </c>
      <c r="E34" s="86">
        <v>15000</v>
      </c>
      <c r="F34" s="86">
        <v>0</v>
      </c>
      <c r="G34" s="86">
        <v>57516.87</v>
      </c>
      <c r="H34" s="86"/>
      <c r="I34" s="86"/>
      <c r="J34" s="86" t="s">
        <v>974</v>
      </c>
      <c r="K34" s="86" t="s">
        <v>1019</v>
      </c>
      <c r="L34" s="24">
        <v>0.9</v>
      </c>
      <c r="M34" s="86" t="s">
        <v>46</v>
      </c>
    </row>
    <row r="35" spans="1:13" x14ac:dyDescent="0.3">
      <c r="A35" s="97">
        <v>45835</v>
      </c>
      <c r="B35" s="98" t="s">
        <v>1038</v>
      </c>
      <c r="C35" s="98" t="s">
        <v>1005</v>
      </c>
      <c r="D35" s="97">
        <v>45835</v>
      </c>
      <c r="E35" s="98">
        <v>15000</v>
      </c>
      <c r="F35" s="98">
        <v>0</v>
      </c>
      <c r="G35" s="98">
        <v>42516.87</v>
      </c>
      <c r="H35" s="98"/>
      <c r="I35" s="98"/>
      <c r="J35" s="98" t="s">
        <v>978</v>
      </c>
      <c r="K35" s="98" t="s">
        <v>1031</v>
      </c>
      <c r="L35" s="24">
        <v>0.85</v>
      </c>
      <c r="M35" s="98" t="s">
        <v>46</v>
      </c>
    </row>
    <row r="36" spans="1:13" x14ac:dyDescent="0.3">
      <c r="A36" s="55">
        <v>45839</v>
      </c>
      <c r="B36" s="56" t="s">
        <v>1039</v>
      </c>
      <c r="C36" s="56" t="s">
        <v>1005</v>
      </c>
      <c r="D36" s="55">
        <v>45839</v>
      </c>
      <c r="E36" s="56">
        <v>0</v>
      </c>
      <c r="F36" s="56">
        <v>291</v>
      </c>
      <c r="G36" s="56">
        <v>42807.87</v>
      </c>
      <c r="H36" s="56"/>
      <c r="I36" s="56"/>
      <c r="J36" s="56" t="s">
        <v>22</v>
      </c>
      <c r="K36" s="56" t="s">
        <v>22</v>
      </c>
      <c r="L36" s="24">
        <v>0.93</v>
      </c>
      <c r="M36" s="56" t="s">
        <v>46</v>
      </c>
    </row>
    <row r="37" spans="1:13" x14ac:dyDescent="0.3">
      <c r="A37" s="78">
        <v>45839</v>
      </c>
      <c r="B37" s="79" t="s">
        <v>1040</v>
      </c>
      <c r="C37" s="79" t="s">
        <v>1005</v>
      </c>
      <c r="D37" s="78">
        <v>45839</v>
      </c>
      <c r="E37" s="79">
        <v>0</v>
      </c>
      <c r="F37" s="79">
        <v>98850</v>
      </c>
      <c r="G37" s="79">
        <v>141657.87</v>
      </c>
      <c r="H37" s="79"/>
      <c r="I37" s="79"/>
      <c r="J37" s="79" t="s">
        <v>972</v>
      </c>
      <c r="K37" s="79" t="s">
        <v>972</v>
      </c>
      <c r="L37" s="24">
        <v>0.97</v>
      </c>
      <c r="M37" s="79" t="s">
        <v>46</v>
      </c>
    </row>
    <row r="38" spans="1:13" x14ac:dyDescent="0.3">
      <c r="A38" s="97">
        <v>45840</v>
      </c>
      <c r="B38" s="98" t="s">
        <v>1041</v>
      </c>
      <c r="C38" s="98" t="s">
        <v>1005</v>
      </c>
      <c r="D38" s="97">
        <v>45840</v>
      </c>
      <c r="E38" s="98">
        <v>0</v>
      </c>
      <c r="F38" s="98">
        <v>30000</v>
      </c>
      <c r="G38" s="98">
        <v>171657.87</v>
      </c>
      <c r="H38" s="98"/>
      <c r="I38" s="98"/>
      <c r="J38" s="98" t="s">
        <v>977</v>
      </c>
      <c r="K38" s="98" t="s">
        <v>1031</v>
      </c>
      <c r="L38" s="24">
        <v>0.85</v>
      </c>
      <c r="M38" s="98" t="s">
        <v>46</v>
      </c>
    </row>
    <row r="39" spans="1:13" x14ac:dyDescent="0.3">
      <c r="A39" s="97">
        <v>45840</v>
      </c>
      <c r="B39" s="98" t="s">
        <v>1042</v>
      </c>
      <c r="C39" s="98" t="s">
        <v>1005</v>
      </c>
      <c r="D39" s="97">
        <v>45840</v>
      </c>
      <c r="E39" s="98">
        <v>40000</v>
      </c>
      <c r="F39" s="98">
        <v>0</v>
      </c>
      <c r="G39" s="98">
        <v>131657.87</v>
      </c>
      <c r="H39" s="98"/>
      <c r="I39" s="98"/>
      <c r="J39" s="98" t="s">
        <v>978</v>
      </c>
      <c r="K39" s="98" t="s">
        <v>1031</v>
      </c>
      <c r="L39" s="24">
        <v>0.85</v>
      </c>
      <c r="M39" s="98" t="s">
        <v>46</v>
      </c>
    </row>
    <row r="40" spans="1:13" x14ac:dyDescent="0.3">
      <c r="A40" s="97">
        <v>45840</v>
      </c>
      <c r="B40" s="98" t="s">
        <v>1043</v>
      </c>
      <c r="C40" s="98" t="s">
        <v>1005</v>
      </c>
      <c r="D40" s="97">
        <v>45840</v>
      </c>
      <c r="E40" s="98">
        <v>0</v>
      </c>
      <c r="F40" s="98">
        <v>40000</v>
      </c>
      <c r="G40" s="98">
        <v>171657.87</v>
      </c>
      <c r="H40" s="98"/>
      <c r="I40" s="98"/>
      <c r="J40" s="98" t="s">
        <v>977</v>
      </c>
      <c r="K40" s="98" t="s">
        <v>1031</v>
      </c>
      <c r="L40" s="24">
        <v>0.85</v>
      </c>
      <c r="M40" s="98" t="s">
        <v>46</v>
      </c>
    </row>
    <row r="41" spans="1:13" x14ac:dyDescent="0.3">
      <c r="A41" s="95">
        <v>45841</v>
      </c>
      <c r="B41" s="96" t="s">
        <v>1044</v>
      </c>
      <c r="C41" s="96" t="s">
        <v>1005</v>
      </c>
      <c r="D41" s="95">
        <v>45841</v>
      </c>
      <c r="E41" s="96">
        <v>23000</v>
      </c>
      <c r="F41" s="96">
        <v>0</v>
      </c>
      <c r="G41" s="96">
        <v>148657.87</v>
      </c>
      <c r="H41" s="96"/>
      <c r="I41" s="96"/>
      <c r="J41" s="96" t="s">
        <v>979</v>
      </c>
      <c r="K41" s="96" t="s">
        <v>990</v>
      </c>
      <c r="L41" s="24">
        <v>0.88</v>
      </c>
      <c r="M41" s="96" t="s">
        <v>46</v>
      </c>
    </row>
    <row r="42" spans="1:13" x14ac:dyDescent="0.3">
      <c r="A42" s="22">
        <v>45842</v>
      </c>
      <c r="B42" s="23" t="s">
        <v>1045</v>
      </c>
      <c r="C42" s="23" t="s">
        <v>1005</v>
      </c>
      <c r="D42" s="22">
        <v>45842</v>
      </c>
      <c r="E42" s="23">
        <v>0</v>
      </c>
      <c r="F42" s="23">
        <v>1.04</v>
      </c>
      <c r="G42" s="23">
        <v>148658.91</v>
      </c>
      <c r="H42" s="23"/>
      <c r="I42" s="23"/>
      <c r="J42" s="23" t="s">
        <v>980</v>
      </c>
      <c r="K42" s="23" t="s">
        <v>1046</v>
      </c>
      <c r="L42" s="40">
        <v>0.7</v>
      </c>
      <c r="M42" s="23" t="s">
        <v>46</v>
      </c>
    </row>
    <row r="43" spans="1:13" x14ac:dyDescent="0.3">
      <c r="A43" s="22">
        <v>45842</v>
      </c>
      <c r="B43" s="23" t="s">
        <v>1047</v>
      </c>
      <c r="C43" s="23" t="s">
        <v>1005</v>
      </c>
      <c r="D43" s="22">
        <v>45842</v>
      </c>
      <c r="E43" s="23">
        <v>0</v>
      </c>
      <c r="F43" s="23">
        <v>1.19</v>
      </c>
      <c r="G43" s="23">
        <v>148660.1</v>
      </c>
      <c r="H43" s="23"/>
      <c r="I43" s="23"/>
      <c r="J43" s="23" t="s">
        <v>980</v>
      </c>
      <c r="K43" s="23" t="s">
        <v>1046</v>
      </c>
      <c r="L43" s="40">
        <v>0.7</v>
      </c>
      <c r="M43" s="23" t="s">
        <v>46</v>
      </c>
    </row>
    <row r="44" spans="1:13" x14ac:dyDescent="0.3">
      <c r="A44" s="22">
        <v>45842</v>
      </c>
      <c r="B44" s="23" t="s">
        <v>1048</v>
      </c>
      <c r="C44" s="23" t="s">
        <v>1005</v>
      </c>
      <c r="D44" s="22">
        <v>45842</v>
      </c>
      <c r="E44" s="23">
        <v>0</v>
      </c>
      <c r="F44" s="23">
        <v>1</v>
      </c>
      <c r="G44" s="23">
        <v>148661.1</v>
      </c>
      <c r="H44" s="23"/>
      <c r="I44" s="23"/>
      <c r="J44" s="23" t="s">
        <v>980</v>
      </c>
      <c r="K44" s="23" t="s">
        <v>1046</v>
      </c>
      <c r="L44" s="40">
        <v>0.7</v>
      </c>
      <c r="M44" s="23" t="s">
        <v>46</v>
      </c>
    </row>
    <row r="45" spans="1:13" x14ac:dyDescent="0.3">
      <c r="A45" s="22">
        <v>45842</v>
      </c>
      <c r="B45" s="23" t="s">
        <v>1049</v>
      </c>
      <c r="C45" s="23" t="s">
        <v>1005</v>
      </c>
      <c r="D45" s="22">
        <v>45842</v>
      </c>
      <c r="E45" s="23">
        <v>0</v>
      </c>
      <c r="F45" s="23">
        <v>1</v>
      </c>
      <c r="G45" s="23">
        <v>148662.1</v>
      </c>
      <c r="H45" s="23"/>
      <c r="I45" s="23"/>
      <c r="J45" s="23" t="s">
        <v>980</v>
      </c>
      <c r="K45" s="23" t="s">
        <v>1046</v>
      </c>
      <c r="L45" s="40">
        <v>0.7</v>
      </c>
      <c r="M45" s="23" t="s">
        <v>46</v>
      </c>
    </row>
    <row r="46" spans="1:13" x14ac:dyDescent="0.3">
      <c r="A46" s="97">
        <v>45842</v>
      </c>
      <c r="B46" s="98" t="s">
        <v>1050</v>
      </c>
      <c r="C46" s="98" t="s">
        <v>1005</v>
      </c>
      <c r="D46" s="97">
        <v>45842</v>
      </c>
      <c r="E46" s="98">
        <v>40000</v>
      </c>
      <c r="F46" s="98">
        <v>0</v>
      </c>
      <c r="G46" s="98">
        <v>108662.1</v>
      </c>
      <c r="H46" s="98"/>
      <c r="I46" s="98"/>
      <c r="J46" s="98" t="s">
        <v>978</v>
      </c>
      <c r="K46" s="98" t="s">
        <v>1031</v>
      </c>
      <c r="L46" s="24">
        <v>0.85</v>
      </c>
      <c r="M46" s="98" t="s">
        <v>46</v>
      </c>
    </row>
    <row r="47" spans="1:13" x14ac:dyDescent="0.3">
      <c r="A47" s="22">
        <v>45845</v>
      </c>
      <c r="B47" s="23" t="s">
        <v>1051</v>
      </c>
      <c r="C47" s="23" t="s">
        <v>1005</v>
      </c>
      <c r="D47" s="22">
        <v>45845</v>
      </c>
      <c r="E47" s="23">
        <v>0</v>
      </c>
      <c r="F47" s="23">
        <v>142.85</v>
      </c>
      <c r="G47" s="23">
        <v>108804.95</v>
      </c>
      <c r="H47" s="23"/>
      <c r="I47" s="23"/>
      <c r="J47" s="23" t="s">
        <v>980</v>
      </c>
      <c r="K47" s="23" t="s">
        <v>1046</v>
      </c>
      <c r="L47" s="40">
        <v>0.7</v>
      </c>
      <c r="M47" s="23" t="s">
        <v>46</v>
      </c>
    </row>
    <row r="48" spans="1:13" x14ac:dyDescent="0.3">
      <c r="A48" s="99">
        <v>45854</v>
      </c>
      <c r="B48" s="100" t="s">
        <v>1052</v>
      </c>
      <c r="C48" s="100" t="s">
        <v>1005</v>
      </c>
      <c r="D48" s="99">
        <v>45854</v>
      </c>
      <c r="E48" s="100">
        <v>360</v>
      </c>
      <c r="F48" s="100">
        <v>0</v>
      </c>
      <c r="G48" s="100">
        <v>108444.95</v>
      </c>
      <c r="H48" s="100"/>
      <c r="I48" s="100"/>
      <c r="J48" s="100" t="s">
        <v>981</v>
      </c>
      <c r="K48" s="100" t="s">
        <v>1053</v>
      </c>
      <c r="L48" s="40">
        <v>0.8</v>
      </c>
      <c r="M48" s="100" t="s">
        <v>46</v>
      </c>
    </row>
    <row r="49" spans="1:13" x14ac:dyDescent="0.3">
      <c r="A49" s="101">
        <v>45855</v>
      </c>
      <c r="B49" s="102" t="s">
        <v>1054</v>
      </c>
      <c r="C49" s="102" t="s">
        <v>1005</v>
      </c>
      <c r="D49" s="101">
        <v>45855</v>
      </c>
      <c r="E49" s="102">
        <v>1002</v>
      </c>
      <c r="F49" s="102">
        <v>0</v>
      </c>
      <c r="G49" s="102">
        <v>107442.95</v>
      </c>
      <c r="H49" s="102"/>
      <c r="I49" s="102"/>
      <c r="J49" s="102" t="s">
        <v>976</v>
      </c>
      <c r="K49" s="102" t="s">
        <v>1028</v>
      </c>
      <c r="L49" s="24">
        <v>0.85</v>
      </c>
      <c r="M49" s="102" t="s">
        <v>46</v>
      </c>
    </row>
    <row r="50" spans="1:13" x14ac:dyDescent="0.3">
      <c r="A50" s="101">
        <v>45856</v>
      </c>
      <c r="B50" s="102" t="s">
        <v>1055</v>
      </c>
      <c r="C50" s="102" t="s">
        <v>1005</v>
      </c>
      <c r="D50" s="101">
        <v>45856</v>
      </c>
      <c r="E50" s="102">
        <v>1000</v>
      </c>
      <c r="F50" s="102">
        <v>0</v>
      </c>
      <c r="G50" s="102">
        <v>106442.95</v>
      </c>
      <c r="H50" s="102"/>
      <c r="I50" s="102"/>
      <c r="J50" s="102" t="s">
        <v>976</v>
      </c>
      <c r="K50" s="102" t="s">
        <v>1028</v>
      </c>
      <c r="L50" s="24">
        <v>0.85</v>
      </c>
      <c r="M50" s="102" t="s">
        <v>46</v>
      </c>
    </row>
    <row r="51" spans="1:13" x14ac:dyDescent="0.3">
      <c r="A51" s="41">
        <v>45856</v>
      </c>
      <c r="B51" s="42" t="s">
        <v>1056</v>
      </c>
      <c r="C51" s="42" t="s">
        <v>1005</v>
      </c>
      <c r="D51" s="41">
        <v>45856</v>
      </c>
      <c r="E51" s="42">
        <v>3006</v>
      </c>
      <c r="F51" s="42">
        <v>0</v>
      </c>
      <c r="G51" s="42">
        <v>103436.95</v>
      </c>
      <c r="H51" s="42"/>
      <c r="I51" s="42"/>
      <c r="J51" s="42" t="s">
        <v>982</v>
      </c>
      <c r="K51" s="42" t="s">
        <v>131</v>
      </c>
      <c r="L51" s="40">
        <v>0.7</v>
      </c>
      <c r="M51" s="42" t="s">
        <v>46</v>
      </c>
    </row>
    <row r="52" spans="1:13" x14ac:dyDescent="0.3">
      <c r="A52" s="103">
        <v>45857</v>
      </c>
      <c r="B52" s="104" t="s">
        <v>1057</v>
      </c>
      <c r="C52" s="104" t="s">
        <v>1005</v>
      </c>
      <c r="D52" s="103">
        <v>45857</v>
      </c>
      <c r="E52" s="104">
        <v>108</v>
      </c>
      <c r="F52" s="104">
        <v>0</v>
      </c>
      <c r="G52" s="104">
        <v>103328.95</v>
      </c>
      <c r="H52" s="104"/>
      <c r="I52" s="104"/>
      <c r="J52" s="104" t="s">
        <v>983</v>
      </c>
      <c r="K52" s="104" t="s">
        <v>131</v>
      </c>
      <c r="L52" s="40">
        <v>0.82</v>
      </c>
      <c r="M52" s="104" t="s">
        <v>46</v>
      </c>
    </row>
    <row r="53" spans="1:13" x14ac:dyDescent="0.3">
      <c r="A53" s="89">
        <v>45858</v>
      </c>
      <c r="B53" s="90" t="s">
        <v>1058</v>
      </c>
      <c r="C53" s="90" t="s">
        <v>1005</v>
      </c>
      <c r="D53" s="89">
        <v>45858</v>
      </c>
      <c r="E53" s="90">
        <v>148</v>
      </c>
      <c r="F53" s="90">
        <v>0</v>
      </c>
      <c r="G53" s="90">
        <v>103180.95</v>
      </c>
      <c r="H53" s="90" t="s">
        <v>1059</v>
      </c>
      <c r="I53" s="90"/>
      <c r="J53" s="90" t="s">
        <v>975</v>
      </c>
      <c r="K53" s="90" t="s">
        <v>91</v>
      </c>
      <c r="L53" s="39">
        <v>0.55000000000000004</v>
      </c>
      <c r="M53" s="90" t="s">
        <v>46</v>
      </c>
    </row>
    <row r="54" spans="1:13" x14ac:dyDescent="0.3">
      <c r="A54" s="89">
        <v>45858</v>
      </c>
      <c r="B54" s="90" t="s">
        <v>1060</v>
      </c>
      <c r="C54" s="90" t="s">
        <v>1005</v>
      </c>
      <c r="D54" s="89">
        <v>45858</v>
      </c>
      <c r="E54" s="90">
        <v>133</v>
      </c>
      <c r="F54" s="90">
        <v>0</v>
      </c>
      <c r="G54" s="90">
        <v>103047.95</v>
      </c>
      <c r="H54" s="90" t="s">
        <v>1061</v>
      </c>
      <c r="I54" s="90"/>
      <c r="J54" s="90" t="s">
        <v>975</v>
      </c>
      <c r="K54" s="90" t="s">
        <v>91</v>
      </c>
      <c r="L54" s="39">
        <v>0.55000000000000004</v>
      </c>
      <c r="M54" s="90" t="s">
        <v>46</v>
      </c>
    </row>
    <row r="55" spans="1:13" x14ac:dyDescent="0.3">
      <c r="A55" s="41">
        <v>45858</v>
      </c>
      <c r="B55" s="42" t="s">
        <v>1062</v>
      </c>
      <c r="C55" s="42" t="s">
        <v>1005</v>
      </c>
      <c r="D55" s="41">
        <v>45858</v>
      </c>
      <c r="E55" s="42">
        <v>145</v>
      </c>
      <c r="F55" s="42">
        <v>0</v>
      </c>
      <c r="G55" s="42">
        <v>102902.95</v>
      </c>
      <c r="H55" s="42"/>
      <c r="I55" s="42"/>
      <c r="J55" s="42" t="s">
        <v>13</v>
      </c>
      <c r="K55" s="42" t="s">
        <v>131</v>
      </c>
      <c r="L55" s="40">
        <v>0.82</v>
      </c>
      <c r="M55" s="42" t="s">
        <v>46</v>
      </c>
    </row>
    <row r="56" spans="1:13" x14ac:dyDescent="0.3">
      <c r="A56" s="101">
        <v>45860</v>
      </c>
      <c r="B56" s="102" t="s">
        <v>1063</v>
      </c>
      <c r="C56" s="102" t="s">
        <v>1005</v>
      </c>
      <c r="D56" s="101">
        <v>45860</v>
      </c>
      <c r="E56" s="102">
        <v>1000</v>
      </c>
      <c r="F56" s="102">
        <v>0</v>
      </c>
      <c r="G56" s="102">
        <v>101902.95</v>
      </c>
      <c r="H56" s="102"/>
      <c r="I56" s="102"/>
      <c r="J56" s="102" t="s">
        <v>976</v>
      </c>
      <c r="K56" s="102" t="s">
        <v>1028</v>
      </c>
      <c r="L56" s="24">
        <v>0.85</v>
      </c>
      <c r="M56" s="102" t="s">
        <v>46</v>
      </c>
    </row>
    <row r="57" spans="1:13" x14ac:dyDescent="0.3">
      <c r="A57" s="101">
        <v>45861</v>
      </c>
      <c r="B57" s="102" t="s">
        <v>1064</v>
      </c>
      <c r="C57" s="102" t="s">
        <v>1005</v>
      </c>
      <c r="D57" s="101">
        <v>45861</v>
      </c>
      <c r="E57" s="102">
        <v>1032.43</v>
      </c>
      <c r="F57" s="102">
        <v>0</v>
      </c>
      <c r="G57" s="102">
        <v>100870.52</v>
      </c>
      <c r="H57" s="102"/>
      <c r="I57" s="102"/>
      <c r="J57" s="102" t="s">
        <v>976</v>
      </c>
      <c r="K57" s="102" t="s">
        <v>1028</v>
      </c>
      <c r="L57" s="24">
        <v>0.85</v>
      </c>
      <c r="M57" s="102" t="s">
        <v>46</v>
      </c>
    </row>
    <row r="58" spans="1:13" x14ac:dyDescent="0.3">
      <c r="A58" s="97">
        <v>45861</v>
      </c>
      <c r="B58" s="98" t="s">
        <v>1065</v>
      </c>
      <c r="C58" s="98" t="s">
        <v>1005</v>
      </c>
      <c r="D58" s="97">
        <v>45861</v>
      </c>
      <c r="E58" s="98">
        <v>5000</v>
      </c>
      <c r="F58" s="98">
        <v>0</v>
      </c>
      <c r="G58" s="98">
        <v>95870.52</v>
      </c>
      <c r="H58" s="98"/>
      <c r="I58" s="98"/>
      <c r="J58" s="98" t="s">
        <v>978</v>
      </c>
      <c r="K58" s="98" t="s">
        <v>1031</v>
      </c>
      <c r="L58" s="24">
        <v>0.85</v>
      </c>
      <c r="M58" s="98" t="s">
        <v>46</v>
      </c>
    </row>
    <row r="59" spans="1:13" x14ac:dyDescent="0.3">
      <c r="A59" s="97">
        <v>45862</v>
      </c>
      <c r="B59" s="98" t="s">
        <v>1066</v>
      </c>
      <c r="C59" s="98" t="s">
        <v>1005</v>
      </c>
      <c r="D59" s="97">
        <v>45862</v>
      </c>
      <c r="E59" s="98">
        <v>15000</v>
      </c>
      <c r="F59" s="98">
        <v>0</v>
      </c>
      <c r="G59" s="98">
        <v>80870.52</v>
      </c>
      <c r="H59" s="98"/>
      <c r="I59" s="98"/>
      <c r="J59" s="98" t="s">
        <v>978</v>
      </c>
      <c r="K59" s="98" t="s">
        <v>1031</v>
      </c>
      <c r="L59" s="24">
        <v>0.85</v>
      </c>
      <c r="M59" s="98" t="s">
        <v>46</v>
      </c>
    </row>
    <row r="60" spans="1:13" x14ac:dyDescent="0.3">
      <c r="A60" s="85">
        <v>45862</v>
      </c>
      <c r="B60" s="86" t="s">
        <v>1067</v>
      </c>
      <c r="C60" s="86" t="s">
        <v>1005</v>
      </c>
      <c r="D60" s="85">
        <v>45862</v>
      </c>
      <c r="E60" s="86">
        <v>15000</v>
      </c>
      <c r="F60" s="86">
        <v>0</v>
      </c>
      <c r="G60" s="86">
        <v>65870.52</v>
      </c>
      <c r="H60" s="86"/>
      <c r="I60" s="86"/>
      <c r="J60" s="86" t="s">
        <v>974</v>
      </c>
      <c r="K60" s="86" t="s">
        <v>1019</v>
      </c>
      <c r="L60" s="24">
        <v>0.9</v>
      </c>
      <c r="M60" s="86" t="s">
        <v>46</v>
      </c>
    </row>
    <row r="61" spans="1:13" x14ac:dyDescent="0.3">
      <c r="A61" s="89">
        <v>45863</v>
      </c>
      <c r="B61" s="90" t="s">
        <v>1068</v>
      </c>
      <c r="C61" s="90" t="s">
        <v>1005</v>
      </c>
      <c r="D61" s="89">
        <v>45863</v>
      </c>
      <c r="E61" s="90">
        <v>100</v>
      </c>
      <c r="F61" s="90">
        <v>0</v>
      </c>
      <c r="G61" s="90">
        <v>65770.52</v>
      </c>
      <c r="H61" s="90" t="s">
        <v>1069</v>
      </c>
      <c r="I61" s="90"/>
      <c r="J61" s="90" t="s">
        <v>975</v>
      </c>
      <c r="K61" s="90" t="s">
        <v>91</v>
      </c>
      <c r="L61" s="39">
        <v>0.55000000000000004</v>
      </c>
      <c r="M61" s="90" t="s">
        <v>46</v>
      </c>
    </row>
    <row r="62" spans="1:13" x14ac:dyDescent="0.3">
      <c r="A62" s="85">
        <v>45864</v>
      </c>
      <c r="B62" s="86" t="s">
        <v>1070</v>
      </c>
      <c r="C62" s="86" t="s">
        <v>1005</v>
      </c>
      <c r="D62" s="85">
        <v>45864</v>
      </c>
      <c r="E62" s="86">
        <v>7000</v>
      </c>
      <c r="F62" s="86">
        <v>0</v>
      </c>
      <c r="G62" s="86">
        <v>58770.52</v>
      </c>
      <c r="H62" s="86"/>
      <c r="I62" s="86"/>
      <c r="J62" s="86" t="s">
        <v>974</v>
      </c>
      <c r="K62" s="86" t="s">
        <v>1019</v>
      </c>
      <c r="L62" s="24">
        <v>0.9</v>
      </c>
      <c r="M62" s="86" t="s">
        <v>46</v>
      </c>
    </row>
    <row r="63" spans="1:13" x14ac:dyDescent="0.3">
      <c r="A63" s="89">
        <v>45864</v>
      </c>
      <c r="B63" s="90" t="s">
        <v>1071</v>
      </c>
      <c r="C63" s="90" t="s">
        <v>1005</v>
      </c>
      <c r="D63" s="89">
        <v>45864</v>
      </c>
      <c r="E63" s="90">
        <v>220</v>
      </c>
      <c r="F63" s="90">
        <v>0</v>
      </c>
      <c r="G63" s="90">
        <v>58550.52</v>
      </c>
      <c r="H63" s="90" t="s">
        <v>1072</v>
      </c>
      <c r="I63" s="90"/>
      <c r="J63" s="90" t="s">
        <v>975</v>
      </c>
      <c r="K63" s="90" t="s">
        <v>91</v>
      </c>
      <c r="L63" s="39">
        <v>0.55000000000000004</v>
      </c>
      <c r="M63" s="90" t="s">
        <v>46</v>
      </c>
    </row>
    <row r="64" spans="1:13" x14ac:dyDescent="0.3">
      <c r="A64" s="89">
        <v>45867</v>
      </c>
      <c r="B64" s="90" t="s">
        <v>1073</v>
      </c>
      <c r="C64" s="90" t="s">
        <v>1005</v>
      </c>
      <c r="D64" s="89">
        <v>45867</v>
      </c>
      <c r="E64" s="90">
        <v>471.75</v>
      </c>
      <c r="F64" s="90">
        <v>0</v>
      </c>
      <c r="G64" s="90">
        <v>58078.77</v>
      </c>
      <c r="H64" s="90" t="s">
        <v>1074</v>
      </c>
      <c r="I64" s="90"/>
      <c r="J64" s="90" t="s">
        <v>975</v>
      </c>
      <c r="K64" s="90" t="s">
        <v>91</v>
      </c>
      <c r="L64" s="39">
        <v>0.55000000000000004</v>
      </c>
      <c r="M64" s="90" t="s">
        <v>46</v>
      </c>
    </row>
    <row r="65" spans="1:13" x14ac:dyDescent="0.3">
      <c r="A65" s="78">
        <v>45870</v>
      </c>
      <c r="B65" s="79" t="s">
        <v>1075</v>
      </c>
      <c r="C65" s="79" t="s">
        <v>1005</v>
      </c>
      <c r="D65" s="78">
        <v>45870</v>
      </c>
      <c r="E65" s="79">
        <v>0</v>
      </c>
      <c r="F65" s="79">
        <v>99850</v>
      </c>
      <c r="G65" s="79">
        <v>157928.76999999999</v>
      </c>
      <c r="H65" s="79"/>
      <c r="I65" s="79"/>
      <c r="J65" s="79" t="s">
        <v>972</v>
      </c>
      <c r="K65" s="79" t="s">
        <v>972</v>
      </c>
      <c r="L65" s="24">
        <v>0.97</v>
      </c>
      <c r="M65" s="79" t="s">
        <v>46</v>
      </c>
    </row>
    <row r="66" spans="1:13" x14ac:dyDescent="0.3">
      <c r="A66" s="83">
        <v>45870</v>
      </c>
      <c r="B66" s="84" t="s">
        <v>1076</v>
      </c>
      <c r="C66" s="84" t="s">
        <v>1005</v>
      </c>
      <c r="D66" s="83">
        <v>45870</v>
      </c>
      <c r="E66" s="84">
        <v>442.25</v>
      </c>
      <c r="F66" s="84">
        <v>0</v>
      </c>
      <c r="G66" s="84">
        <v>157486.51999999999</v>
      </c>
      <c r="H66" s="84"/>
      <c r="I66" s="84"/>
      <c r="J66" s="84" t="s">
        <v>973</v>
      </c>
      <c r="K66" s="84" t="s">
        <v>1014</v>
      </c>
      <c r="L66" s="40">
        <v>0.68</v>
      </c>
      <c r="M66" s="84" t="s">
        <v>46</v>
      </c>
    </row>
    <row r="67" spans="1:13" x14ac:dyDescent="0.3">
      <c r="A67" s="85">
        <v>45870</v>
      </c>
      <c r="B67" s="86" t="s">
        <v>1077</v>
      </c>
      <c r="C67" s="86" t="s">
        <v>1005</v>
      </c>
      <c r="D67" s="85">
        <v>45870</v>
      </c>
      <c r="E67" s="86">
        <v>37000</v>
      </c>
      <c r="F67" s="86">
        <v>0</v>
      </c>
      <c r="G67" s="86">
        <v>120486.52</v>
      </c>
      <c r="H67" s="86"/>
      <c r="I67" s="86"/>
      <c r="J67" s="86" t="s">
        <v>974</v>
      </c>
      <c r="K67" s="86" t="s">
        <v>1019</v>
      </c>
      <c r="L67" s="24">
        <v>0.9</v>
      </c>
      <c r="M67" s="86" t="s">
        <v>46</v>
      </c>
    </row>
    <row r="68" spans="1:13" x14ac:dyDescent="0.3">
      <c r="A68" s="95">
        <v>45870</v>
      </c>
      <c r="B68" s="96" t="s">
        <v>1078</v>
      </c>
      <c r="C68" s="96" t="s">
        <v>1005</v>
      </c>
      <c r="D68" s="95">
        <v>45870</v>
      </c>
      <c r="E68" s="96">
        <v>23000</v>
      </c>
      <c r="F68" s="96">
        <v>0</v>
      </c>
      <c r="G68" s="96">
        <v>97486.52</v>
      </c>
      <c r="H68" s="96"/>
      <c r="I68" s="96"/>
      <c r="J68" s="96" t="s">
        <v>979</v>
      </c>
      <c r="K68" s="96" t="s">
        <v>990</v>
      </c>
      <c r="L68" s="24">
        <v>0.88</v>
      </c>
      <c r="M68" s="96" t="s">
        <v>46</v>
      </c>
    </row>
    <row r="69" spans="1:13" x14ac:dyDescent="0.3">
      <c r="A69" s="97">
        <v>45876</v>
      </c>
      <c r="B69" s="98" t="s">
        <v>1079</v>
      </c>
      <c r="C69" s="98" t="s">
        <v>1005</v>
      </c>
      <c r="D69" s="97">
        <v>45876</v>
      </c>
      <c r="E69" s="98">
        <v>10000</v>
      </c>
      <c r="F69" s="98">
        <v>0</v>
      </c>
      <c r="G69" s="98">
        <v>87486.52</v>
      </c>
      <c r="H69" s="98"/>
      <c r="I69" s="98"/>
      <c r="J69" s="98" t="s">
        <v>978</v>
      </c>
      <c r="K69" s="98" t="s">
        <v>1031</v>
      </c>
      <c r="L69" s="24">
        <v>0.85</v>
      </c>
      <c r="M69" s="98" t="s">
        <v>46</v>
      </c>
    </row>
    <row r="70" spans="1:13" x14ac:dyDescent="0.3">
      <c r="A70" s="85">
        <v>45877</v>
      </c>
      <c r="B70" s="86" t="s">
        <v>1080</v>
      </c>
      <c r="C70" s="86" t="s">
        <v>1005</v>
      </c>
      <c r="D70" s="85">
        <v>45877</v>
      </c>
      <c r="E70" s="86">
        <v>10000</v>
      </c>
      <c r="F70" s="86">
        <v>0</v>
      </c>
      <c r="G70" s="86">
        <v>77486.52</v>
      </c>
      <c r="H70" s="86"/>
      <c r="I70" s="86"/>
      <c r="J70" s="86" t="s">
        <v>974</v>
      </c>
      <c r="K70" s="86" t="s">
        <v>1019</v>
      </c>
      <c r="L70" s="24">
        <v>0.9</v>
      </c>
      <c r="M70" s="86" t="s">
        <v>46</v>
      </c>
    </row>
    <row r="71" spans="1:13" x14ac:dyDescent="0.3">
      <c r="A71" s="85">
        <v>45878</v>
      </c>
      <c r="B71" s="86" t="s">
        <v>1081</v>
      </c>
      <c r="C71" s="86" t="s">
        <v>1005</v>
      </c>
      <c r="D71" s="85">
        <v>45878</v>
      </c>
      <c r="E71" s="86">
        <v>7000</v>
      </c>
      <c r="F71" s="86">
        <v>0</v>
      </c>
      <c r="G71" s="86">
        <v>70486.52</v>
      </c>
      <c r="H71" s="86"/>
      <c r="I71" s="86"/>
      <c r="J71" s="86" t="s">
        <v>974</v>
      </c>
      <c r="K71" s="86" t="s">
        <v>1019</v>
      </c>
      <c r="L71" s="24">
        <v>0.9</v>
      </c>
      <c r="M71" s="86" t="s">
        <v>46</v>
      </c>
    </row>
    <row r="72" spans="1:13" x14ac:dyDescent="0.3">
      <c r="A72" s="101">
        <v>45878</v>
      </c>
      <c r="B72" s="102" t="s">
        <v>1082</v>
      </c>
      <c r="C72" s="102" t="s">
        <v>1005</v>
      </c>
      <c r="D72" s="101">
        <v>45878</v>
      </c>
      <c r="E72" s="102">
        <v>1001</v>
      </c>
      <c r="F72" s="102">
        <v>0</v>
      </c>
      <c r="G72" s="102">
        <v>69485.52</v>
      </c>
      <c r="H72" s="102"/>
      <c r="I72" s="102"/>
      <c r="J72" s="102" t="s">
        <v>976</v>
      </c>
      <c r="K72" s="102" t="s">
        <v>1028</v>
      </c>
      <c r="L72" s="24">
        <v>0.85</v>
      </c>
      <c r="M72" s="102" t="s">
        <v>46</v>
      </c>
    </row>
    <row r="73" spans="1:13" x14ac:dyDescent="0.3">
      <c r="A73" s="83">
        <v>45878</v>
      </c>
      <c r="B73" s="84" t="s">
        <v>1083</v>
      </c>
      <c r="C73" s="84" t="s">
        <v>1005</v>
      </c>
      <c r="D73" s="83">
        <v>45878</v>
      </c>
      <c r="E73" s="84">
        <v>2613.6</v>
      </c>
      <c r="F73" s="84">
        <v>0</v>
      </c>
      <c r="G73" s="84">
        <v>66871.92</v>
      </c>
      <c r="H73" s="84"/>
      <c r="I73" s="84"/>
      <c r="J73" s="84" t="s">
        <v>973</v>
      </c>
      <c r="K73" s="84" t="s">
        <v>1014</v>
      </c>
      <c r="L73" s="40">
        <v>0.68</v>
      </c>
      <c r="M73" s="84" t="s">
        <v>46</v>
      </c>
    </row>
    <row r="74" spans="1:13" x14ac:dyDescent="0.3">
      <c r="A74" s="89">
        <v>45878</v>
      </c>
      <c r="B74" s="90" t="s">
        <v>1084</v>
      </c>
      <c r="C74" s="90" t="s">
        <v>1005</v>
      </c>
      <c r="D74" s="89">
        <v>45878</v>
      </c>
      <c r="E74" s="90">
        <v>198</v>
      </c>
      <c r="F74" s="90">
        <v>0</v>
      </c>
      <c r="G74" s="90">
        <v>66673.919999999998</v>
      </c>
      <c r="H74" s="90" t="s">
        <v>1085</v>
      </c>
      <c r="I74" s="90"/>
      <c r="J74" s="90" t="s">
        <v>975</v>
      </c>
      <c r="K74" s="90" t="s">
        <v>91</v>
      </c>
      <c r="L74" s="39">
        <v>0.55000000000000004</v>
      </c>
      <c r="M74" s="90" t="s">
        <v>46</v>
      </c>
    </row>
    <row r="75" spans="1:13" x14ac:dyDescent="0.3">
      <c r="A75" s="83">
        <v>45878</v>
      </c>
      <c r="B75" s="84" t="s">
        <v>1086</v>
      </c>
      <c r="C75" s="84" t="s">
        <v>1005</v>
      </c>
      <c r="D75" s="83">
        <v>45878</v>
      </c>
      <c r="E75" s="84">
        <v>2813.6</v>
      </c>
      <c r="F75" s="84">
        <v>0</v>
      </c>
      <c r="G75" s="84">
        <v>63860.32</v>
      </c>
      <c r="H75" s="84"/>
      <c r="I75" s="84"/>
      <c r="J75" s="84" t="s">
        <v>973</v>
      </c>
      <c r="K75" s="84" t="s">
        <v>1014</v>
      </c>
      <c r="L75" s="40">
        <v>0.68</v>
      </c>
      <c r="M75" s="84" t="s">
        <v>46</v>
      </c>
    </row>
    <row r="76" spans="1:13" x14ac:dyDescent="0.3">
      <c r="A76" s="83">
        <v>45878</v>
      </c>
      <c r="B76" s="84" t="s">
        <v>1087</v>
      </c>
      <c r="C76" s="84" t="s">
        <v>1005</v>
      </c>
      <c r="D76" s="83">
        <v>45878</v>
      </c>
      <c r="E76" s="84">
        <v>202.7</v>
      </c>
      <c r="F76" s="84">
        <v>0</v>
      </c>
      <c r="G76" s="84">
        <v>63657.62</v>
      </c>
      <c r="H76" s="84"/>
      <c r="I76" s="84"/>
      <c r="J76" s="84" t="s">
        <v>973</v>
      </c>
      <c r="K76" s="84" t="s">
        <v>1014</v>
      </c>
      <c r="L76" s="40">
        <v>0.68</v>
      </c>
      <c r="M76" s="84" t="s">
        <v>46</v>
      </c>
    </row>
    <row r="77" spans="1:13" x14ac:dyDescent="0.3">
      <c r="A77" s="83">
        <v>45878</v>
      </c>
      <c r="B77" s="84" t="s">
        <v>1088</v>
      </c>
      <c r="C77" s="84" t="s">
        <v>1005</v>
      </c>
      <c r="D77" s="83">
        <v>45878</v>
      </c>
      <c r="E77" s="84">
        <v>0</v>
      </c>
      <c r="F77" s="84">
        <v>2460</v>
      </c>
      <c r="G77" s="84">
        <v>66117.62</v>
      </c>
      <c r="H77" s="84"/>
      <c r="I77" s="84"/>
      <c r="J77" s="84" t="s">
        <v>973</v>
      </c>
      <c r="K77" s="84" t="s">
        <v>1014</v>
      </c>
      <c r="L77" s="24">
        <v>0.92</v>
      </c>
      <c r="M77" s="84" t="s">
        <v>46</v>
      </c>
    </row>
    <row r="78" spans="1:13" x14ac:dyDescent="0.3">
      <c r="A78" s="83">
        <v>45880</v>
      </c>
      <c r="B78" s="84" t="s">
        <v>1089</v>
      </c>
      <c r="C78" s="84" t="s">
        <v>1005</v>
      </c>
      <c r="D78" s="83">
        <v>45880</v>
      </c>
      <c r="E78" s="84">
        <v>1164.5</v>
      </c>
      <c r="F78" s="84">
        <v>0</v>
      </c>
      <c r="G78" s="84">
        <v>64953.120000000003</v>
      </c>
      <c r="H78" s="84"/>
      <c r="I78" s="84"/>
      <c r="J78" s="84" t="s">
        <v>973</v>
      </c>
      <c r="K78" s="84" t="s">
        <v>1014</v>
      </c>
      <c r="L78" s="40">
        <v>0.68</v>
      </c>
      <c r="M78" s="84" t="s">
        <v>46</v>
      </c>
    </row>
    <row r="79" spans="1:13" x14ac:dyDescent="0.3">
      <c r="A79" s="99">
        <v>45881</v>
      </c>
      <c r="B79" s="100" t="s">
        <v>1090</v>
      </c>
      <c r="C79" s="100" t="s">
        <v>1005</v>
      </c>
      <c r="D79" s="99">
        <v>45881</v>
      </c>
      <c r="E79" s="100">
        <v>310</v>
      </c>
      <c r="F79" s="100">
        <v>0</v>
      </c>
      <c r="G79" s="100">
        <v>64643.12</v>
      </c>
      <c r="H79" s="100"/>
      <c r="I79" s="100"/>
      <c r="J79" s="100" t="s">
        <v>981</v>
      </c>
      <c r="K79" s="100" t="s">
        <v>1053</v>
      </c>
      <c r="L79" s="40">
        <v>0.8</v>
      </c>
      <c r="M79" s="100" t="s">
        <v>46</v>
      </c>
    </row>
    <row r="80" spans="1:13" x14ac:dyDescent="0.3">
      <c r="A80" s="89">
        <v>45881</v>
      </c>
      <c r="B80" s="90" t="s">
        <v>1091</v>
      </c>
      <c r="C80" s="90" t="s">
        <v>1005</v>
      </c>
      <c r="D80" s="89">
        <v>45881</v>
      </c>
      <c r="E80" s="90">
        <v>140</v>
      </c>
      <c r="F80" s="90">
        <v>0</v>
      </c>
      <c r="G80" s="90">
        <v>64503.12</v>
      </c>
      <c r="H80" s="90" t="s">
        <v>1092</v>
      </c>
      <c r="I80" s="90"/>
      <c r="J80" s="90" t="s">
        <v>975</v>
      </c>
      <c r="K80" s="90" t="s">
        <v>91</v>
      </c>
      <c r="L80" s="39">
        <v>0.55000000000000004</v>
      </c>
      <c r="M80" s="90" t="s">
        <v>46</v>
      </c>
    </row>
    <row r="81" spans="1:13" x14ac:dyDescent="0.3">
      <c r="A81" s="89">
        <v>45884</v>
      </c>
      <c r="B81" s="90" t="s">
        <v>1093</v>
      </c>
      <c r="C81" s="90" t="s">
        <v>1005</v>
      </c>
      <c r="D81" s="89">
        <v>45884</v>
      </c>
      <c r="E81" s="90">
        <v>100</v>
      </c>
      <c r="F81" s="90">
        <v>0</v>
      </c>
      <c r="G81" s="90">
        <v>64403.12</v>
      </c>
      <c r="H81" s="90" t="s">
        <v>1094</v>
      </c>
      <c r="I81" s="90"/>
      <c r="J81" s="90" t="s">
        <v>975</v>
      </c>
      <c r="K81" s="90" t="s">
        <v>91</v>
      </c>
      <c r="L81" s="39">
        <v>0.55000000000000004</v>
      </c>
      <c r="M81" s="90" t="s">
        <v>46</v>
      </c>
    </row>
    <row r="82" spans="1:13" x14ac:dyDescent="0.3">
      <c r="A82" s="89">
        <v>45886</v>
      </c>
      <c r="B82" s="90" t="s">
        <v>1095</v>
      </c>
      <c r="C82" s="90" t="s">
        <v>1005</v>
      </c>
      <c r="D82" s="89">
        <v>45886</v>
      </c>
      <c r="E82" s="90">
        <v>80</v>
      </c>
      <c r="F82" s="90">
        <v>0</v>
      </c>
      <c r="G82" s="90">
        <v>64323.12</v>
      </c>
      <c r="H82" s="90" t="s">
        <v>1096</v>
      </c>
      <c r="I82" s="90"/>
      <c r="J82" s="90" t="s">
        <v>975</v>
      </c>
      <c r="K82" s="90" t="s">
        <v>91</v>
      </c>
      <c r="L82" s="39">
        <v>0.55000000000000004</v>
      </c>
      <c r="M82" s="90" t="s">
        <v>46</v>
      </c>
    </row>
    <row r="83" spans="1:13" x14ac:dyDescent="0.3">
      <c r="A83" s="101">
        <v>45888</v>
      </c>
      <c r="B83" s="102" t="s">
        <v>1097</v>
      </c>
      <c r="C83" s="102" t="s">
        <v>1005</v>
      </c>
      <c r="D83" s="101">
        <v>45888</v>
      </c>
      <c r="E83" s="102">
        <v>1000</v>
      </c>
      <c r="F83" s="102">
        <v>0</v>
      </c>
      <c r="G83" s="102">
        <v>63323.12</v>
      </c>
      <c r="H83" s="102"/>
      <c r="I83" s="102"/>
      <c r="J83" s="102" t="s">
        <v>976</v>
      </c>
      <c r="K83" s="102" t="s">
        <v>1028</v>
      </c>
      <c r="L83" s="24">
        <v>0.85</v>
      </c>
      <c r="M83" s="102" t="s">
        <v>46</v>
      </c>
    </row>
    <row r="84" spans="1:13" x14ac:dyDescent="0.3">
      <c r="A84" s="89">
        <v>45889</v>
      </c>
      <c r="B84" s="90" t="s">
        <v>1098</v>
      </c>
      <c r="C84" s="90" t="s">
        <v>1005</v>
      </c>
      <c r="D84" s="89">
        <v>45889</v>
      </c>
      <c r="E84" s="90">
        <v>870</v>
      </c>
      <c r="F84" s="90">
        <v>0</v>
      </c>
      <c r="G84" s="90">
        <v>62453.120000000003</v>
      </c>
      <c r="H84" s="90" t="s">
        <v>1099</v>
      </c>
      <c r="I84" s="90"/>
      <c r="J84" s="90" t="s">
        <v>975</v>
      </c>
      <c r="K84" s="90" t="s">
        <v>91</v>
      </c>
      <c r="L84" s="39">
        <v>0.55000000000000004</v>
      </c>
      <c r="M84" s="90" t="s">
        <v>46</v>
      </c>
    </row>
    <row r="85" spans="1:13" x14ac:dyDescent="0.3">
      <c r="A85" s="101">
        <v>45889</v>
      </c>
      <c r="B85" s="102" t="s">
        <v>1100</v>
      </c>
      <c r="C85" s="102" t="s">
        <v>1005</v>
      </c>
      <c r="D85" s="101">
        <v>45889</v>
      </c>
      <c r="E85" s="102">
        <v>1000</v>
      </c>
      <c r="F85" s="102">
        <v>0</v>
      </c>
      <c r="G85" s="102">
        <v>61453.120000000003</v>
      </c>
      <c r="H85" s="102"/>
      <c r="I85" s="102"/>
      <c r="J85" s="102" t="s">
        <v>976</v>
      </c>
      <c r="K85" s="102" t="s">
        <v>1028</v>
      </c>
      <c r="L85" s="24">
        <v>0.85</v>
      </c>
      <c r="M85" s="102" t="s">
        <v>46</v>
      </c>
    </row>
    <row r="86" spans="1:13" x14ac:dyDescent="0.3">
      <c r="A86" s="89">
        <v>45890</v>
      </c>
      <c r="B86" s="90" t="s">
        <v>1101</v>
      </c>
      <c r="C86" s="90" t="s">
        <v>1005</v>
      </c>
      <c r="D86" s="89">
        <v>45890</v>
      </c>
      <c r="E86" s="90">
        <v>1500</v>
      </c>
      <c r="F86" s="90">
        <v>0</v>
      </c>
      <c r="G86" s="90">
        <v>59953.120000000003</v>
      </c>
      <c r="H86" s="90" t="s">
        <v>1102</v>
      </c>
      <c r="I86" s="90"/>
      <c r="J86" s="90" t="s">
        <v>975</v>
      </c>
      <c r="K86" s="90" t="s">
        <v>91</v>
      </c>
      <c r="L86" s="39">
        <v>0.55000000000000004</v>
      </c>
      <c r="M86" s="90" t="s">
        <v>46</v>
      </c>
    </row>
    <row r="87" spans="1:13" x14ac:dyDescent="0.3">
      <c r="A87" s="101">
        <v>45890</v>
      </c>
      <c r="B87" s="102" t="s">
        <v>1103</v>
      </c>
      <c r="C87" s="102" t="s">
        <v>1005</v>
      </c>
      <c r="D87" s="101">
        <v>45890</v>
      </c>
      <c r="E87" s="102">
        <v>1000</v>
      </c>
      <c r="F87" s="102">
        <v>0</v>
      </c>
      <c r="G87" s="102">
        <v>58953.120000000003</v>
      </c>
      <c r="H87" s="102"/>
      <c r="I87" s="102"/>
      <c r="J87" s="102" t="s">
        <v>976</v>
      </c>
      <c r="K87" s="102" t="s">
        <v>1028</v>
      </c>
      <c r="L87" s="24">
        <v>0.85</v>
      </c>
      <c r="M87" s="102" t="s">
        <v>46</v>
      </c>
    </row>
    <row r="88" spans="1:13" x14ac:dyDescent="0.3">
      <c r="A88" s="101">
        <v>45891</v>
      </c>
      <c r="B88" s="102" t="s">
        <v>1104</v>
      </c>
      <c r="C88" s="102" t="s">
        <v>1005</v>
      </c>
      <c r="D88" s="101">
        <v>45891</v>
      </c>
      <c r="E88" s="102">
        <v>1000</v>
      </c>
      <c r="F88" s="102">
        <v>0</v>
      </c>
      <c r="G88" s="102">
        <v>57953.120000000003</v>
      </c>
      <c r="H88" s="102"/>
      <c r="I88" s="102"/>
      <c r="J88" s="102" t="s">
        <v>976</v>
      </c>
      <c r="K88" s="102" t="s">
        <v>1028</v>
      </c>
      <c r="L88" s="24">
        <v>0.85</v>
      </c>
      <c r="M88" s="102" t="s">
        <v>46</v>
      </c>
    </row>
    <row r="89" spans="1:13" x14ac:dyDescent="0.3">
      <c r="A89" s="101">
        <v>45892</v>
      </c>
      <c r="B89" s="102" t="s">
        <v>1105</v>
      </c>
      <c r="C89" s="102" t="s">
        <v>1005</v>
      </c>
      <c r="D89" s="101">
        <v>45892</v>
      </c>
      <c r="E89" s="102">
        <v>1000</v>
      </c>
      <c r="F89" s="102">
        <v>0</v>
      </c>
      <c r="G89" s="102">
        <v>56953.120000000003</v>
      </c>
      <c r="H89" s="102"/>
      <c r="I89" s="102"/>
      <c r="J89" s="102" t="s">
        <v>976</v>
      </c>
      <c r="K89" s="102" t="s">
        <v>1028</v>
      </c>
      <c r="L89" s="24">
        <v>0.85</v>
      </c>
      <c r="M89" s="102" t="s">
        <v>46</v>
      </c>
    </row>
    <row r="90" spans="1:13" x14ac:dyDescent="0.3">
      <c r="A90" s="89">
        <v>45892</v>
      </c>
      <c r="B90" s="90" t="s">
        <v>1106</v>
      </c>
      <c r="C90" s="90" t="s">
        <v>1005</v>
      </c>
      <c r="D90" s="89">
        <v>45892</v>
      </c>
      <c r="E90" s="90">
        <v>200</v>
      </c>
      <c r="F90" s="90">
        <v>0</v>
      </c>
      <c r="G90" s="90">
        <v>56753.120000000003</v>
      </c>
      <c r="H90" s="90" t="s">
        <v>1107</v>
      </c>
      <c r="I90" s="90"/>
      <c r="J90" s="90" t="s">
        <v>975</v>
      </c>
      <c r="K90" s="90" t="s">
        <v>91</v>
      </c>
      <c r="L90" s="39">
        <v>0.55000000000000004</v>
      </c>
      <c r="M90" s="90" t="s">
        <v>46</v>
      </c>
    </row>
    <row r="91" spans="1:13" x14ac:dyDescent="0.3">
      <c r="A91" s="89">
        <v>45892</v>
      </c>
      <c r="B91" s="90" t="s">
        <v>1108</v>
      </c>
      <c r="C91" s="90" t="s">
        <v>1005</v>
      </c>
      <c r="D91" s="89">
        <v>45892</v>
      </c>
      <c r="E91" s="90">
        <v>30</v>
      </c>
      <c r="F91" s="90">
        <v>0</v>
      </c>
      <c r="G91" s="90">
        <v>56723.12</v>
      </c>
      <c r="H91" s="90" t="s">
        <v>1109</v>
      </c>
      <c r="I91" s="90"/>
      <c r="J91" s="90" t="s">
        <v>975</v>
      </c>
      <c r="K91" s="90" t="s">
        <v>91</v>
      </c>
      <c r="L91" s="39">
        <v>0.55000000000000004</v>
      </c>
      <c r="M91" s="90" t="s">
        <v>46</v>
      </c>
    </row>
    <row r="92" spans="1:13" x14ac:dyDescent="0.3">
      <c r="A92" s="101">
        <v>45892</v>
      </c>
      <c r="B92" s="102" t="s">
        <v>1110</v>
      </c>
      <c r="C92" s="102" t="s">
        <v>1005</v>
      </c>
      <c r="D92" s="101">
        <v>45892</v>
      </c>
      <c r="E92" s="102">
        <v>1000</v>
      </c>
      <c r="F92" s="102">
        <v>0</v>
      </c>
      <c r="G92" s="102">
        <v>55723.12</v>
      </c>
      <c r="H92" s="102"/>
      <c r="I92" s="102"/>
      <c r="J92" s="102" t="s">
        <v>976</v>
      </c>
      <c r="K92" s="102" t="s">
        <v>1028</v>
      </c>
      <c r="L92" s="24">
        <v>0.85</v>
      </c>
      <c r="M92" s="102" t="s">
        <v>46</v>
      </c>
    </row>
    <row r="93" spans="1:13" x14ac:dyDescent="0.3">
      <c r="A93" s="101">
        <v>45894</v>
      </c>
      <c r="B93" s="102" t="s">
        <v>1111</v>
      </c>
      <c r="C93" s="102" t="s">
        <v>1005</v>
      </c>
      <c r="D93" s="101">
        <v>45894</v>
      </c>
      <c r="E93" s="102">
        <v>1875.87</v>
      </c>
      <c r="F93" s="102">
        <v>0</v>
      </c>
      <c r="G93" s="102">
        <v>53847.25</v>
      </c>
      <c r="H93" s="102"/>
      <c r="I93" s="102"/>
      <c r="J93" s="102" t="s">
        <v>976</v>
      </c>
      <c r="K93" s="102" t="s">
        <v>1028</v>
      </c>
      <c r="L93" s="24">
        <v>0.85</v>
      </c>
      <c r="M93" s="102" t="s">
        <v>46</v>
      </c>
    </row>
    <row r="94" spans="1:13" x14ac:dyDescent="0.3">
      <c r="A94" s="89">
        <v>45895</v>
      </c>
      <c r="B94" s="90" t="s">
        <v>1112</v>
      </c>
      <c r="C94" s="90" t="s">
        <v>1005</v>
      </c>
      <c r="D94" s="89">
        <v>45895</v>
      </c>
      <c r="E94" s="90">
        <v>87</v>
      </c>
      <c r="F94" s="90">
        <v>0</v>
      </c>
      <c r="G94" s="90">
        <v>53760.25</v>
      </c>
      <c r="H94" s="90" t="s">
        <v>1113</v>
      </c>
      <c r="I94" s="90"/>
      <c r="J94" s="90" t="s">
        <v>975</v>
      </c>
      <c r="K94" s="90" t="s">
        <v>91</v>
      </c>
      <c r="L94" s="39">
        <v>0.55000000000000004</v>
      </c>
      <c r="M94" s="90" t="s">
        <v>46</v>
      </c>
    </row>
    <row r="95" spans="1:13" x14ac:dyDescent="0.3">
      <c r="A95" s="89">
        <v>45895</v>
      </c>
      <c r="B95" s="90" t="s">
        <v>1114</v>
      </c>
      <c r="C95" s="90" t="s">
        <v>1005</v>
      </c>
      <c r="D95" s="89">
        <v>45895</v>
      </c>
      <c r="E95" s="90">
        <v>80</v>
      </c>
      <c r="F95" s="90">
        <v>0</v>
      </c>
      <c r="G95" s="90">
        <v>53680.25</v>
      </c>
      <c r="H95" s="90" t="s">
        <v>1115</v>
      </c>
      <c r="I95" s="90"/>
      <c r="J95" s="90" t="s">
        <v>975</v>
      </c>
      <c r="K95" s="90" t="s">
        <v>91</v>
      </c>
      <c r="L95" s="39">
        <v>0.55000000000000004</v>
      </c>
      <c r="M95" s="90" t="s">
        <v>46</v>
      </c>
    </row>
    <row r="96" spans="1:13" x14ac:dyDescent="0.3">
      <c r="A96" s="89">
        <v>45896</v>
      </c>
      <c r="B96" s="90" t="s">
        <v>1116</v>
      </c>
      <c r="C96" s="90" t="s">
        <v>1005</v>
      </c>
      <c r="D96" s="89">
        <v>45896</v>
      </c>
      <c r="E96" s="90">
        <v>150</v>
      </c>
      <c r="F96" s="90">
        <v>0</v>
      </c>
      <c r="G96" s="90">
        <v>53530.25</v>
      </c>
      <c r="H96" s="90" t="s">
        <v>1117</v>
      </c>
      <c r="I96" s="90"/>
      <c r="J96" s="90" t="s">
        <v>975</v>
      </c>
      <c r="K96" s="90" t="s">
        <v>91</v>
      </c>
      <c r="L96" s="39">
        <v>0.55000000000000004</v>
      </c>
      <c r="M96" s="90" t="s">
        <v>46</v>
      </c>
    </row>
    <row r="97" spans="1:13" x14ac:dyDescent="0.3">
      <c r="A97" s="89">
        <v>45896</v>
      </c>
      <c r="B97" s="90" t="s">
        <v>1118</v>
      </c>
      <c r="C97" s="90" t="s">
        <v>1005</v>
      </c>
      <c r="D97" s="89">
        <v>45896</v>
      </c>
      <c r="E97" s="90">
        <v>100</v>
      </c>
      <c r="F97" s="90">
        <v>0</v>
      </c>
      <c r="G97" s="90">
        <v>53430.25</v>
      </c>
      <c r="H97" s="90" t="s">
        <v>1119</v>
      </c>
      <c r="I97" s="90"/>
      <c r="J97" s="90" t="s">
        <v>975</v>
      </c>
      <c r="K97" s="90" t="s">
        <v>91</v>
      </c>
      <c r="L97" s="39">
        <v>0.55000000000000004</v>
      </c>
      <c r="M97" s="90" t="s">
        <v>46</v>
      </c>
    </row>
    <row r="98" spans="1:13" x14ac:dyDescent="0.3">
      <c r="A98" s="89">
        <v>45896</v>
      </c>
      <c r="B98" s="90" t="s">
        <v>1120</v>
      </c>
      <c r="C98" s="90" t="s">
        <v>1005</v>
      </c>
      <c r="D98" s="89">
        <v>45896</v>
      </c>
      <c r="E98" s="90">
        <v>67</v>
      </c>
      <c r="F98" s="90">
        <v>0</v>
      </c>
      <c r="G98" s="90">
        <v>53363.25</v>
      </c>
      <c r="H98" s="90" t="s">
        <v>1121</v>
      </c>
      <c r="I98" s="90"/>
      <c r="J98" s="90" t="s">
        <v>975</v>
      </c>
      <c r="K98" s="90" t="s">
        <v>91</v>
      </c>
      <c r="L98" s="39">
        <v>0.55000000000000004</v>
      </c>
      <c r="M98" s="90" t="s">
        <v>46</v>
      </c>
    </row>
    <row r="99" spans="1:13" x14ac:dyDescent="0.3">
      <c r="A99" s="89">
        <v>45896</v>
      </c>
      <c r="B99" s="90" t="s">
        <v>1122</v>
      </c>
      <c r="C99" s="90" t="s">
        <v>1005</v>
      </c>
      <c r="D99" s="89">
        <v>45896</v>
      </c>
      <c r="E99" s="90">
        <v>210</v>
      </c>
      <c r="F99" s="90">
        <v>0</v>
      </c>
      <c r="G99" s="90">
        <v>53153.25</v>
      </c>
      <c r="H99" s="90" t="s">
        <v>1123</v>
      </c>
      <c r="I99" s="90"/>
      <c r="J99" s="90" t="s">
        <v>975</v>
      </c>
      <c r="K99" s="90" t="s">
        <v>91</v>
      </c>
      <c r="L99" s="39">
        <v>0.55000000000000004</v>
      </c>
      <c r="M99" s="90" t="s">
        <v>46</v>
      </c>
    </row>
    <row r="100" spans="1:13" x14ac:dyDescent="0.3">
      <c r="A100" s="89">
        <v>45896</v>
      </c>
      <c r="B100" s="90" t="s">
        <v>1124</v>
      </c>
      <c r="C100" s="90" t="s">
        <v>1005</v>
      </c>
      <c r="D100" s="89">
        <v>45896</v>
      </c>
      <c r="E100" s="90">
        <v>150</v>
      </c>
      <c r="F100" s="90">
        <v>0</v>
      </c>
      <c r="G100" s="90">
        <v>53003.25</v>
      </c>
      <c r="H100" s="90" t="s">
        <v>1125</v>
      </c>
      <c r="I100" s="90"/>
      <c r="J100" s="90" t="s">
        <v>975</v>
      </c>
      <c r="K100" s="90" t="s">
        <v>91</v>
      </c>
      <c r="L100" s="39">
        <v>0.55000000000000004</v>
      </c>
      <c r="M100" s="90" t="s">
        <v>46</v>
      </c>
    </row>
    <row r="101" spans="1:13" x14ac:dyDescent="0.3">
      <c r="A101" s="89">
        <v>45896</v>
      </c>
      <c r="B101" s="90" t="s">
        <v>1126</v>
      </c>
      <c r="C101" s="90" t="s">
        <v>1005</v>
      </c>
      <c r="D101" s="89">
        <v>45896</v>
      </c>
      <c r="E101" s="90">
        <v>87</v>
      </c>
      <c r="F101" s="90">
        <v>0</v>
      </c>
      <c r="G101" s="90">
        <v>52916.25</v>
      </c>
      <c r="H101" s="90" t="s">
        <v>1127</v>
      </c>
      <c r="I101" s="90"/>
      <c r="J101" s="90" t="s">
        <v>975</v>
      </c>
      <c r="K101" s="90" t="s">
        <v>91</v>
      </c>
      <c r="L101" s="39">
        <v>0.55000000000000004</v>
      </c>
      <c r="M101" s="90" t="s">
        <v>46</v>
      </c>
    </row>
    <row r="102" spans="1:13" x14ac:dyDescent="0.3">
      <c r="A102" s="89">
        <v>45897</v>
      </c>
      <c r="B102" s="90" t="s">
        <v>1128</v>
      </c>
      <c r="C102" s="90" t="s">
        <v>1005</v>
      </c>
      <c r="D102" s="89">
        <v>45897</v>
      </c>
      <c r="E102" s="90">
        <v>181</v>
      </c>
      <c r="F102" s="90">
        <v>0</v>
      </c>
      <c r="G102" s="90">
        <v>52735.25</v>
      </c>
      <c r="H102" s="90" t="s">
        <v>1129</v>
      </c>
      <c r="I102" s="90"/>
      <c r="J102" s="90" t="s">
        <v>975</v>
      </c>
      <c r="K102" s="90" t="s">
        <v>91</v>
      </c>
      <c r="L102" s="39">
        <v>0.55000000000000004</v>
      </c>
      <c r="M102" s="90" t="s">
        <v>46</v>
      </c>
    </row>
    <row r="103" spans="1:13" x14ac:dyDescent="0.3">
      <c r="A103" s="89">
        <v>45897</v>
      </c>
      <c r="B103" s="90" t="s">
        <v>1130</v>
      </c>
      <c r="C103" s="90" t="s">
        <v>1005</v>
      </c>
      <c r="D103" s="89">
        <v>45897</v>
      </c>
      <c r="E103" s="90">
        <v>25</v>
      </c>
      <c r="F103" s="90">
        <v>0</v>
      </c>
      <c r="G103" s="90">
        <v>52710.25</v>
      </c>
      <c r="H103" s="90" t="s">
        <v>1131</v>
      </c>
      <c r="I103" s="90"/>
      <c r="J103" s="90" t="s">
        <v>975</v>
      </c>
      <c r="K103" s="90" t="s">
        <v>91</v>
      </c>
      <c r="L103" s="39">
        <v>0.55000000000000004</v>
      </c>
      <c r="M103" s="90" t="s">
        <v>46</v>
      </c>
    </row>
    <row r="104" spans="1:13" x14ac:dyDescent="0.3">
      <c r="A104" s="89">
        <v>45897</v>
      </c>
      <c r="B104" s="90" t="s">
        <v>1132</v>
      </c>
      <c r="C104" s="90" t="s">
        <v>1005</v>
      </c>
      <c r="D104" s="89">
        <v>45897</v>
      </c>
      <c r="E104" s="90">
        <v>95</v>
      </c>
      <c r="F104" s="90">
        <v>0</v>
      </c>
      <c r="G104" s="90">
        <v>52615.25</v>
      </c>
      <c r="H104" s="90" t="s">
        <v>1133</v>
      </c>
      <c r="I104" s="90"/>
      <c r="J104" s="90" t="s">
        <v>975</v>
      </c>
      <c r="K104" s="90" t="s">
        <v>91</v>
      </c>
      <c r="L104" s="39">
        <v>0.55000000000000004</v>
      </c>
      <c r="M104" s="90" t="s">
        <v>46</v>
      </c>
    </row>
    <row r="105" spans="1:13" x14ac:dyDescent="0.3">
      <c r="A105" s="89">
        <v>45897</v>
      </c>
      <c r="B105" s="90" t="s">
        <v>1134</v>
      </c>
      <c r="C105" s="90" t="s">
        <v>1005</v>
      </c>
      <c r="D105" s="89">
        <v>45897</v>
      </c>
      <c r="E105" s="90">
        <v>100</v>
      </c>
      <c r="F105" s="90">
        <v>0</v>
      </c>
      <c r="G105" s="90">
        <v>52515.25</v>
      </c>
      <c r="H105" s="90" t="s">
        <v>1135</v>
      </c>
      <c r="I105" s="90"/>
      <c r="J105" s="90" t="s">
        <v>975</v>
      </c>
      <c r="K105" s="90" t="s">
        <v>91</v>
      </c>
      <c r="L105" s="39">
        <v>0.55000000000000004</v>
      </c>
      <c r="M105" s="90" t="s">
        <v>46</v>
      </c>
    </row>
    <row r="106" spans="1:13" x14ac:dyDescent="0.3">
      <c r="A106" s="43">
        <v>45898</v>
      </c>
      <c r="B106" s="44" t="s">
        <v>1136</v>
      </c>
      <c r="C106" s="44" t="s">
        <v>1005</v>
      </c>
      <c r="D106" s="43">
        <v>45898</v>
      </c>
      <c r="E106" s="44">
        <v>800</v>
      </c>
      <c r="F106" s="44">
        <v>0</v>
      </c>
      <c r="G106" s="44">
        <v>51715.25</v>
      </c>
      <c r="H106" s="44"/>
      <c r="I106" s="44"/>
      <c r="J106" s="44" t="s">
        <v>984</v>
      </c>
      <c r="K106" s="44" t="s">
        <v>137</v>
      </c>
      <c r="L106" s="24">
        <v>0.85</v>
      </c>
      <c r="M106" s="44" t="s">
        <v>46</v>
      </c>
    </row>
    <row r="107" spans="1:13" x14ac:dyDescent="0.3">
      <c r="A107" s="89">
        <v>45898</v>
      </c>
      <c r="B107" s="90" t="s">
        <v>1137</v>
      </c>
      <c r="C107" s="90" t="s">
        <v>1005</v>
      </c>
      <c r="D107" s="89">
        <v>45898</v>
      </c>
      <c r="E107" s="90">
        <v>80</v>
      </c>
      <c r="F107" s="90">
        <v>0</v>
      </c>
      <c r="G107" s="90">
        <v>51635.25</v>
      </c>
      <c r="H107" s="90" t="s">
        <v>1138</v>
      </c>
      <c r="I107" s="90"/>
      <c r="J107" s="90" t="s">
        <v>975</v>
      </c>
      <c r="K107" s="90" t="s">
        <v>91</v>
      </c>
      <c r="L107" s="39">
        <v>0.55000000000000004</v>
      </c>
      <c r="M107" s="90" t="s">
        <v>46</v>
      </c>
    </row>
    <row r="108" spans="1:13" x14ac:dyDescent="0.3">
      <c r="A108" s="89">
        <v>45898</v>
      </c>
      <c r="B108" s="90" t="s">
        <v>1139</v>
      </c>
      <c r="C108" s="90" t="s">
        <v>1005</v>
      </c>
      <c r="D108" s="89">
        <v>45898</v>
      </c>
      <c r="E108" s="90">
        <v>15</v>
      </c>
      <c r="F108" s="90">
        <v>0</v>
      </c>
      <c r="G108" s="90">
        <v>51620.25</v>
      </c>
      <c r="H108" s="90" t="s">
        <v>1140</v>
      </c>
      <c r="I108" s="90"/>
      <c r="J108" s="90" t="s">
        <v>975</v>
      </c>
      <c r="K108" s="90" t="s">
        <v>91</v>
      </c>
      <c r="L108" s="39">
        <v>0.55000000000000004</v>
      </c>
      <c r="M108" s="90" t="s">
        <v>46</v>
      </c>
    </row>
    <row r="109" spans="1:13" x14ac:dyDescent="0.3">
      <c r="A109" s="89">
        <v>45899</v>
      </c>
      <c r="B109" s="90" t="s">
        <v>1141</v>
      </c>
      <c r="C109" s="90" t="s">
        <v>1005</v>
      </c>
      <c r="D109" s="89">
        <v>45899</v>
      </c>
      <c r="E109" s="90">
        <v>27</v>
      </c>
      <c r="F109" s="90">
        <v>0</v>
      </c>
      <c r="G109" s="90">
        <v>51593.25</v>
      </c>
      <c r="H109" s="90" t="s">
        <v>1142</v>
      </c>
      <c r="I109" s="90"/>
      <c r="J109" s="90" t="s">
        <v>975</v>
      </c>
      <c r="K109" s="90" t="s">
        <v>91</v>
      </c>
      <c r="L109" s="39">
        <v>0.55000000000000004</v>
      </c>
      <c r="M109" s="90" t="s">
        <v>46</v>
      </c>
    </row>
    <row r="110" spans="1:13" x14ac:dyDescent="0.3">
      <c r="A110" s="101">
        <v>45899</v>
      </c>
      <c r="B110" s="102" t="s">
        <v>1143</v>
      </c>
      <c r="C110" s="102" t="s">
        <v>1005</v>
      </c>
      <c r="D110" s="101">
        <v>45899</v>
      </c>
      <c r="E110" s="102">
        <v>1000</v>
      </c>
      <c r="F110" s="102">
        <v>0</v>
      </c>
      <c r="G110" s="102">
        <v>50593.25</v>
      </c>
      <c r="H110" s="102"/>
      <c r="I110" s="102"/>
      <c r="J110" s="102" t="s">
        <v>976</v>
      </c>
      <c r="K110" s="102" t="s">
        <v>1028</v>
      </c>
      <c r="L110" s="24">
        <v>0.85</v>
      </c>
      <c r="M110" s="102" t="s">
        <v>46</v>
      </c>
    </row>
    <row r="111" spans="1:13" x14ac:dyDescent="0.3">
      <c r="A111" s="99">
        <v>45900</v>
      </c>
      <c r="B111" s="100" t="s">
        <v>1144</v>
      </c>
      <c r="C111" s="100" t="s">
        <v>1005</v>
      </c>
      <c r="D111" s="99">
        <v>45900</v>
      </c>
      <c r="E111" s="100">
        <v>310</v>
      </c>
      <c r="F111" s="100">
        <v>0</v>
      </c>
      <c r="G111" s="100">
        <v>50283.25</v>
      </c>
      <c r="H111" s="100"/>
      <c r="I111" s="100"/>
      <c r="J111" s="100" t="s">
        <v>981</v>
      </c>
      <c r="K111" s="100" t="s">
        <v>1053</v>
      </c>
      <c r="L111" s="40">
        <v>0.8</v>
      </c>
      <c r="M111" s="100" t="s">
        <v>46</v>
      </c>
    </row>
    <row r="112" spans="1:13" x14ac:dyDescent="0.3">
      <c r="A112" s="47">
        <v>45900</v>
      </c>
      <c r="B112" s="48" t="s">
        <v>1145</v>
      </c>
      <c r="C112" s="48" t="s">
        <v>1005</v>
      </c>
      <c r="D112" s="47">
        <v>45900</v>
      </c>
      <c r="E112" s="48">
        <v>1</v>
      </c>
      <c r="F112" s="48">
        <v>0</v>
      </c>
      <c r="G112" s="48">
        <v>50282.25</v>
      </c>
      <c r="H112" s="48"/>
      <c r="I112" s="48"/>
      <c r="J112" s="48" t="s">
        <v>24</v>
      </c>
      <c r="K112" s="48" t="s">
        <v>157</v>
      </c>
      <c r="L112" s="24">
        <v>0.88</v>
      </c>
      <c r="M112" s="48" t="s">
        <v>46</v>
      </c>
    </row>
    <row r="113" spans="1:13" x14ac:dyDescent="0.3">
      <c r="A113" s="47">
        <v>45901</v>
      </c>
      <c r="B113" s="48" t="s">
        <v>1145</v>
      </c>
      <c r="C113" s="48" t="s">
        <v>1005</v>
      </c>
      <c r="D113" s="47">
        <v>45901</v>
      </c>
      <c r="E113" s="48">
        <v>20000</v>
      </c>
      <c r="F113" s="48">
        <v>0</v>
      </c>
      <c r="G113" s="48">
        <v>30282.25</v>
      </c>
      <c r="H113" s="48"/>
      <c r="I113" s="48"/>
      <c r="J113" s="48" t="s">
        <v>24</v>
      </c>
      <c r="K113" s="48" t="s">
        <v>157</v>
      </c>
      <c r="L113" s="24">
        <v>0.88</v>
      </c>
      <c r="M113" s="48" t="s">
        <v>46</v>
      </c>
    </row>
    <row r="114" spans="1:13" x14ac:dyDescent="0.3">
      <c r="A114" s="27">
        <v>45901</v>
      </c>
      <c r="B114" s="28" t="s">
        <v>1146</v>
      </c>
      <c r="C114" s="28" t="s">
        <v>1005</v>
      </c>
      <c r="D114" s="27">
        <v>45901</v>
      </c>
      <c r="E114" s="28">
        <v>25000</v>
      </c>
      <c r="F114" s="28">
        <v>0</v>
      </c>
      <c r="G114" s="28">
        <v>5282.25</v>
      </c>
      <c r="H114" s="28"/>
      <c r="I114" s="28"/>
      <c r="J114" s="28" t="s">
        <v>30</v>
      </c>
      <c r="K114" s="28" t="s">
        <v>837</v>
      </c>
      <c r="L114" s="24">
        <v>0.9</v>
      </c>
      <c r="M114" s="28" t="s">
        <v>46</v>
      </c>
    </row>
    <row r="115" spans="1:13" x14ac:dyDescent="0.3">
      <c r="A115" s="78">
        <v>45901</v>
      </c>
      <c r="B115" s="79" t="s">
        <v>1147</v>
      </c>
      <c r="C115" s="79" t="s">
        <v>1005</v>
      </c>
      <c r="D115" s="78">
        <v>45901</v>
      </c>
      <c r="E115" s="79">
        <v>0</v>
      </c>
      <c r="F115" s="79">
        <v>114240</v>
      </c>
      <c r="G115" s="79">
        <v>119522.25</v>
      </c>
      <c r="H115" s="79"/>
      <c r="I115" s="79"/>
      <c r="J115" s="79" t="s">
        <v>972</v>
      </c>
      <c r="K115" s="79" t="s">
        <v>972</v>
      </c>
      <c r="L115" s="24">
        <v>0.97</v>
      </c>
      <c r="M115" s="79" t="s">
        <v>46</v>
      </c>
    </row>
    <row r="116" spans="1:13" x14ac:dyDescent="0.3">
      <c r="A116" s="27">
        <v>45901</v>
      </c>
      <c r="B116" s="28" t="s">
        <v>1148</v>
      </c>
      <c r="C116" s="28" t="s">
        <v>1005</v>
      </c>
      <c r="D116" s="27">
        <v>45901</v>
      </c>
      <c r="E116" s="28">
        <v>40000</v>
      </c>
      <c r="F116" s="28">
        <v>0</v>
      </c>
      <c r="G116" s="28">
        <v>79522.25</v>
      </c>
      <c r="H116" s="28"/>
      <c r="I116" s="28"/>
      <c r="J116" s="28" t="s">
        <v>30</v>
      </c>
      <c r="K116" s="28" t="s">
        <v>837</v>
      </c>
      <c r="L116" s="24">
        <v>0.9</v>
      </c>
      <c r="M116" s="28" t="s">
        <v>46</v>
      </c>
    </row>
    <row r="117" spans="1:13" x14ac:dyDescent="0.3">
      <c r="A117" s="51">
        <v>45901</v>
      </c>
      <c r="B117" s="52" t="s">
        <v>1149</v>
      </c>
      <c r="C117" s="52" t="s">
        <v>1005</v>
      </c>
      <c r="D117" s="51">
        <v>45901</v>
      </c>
      <c r="E117" s="52">
        <v>18200</v>
      </c>
      <c r="F117" s="52">
        <v>0</v>
      </c>
      <c r="G117" s="52">
        <v>61322.25</v>
      </c>
      <c r="H117" s="52"/>
      <c r="I117" s="52"/>
      <c r="J117" s="52" t="s">
        <v>18</v>
      </c>
      <c r="K117" s="52" t="s">
        <v>181</v>
      </c>
      <c r="L117" s="24">
        <v>0.85</v>
      </c>
      <c r="M117" s="52" t="s">
        <v>46</v>
      </c>
    </row>
    <row r="118" spans="1:13" x14ac:dyDescent="0.3">
      <c r="A118" s="47">
        <v>45901</v>
      </c>
      <c r="B118" s="48" t="s">
        <v>1150</v>
      </c>
      <c r="C118" s="48" t="s">
        <v>1005</v>
      </c>
      <c r="D118" s="47">
        <v>45901</v>
      </c>
      <c r="E118" s="48">
        <v>0</v>
      </c>
      <c r="F118" s="48">
        <v>20000</v>
      </c>
      <c r="G118" s="48">
        <v>81322.25</v>
      </c>
      <c r="H118" s="48"/>
      <c r="I118" s="48"/>
      <c r="J118" s="48" t="s">
        <v>16</v>
      </c>
      <c r="K118" s="48" t="s">
        <v>157</v>
      </c>
      <c r="L118" s="24">
        <v>0.88</v>
      </c>
      <c r="M118" s="48" t="s">
        <v>46</v>
      </c>
    </row>
    <row r="119" spans="1:13" x14ac:dyDescent="0.3">
      <c r="A119" s="89">
        <v>45902</v>
      </c>
      <c r="B119" s="90" t="s">
        <v>1151</v>
      </c>
      <c r="C119" s="90" t="s">
        <v>1005</v>
      </c>
      <c r="D119" s="89">
        <v>45902</v>
      </c>
      <c r="E119" s="90">
        <v>315</v>
      </c>
      <c r="F119" s="90">
        <v>0</v>
      </c>
      <c r="G119" s="90">
        <v>81007.25</v>
      </c>
      <c r="H119" s="90" t="s">
        <v>1102</v>
      </c>
      <c r="I119" s="90"/>
      <c r="J119" s="90" t="s">
        <v>975</v>
      </c>
      <c r="K119" s="90" t="s">
        <v>91</v>
      </c>
      <c r="L119" s="39">
        <v>0.55000000000000004</v>
      </c>
      <c r="M119" s="90" t="s">
        <v>46</v>
      </c>
    </row>
    <row r="120" spans="1:13" x14ac:dyDescent="0.3">
      <c r="A120" s="89">
        <v>45902</v>
      </c>
      <c r="B120" s="90" t="s">
        <v>1152</v>
      </c>
      <c r="C120" s="90" t="s">
        <v>1005</v>
      </c>
      <c r="D120" s="89">
        <v>45902</v>
      </c>
      <c r="E120" s="90">
        <v>347.56</v>
      </c>
      <c r="F120" s="90">
        <v>0</v>
      </c>
      <c r="G120" s="90">
        <v>80659.69</v>
      </c>
      <c r="H120" s="90" t="s">
        <v>1153</v>
      </c>
      <c r="I120" s="90"/>
      <c r="J120" s="90" t="s">
        <v>975</v>
      </c>
      <c r="K120" s="90" t="s">
        <v>91</v>
      </c>
      <c r="L120" s="39">
        <v>0.55000000000000004</v>
      </c>
      <c r="M120" s="90" t="s">
        <v>46</v>
      </c>
    </row>
    <row r="121" spans="1:13" x14ac:dyDescent="0.3">
      <c r="A121" s="89">
        <v>45903</v>
      </c>
      <c r="B121" s="90" t="s">
        <v>1154</v>
      </c>
      <c r="C121" s="90" t="s">
        <v>1005</v>
      </c>
      <c r="D121" s="89">
        <v>45903</v>
      </c>
      <c r="E121" s="90">
        <v>412</v>
      </c>
      <c r="F121" s="90">
        <v>0</v>
      </c>
      <c r="G121" s="90">
        <v>80247.69</v>
      </c>
      <c r="H121" s="90" t="s">
        <v>1155</v>
      </c>
      <c r="I121" s="90"/>
      <c r="J121" s="90" t="s">
        <v>975</v>
      </c>
      <c r="K121" s="90" t="s">
        <v>91</v>
      </c>
      <c r="L121" s="39">
        <v>0.55000000000000004</v>
      </c>
      <c r="M121" s="90" t="s">
        <v>46</v>
      </c>
    </row>
    <row r="122" spans="1:13" x14ac:dyDescent="0.3">
      <c r="A122" s="89">
        <v>45906</v>
      </c>
      <c r="B122" s="90" t="s">
        <v>1156</v>
      </c>
      <c r="C122" s="90" t="s">
        <v>1005</v>
      </c>
      <c r="D122" s="89">
        <v>45906</v>
      </c>
      <c r="E122" s="90">
        <v>25</v>
      </c>
      <c r="F122" s="90">
        <v>0</v>
      </c>
      <c r="G122" s="90">
        <v>80222.69</v>
      </c>
      <c r="H122" s="90" t="s">
        <v>1157</v>
      </c>
      <c r="I122" s="90"/>
      <c r="J122" s="90" t="s">
        <v>975</v>
      </c>
      <c r="K122" s="90" t="s">
        <v>91</v>
      </c>
      <c r="L122" s="39">
        <v>0.55000000000000004</v>
      </c>
      <c r="M122" s="90" t="s">
        <v>46</v>
      </c>
    </row>
    <row r="123" spans="1:13" x14ac:dyDescent="0.3">
      <c r="A123" s="101">
        <v>45906</v>
      </c>
      <c r="B123" s="102" t="s">
        <v>1158</v>
      </c>
      <c r="C123" s="102" t="s">
        <v>1005</v>
      </c>
      <c r="D123" s="101">
        <v>45906</v>
      </c>
      <c r="E123" s="102">
        <v>1000</v>
      </c>
      <c r="F123" s="102">
        <v>0</v>
      </c>
      <c r="G123" s="102">
        <v>79222.69</v>
      </c>
      <c r="H123" s="102"/>
      <c r="I123" s="102"/>
      <c r="J123" s="102" t="s">
        <v>976</v>
      </c>
      <c r="K123" s="102" t="s">
        <v>1028</v>
      </c>
      <c r="L123" s="24">
        <v>0.85</v>
      </c>
      <c r="M123" s="102" t="s">
        <v>46</v>
      </c>
    </row>
    <row r="124" spans="1:13" x14ac:dyDescent="0.3">
      <c r="A124" s="101">
        <v>45907</v>
      </c>
      <c r="B124" s="102" t="s">
        <v>1159</v>
      </c>
      <c r="C124" s="102" t="s">
        <v>1005</v>
      </c>
      <c r="D124" s="101">
        <v>45907</v>
      </c>
      <c r="E124" s="102">
        <v>1000</v>
      </c>
      <c r="F124" s="102">
        <v>0</v>
      </c>
      <c r="G124" s="102">
        <v>78222.69</v>
      </c>
      <c r="H124" s="102"/>
      <c r="I124" s="102"/>
      <c r="J124" s="102" t="s">
        <v>976</v>
      </c>
      <c r="K124" s="102" t="s">
        <v>1028</v>
      </c>
      <c r="L124" s="24">
        <v>0.85</v>
      </c>
      <c r="M124" s="102" t="s">
        <v>46</v>
      </c>
    </row>
    <row r="125" spans="1:13" x14ac:dyDescent="0.3">
      <c r="A125" s="89">
        <v>45907</v>
      </c>
      <c r="B125" s="90" t="s">
        <v>1160</v>
      </c>
      <c r="C125" s="90" t="s">
        <v>1005</v>
      </c>
      <c r="D125" s="89">
        <v>45907</v>
      </c>
      <c r="E125" s="90">
        <v>310</v>
      </c>
      <c r="F125" s="90">
        <v>0</v>
      </c>
      <c r="G125" s="90">
        <v>77912.69</v>
      </c>
      <c r="H125" s="90" t="s">
        <v>1161</v>
      </c>
      <c r="I125" s="90"/>
      <c r="J125" s="90" t="s">
        <v>975</v>
      </c>
      <c r="K125" s="90" t="s">
        <v>91</v>
      </c>
      <c r="L125" s="39">
        <v>0.55000000000000004</v>
      </c>
      <c r="M125" s="90" t="s">
        <v>46</v>
      </c>
    </row>
    <row r="126" spans="1:13" x14ac:dyDescent="0.3">
      <c r="A126" s="89">
        <v>45908</v>
      </c>
      <c r="B126" s="90" t="s">
        <v>1162</v>
      </c>
      <c r="C126" s="90" t="s">
        <v>1005</v>
      </c>
      <c r="D126" s="89">
        <v>45908</v>
      </c>
      <c r="E126" s="90">
        <v>800</v>
      </c>
      <c r="F126" s="90">
        <v>0</v>
      </c>
      <c r="G126" s="90">
        <v>77112.69</v>
      </c>
      <c r="H126" s="90" t="s">
        <v>1163</v>
      </c>
      <c r="I126" s="90"/>
      <c r="J126" s="90" t="s">
        <v>975</v>
      </c>
      <c r="K126" s="90" t="s">
        <v>91</v>
      </c>
      <c r="L126" s="39">
        <v>0.55000000000000004</v>
      </c>
      <c r="M126" s="90" t="s">
        <v>46</v>
      </c>
    </row>
    <row r="127" spans="1:13" x14ac:dyDescent="0.3">
      <c r="A127" s="101">
        <v>45909</v>
      </c>
      <c r="B127" s="102" t="s">
        <v>1164</v>
      </c>
      <c r="C127" s="102" t="s">
        <v>1005</v>
      </c>
      <c r="D127" s="101">
        <v>45909</v>
      </c>
      <c r="E127" s="102">
        <v>1000</v>
      </c>
      <c r="F127" s="102">
        <v>0</v>
      </c>
      <c r="G127" s="102">
        <v>76112.69</v>
      </c>
      <c r="H127" s="102"/>
      <c r="I127" s="102"/>
      <c r="J127" s="102" t="s">
        <v>976</v>
      </c>
      <c r="K127" s="102" t="s">
        <v>1028</v>
      </c>
      <c r="L127" s="24">
        <v>0.85</v>
      </c>
      <c r="M127" s="102" t="s">
        <v>46</v>
      </c>
    </row>
    <row r="128" spans="1:13" x14ac:dyDescent="0.3">
      <c r="A128" s="83">
        <v>45909</v>
      </c>
      <c r="B128" s="84" t="s">
        <v>1165</v>
      </c>
      <c r="C128" s="84" t="s">
        <v>1005</v>
      </c>
      <c r="D128" s="83">
        <v>45909</v>
      </c>
      <c r="E128" s="84">
        <v>1418.6</v>
      </c>
      <c r="F128" s="84">
        <v>0</v>
      </c>
      <c r="G128" s="84">
        <v>74694.09</v>
      </c>
      <c r="H128" s="84"/>
      <c r="I128" s="84"/>
      <c r="J128" s="84" t="s">
        <v>973</v>
      </c>
      <c r="K128" s="84" t="s">
        <v>1014</v>
      </c>
      <c r="L128" s="40">
        <v>0.68</v>
      </c>
      <c r="M128" s="84" t="s">
        <v>46</v>
      </c>
    </row>
    <row r="129" spans="1:13" x14ac:dyDescent="0.3">
      <c r="A129" s="101">
        <v>45910</v>
      </c>
      <c r="B129" s="102" t="s">
        <v>1166</v>
      </c>
      <c r="C129" s="102" t="s">
        <v>1005</v>
      </c>
      <c r="D129" s="101">
        <v>45910</v>
      </c>
      <c r="E129" s="102">
        <v>1000</v>
      </c>
      <c r="F129" s="102">
        <v>0</v>
      </c>
      <c r="G129" s="102">
        <v>73694.09</v>
      </c>
      <c r="H129" s="102"/>
      <c r="I129" s="102"/>
      <c r="J129" s="102" t="s">
        <v>976</v>
      </c>
      <c r="K129" s="102" t="s">
        <v>1028</v>
      </c>
      <c r="L129" s="24">
        <v>0.85</v>
      </c>
      <c r="M129" s="102" t="s">
        <v>46</v>
      </c>
    </row>
    <row r="130" spans="1:13" x14ac:dyDescent="0.3">
      <c r="A130" s="101">
        <v>45910</v>
      </c>
      <c r="B130" s="102" t="s">
        <v>1167</v>
      </c>
      <c r="C130" s="102" t="s">
        <v>1005</v>
      </c>
      <c r="D130" s="101">
        <v>45910</v>
      </c>
      <c r="E130" s="102">
        <v>300</v>
      </c>
      <c r="F130" s="102">
        <v>0</v>
      </c>
      <c r="G130" s="102">
        <v>73394.09</v>
      </c>
      <c r="H130" s="102"/>
      <c r="I130" s="102"/>
      <c r="J130" s="102" t="s">
        <v>985</v>
      </c>
      <c r="K130" s="102" t="s">
        <v>91</v>
      </c>
      <c r="L130" s="40">
        <v>0.68</v>
      </c>
      <c r="M130" s="102" t="s">
        <v>46</v>
      </c>
    </row>
    <row r="131" spans="1:13" x14ac:dyDescent="0.3">
      <c r="A131" s="89">
        <v>45910</v>
      </c>
      <c r="B131" s="90" t="s">
        <v>1168</v>
      </c>
      <c r="C131" s="90" t="s">
        <v>1005</v>
      </c>
      <c r="D131" s="89">
        <v>45910</v>
      </c>
      <c r="E131" s="90">
        <v>1030</v>
      </c>
      <c r="F131" s="90">
        <v>0</v>
      </c>
      <c r="G131" s="90">
        <v>72364.09</v>
      </c>
      <c r="H131" s="90" t="s">
        <v>1169</v>
      </c>
      <c r="I131" s="90"/>
      <c r="J131" s="90" t="s">
        <v>975</v>
      </c>
      <c r="K131" s="90" t="s">
        <v>91</v>
      </c>
      <c r="L131" s="39">
        <v>0.55000000000000004</v>
      </c>
      <c r="M131" s="90" t="s">
        <v>46</v>
      </c>
    </row>
    <row r="132" spans="1:13" x14ac:dyDescent="0.3">
      <c r="A132" s="89">
        <v>45910</v>
      </c>
      <c r="B132" s="90" t="s">
        <v>1170</v>
      </c>
      <c r="C132" s="90" t="s">
        <v>1005</v>
      </c>
      <c r="D132" s="89">
        <v>45910</v>
      </c>
      <c r="E132" s="90">
        <v>113</v>
      </c>
      <c r="F132" s="90">
        <v>0</v>
      </c>
      <c r="G132" s="90">
        <v>72251.09</v>
      </c>
      <c r="H132" s="90" t="s">
        <v>1171</v>
      </c>
      <c r="I132" s="90"/>
      <c r="J132" s="90" t="s">
        <v>975</v>
      </c>
      <c r="K132" s="90" t="s">
        <v>91</v>
      </c>
      <c r="L132" s="39">
        <v>0.55000000000000004</v>
      </c>
      <c r="M132" s="90" t="s">
        <v>46</v>
      </c>
    </row>
    <row r="133" spans="1:13" x14ac:dyDescent="0.3">
      <c r="A133" s="89">
        <v>45910</v>
      </c>
      <c r="B133" s="90" t="s">
        <v>1172</v>
      </c>
      <c r="C133" s="90" t="s">
        <v>1005</v>
      </c>
      <c r="D133" s="89">
        <v>45910</v>
      </c>
      <c r="E133" s="90">
        <v>500</v>
      </c>
      <c r="F133" s="90">
        <v>0</v>
      </c>
      <c r="G133" s="90">
        <v>71751.09</v>
      </c>
      <c r="H133" s="90" t="s">
        <v>1173</v>
      </c>
      <c r="I133" s="90"/>
      <c r="J133" s="90" t="s">
        <v>975</v>
      </c>
      <c r="K133" s="90" t="s">
        <v>91</v>
      </c>
      <c r="L133" s="39">
        <v>0.55000000000000004</v>
      </c>
      <c r="M133" s="90" t="s">
        <v>46</v>
      </c>
    </row>
    <row r="134" spans="1:13" x14ac:dyDescent="0.3">
      <c r="A134" s="101">
        <v>45911</v>
      </c>
      <c r="B134" s="102" t="s">
        <v>1174</v>
      </c>
      <c r="C134" s="102" t="s">
        <v>1005</v>
      </c>
      <c r="D134" s="101">
        <v>45911</v>
      </c>
      <c r="E134" s="102">
        <v>1000</v>
      </c>
      <c r="F134" s="102">
        <v>0</v>
      </c>
      <c r="G134" s="102">
        <v>70751.09</v>
      </c>
      <c r="H134" s="102"/>
      <c r="I134" s="102"/>
      <c r="J134" s="102" t="s">
        <v>976</v>
      </c>
      <c r="K134" s="102" t="s">
        <v>1028</v>
      </c>
      <c r="L134" s="24">
        <v>0.85</v>
      </c>
      <c r="M134" s="102" t="s">
        <v>46</v>
      </c>
    </row>
    <row r="135" spans="1:13" x14ac:dyDescent="0.3">
      <c r="A135" s="105">
        <v>45911</v>
      </c>
      <c r="B135" s="106" t="s">
        <v>1175</v>
      </c>
      <c r="C135" s="106" t="s">
        <v>1005</v>
      </c>
      <c r="D135" s="105">
        <v>45911</v>
      </c>
      <c r="E135" s="106">
        <v>1030</v>
      </c>
      <c r="F135" s="106">
        <v>0</v>
      </c>
      <c r="G135" s="106">
        <v>69721.09</v>
      </c>
      <c r="H135" s="106"/>
      <c r="I135" s="106"/>
      <c r="J135" s="106" t="s">
        <v>986</v>
      </c>
      <c r="K135" s="106" t="s">
        <v>1176</v>
      </c>
      <c r="L135" s="40">
        <v>0.82</v>
      </c>
      <c r="M135" s="106" t="s">
        <v>46</v>
      </c>
    </row>
    <row r="136" spans="1:13" x14ac:dyDescent="0.3">
      <c r="A136" s="89">
        <v>45911</v>
      </c>
      <c r="B136" s="90" t="s">
        <v>1177</v>
      </c>
      <c r="C136" s="90" t="s">
        <v>1005</v>
      </c>
      <c r="D136" s="89">
        <v>45911</v>
      </c>
      <c r="E136" s="90">
        <v>525</v>
      </c>
      <c r="F136" s="90">
        <v>0</v>
      </c>
      <c r="G136" s="90">
        <v>69196.09</v>
      </c>
      <c r="H136" s="90" t="s">
        <v>1178</v>
      </c>
      <c r="I136" s="90"/>
      <c r="J136" s="90" t="s">
        <v>975</v>
      </c>
      <c r="K136" s="90" t="s">
        <v>91</v>
      </c>
      <c r="L136" s="39">
        <v>0.55000000000000004</v>
      </c>
      <c r="M136" s="90" t="s">
        <v>46</v>
      </c>
    </row>
    <row r="137" spans="1:13" x14ac:dyDescent="0.3">
      <c r="A137" s="89">
        <v>45911</v>
      </c>
      <c r="B137" s="90" t="s">
        <v>1179</v>
      </c>
      <c r="C137" s="90" t="s">
        <v>1005</v>
      </c>
      <c r="D137" s="89">
        <v>45911</v>
      </c>
      <c r="E137" s="90">
        <v>300</v>
      </c>
      <c r="F137" s="90">
        <v>0</v>
      </c>
      <c r="G137" s="90">
        <v>68896.09</v>
      </c>
      <c r="H137" s="90" t="s">
        <v>1180</v>
      </c>
      <c r="I137" s="90"/>
      <c r="J137" s="90" t="s">
        <v>975</v>
      </c>
      <c r="K137" s="90" t="s">
        <v>91</v>
      </c>
      <c r="L137" s="39">
        <v>0.55000000000000004</v>
      </c>
      <c r="M137" s="90" t="s">
        <v>46</v>
      </c>
    </row>
    <row r="138" spans="1:13" x14ac:dyDescent="0.3">
      <c r="A138" s="101">
        <v>45912</v>
      </c>
      <c r="B138" s="102" t="s">
        <v>1181</v>
      </c>
      <c r="C138" s="102" t="s">
        <v>1005</v>
      </c>
      <c r="D138" s="101">
        <v>45912</v>
      </c>
      <c r="E138" s="102">
        <v>1000</v>
      </c>
      <c r="F138" s="102">
        <v>0</v>
      </c>
      <c r="G138" s="102">
        <v>67896.09</v>
      </c>
      <c r="H138" s="102"/>
      <c r="I138" s="102"/>
      <c r="J138" s="102" t="s">
        <v>976</v>
      </c>
      <c r="K138" s="102" t="s">
        <v>1028</v>
      </c>
      <c r="L138" s="24">
        <v>0.85</v>
      </c>
      <c r="M138" s="102" t="s">
        <v>46</v>
      </c>
    </row>
    <row r="139" spans="1:13" x14ac:dyDescent="0.3">
      <c r="A139" s="89">
        <v>45912</v>
      </c>
      <c r="B139" s="90" t="s">
        <v>1182</v>
      </c>
      <c r="C139" s="90" t="s">
        <v>1005</v>
      </c>
      <c r="D139" s="89">
        <v>45912</v>
      </c>
      <c r="E139" s="90">
        <v>452</v>
      </c>
      <c r="F139" s="90">
        <v>0</v>
      </c>
      <c r="G139" s="90">
        <v>67444.09</v>
      </c>
      <c r="H139" s="90" t="s">
        <v>1183</v>
      </c>
      <c r="I139" s="90"/>
      <c r="J139" s="90" t="s">
        <v>975</v>
      </c>
      <c r="K139" s="90" t="s">
        <v>91</v>
      </c>
      <c r="L139" s="39">
        <v>0.55000000000000004</v>
      </c>
      <c r="M139" s="90" t="s">
        <v>46</v>
      </c>
    </row>
    <row r="140" spans="1:13" x14ac:dyDescent="0.3">
      <c r="A140" s="101">
        <v>45913</v>
      </c>
      <c r="B140" s="102" t="s">
        <v>1184</v>
      </c>
      <c r="C140" s="102" t="s">
        <v>1005</v>
      </c>
      <c r="D140" s="101">
        <v>45913</v>
      </c>
      <c r="E140" s="102">
        <v>1000</v>
      </c>
      <c r="F140" s="102">
        <v>0</v>
      </c>
      <c r="G140" s="102">
        <v>66444.09</v>
      </c>
      <c r="H140" s="102"/>
      <c r="I140" s="102"/>
      <c r="J140" s="102" t="s">
        <v>976</v>
      </c>
      <c r="K140" s="102" t="s">
        <v>1028</v>
      </c>
      <c r="L140" s="24">
        <v>0.85</v>
      </c>
      <c r="M140" s="102" t="s">
        <v>46</v>
      </c>
    </row>
    <row r="141" spans="1:13" x14ac:dyDescent="0.3">
      <c r="A141" s="101">
        <v>45913</v>
      </c>
      <c r="B141" s="102" t="s">
        <v>1185</v>
      </c>
      <c r="C141" s="102" t="s">
        <v>1005</v>
      </c>
      <c r="D141" s="101">
        <v>45913</v>
      </c>
      <c r="E141" s="102">
        <v>686.82</v>
      </c>
      <c r="F141" s="102">
        <v>0</v>
      </c>
      <c r="G141" s="102">
        <v>65757.27</v>
      </c>
      <c r="H141" s="102"/>
      <c r="I141" s="102"/>
      <c r="J141" s="102" t="s">
        <v>985</v>
      </c>
      <c r="K141" s="102" t="s">
        <v>1028</v>
      </c>
      <c r="L141" s="40">
        <v>0.68</v>
      </c>
      <c r="M141" s="102" t="s">
        <v>46</v>
      </c>
    </row>
    <row r="142" spans="1:13" x14ac:dyDescent="0.3">
      <c r="A142" s="105">
        <v>45913</v>
      </c>
      <c r="B142" s="106" t="s">
        <v>1186</v>
      </c>
      <c r="C142" s="106" t="s">
        <v>1005</v>
      </c>
      <c r="D142" s="105">
        <v>45913</v>
      </c>
      <c r="E142" s="106">
        <v>1030</v>
      </c>
      <c r="F142" s="106">
        <v>0</v>
      </c>
      <c r="G142" s="106">
        <v>64727.27</v>
      </c>
      <c r="H142" s="106"/>
      <c r="I142" s="106"/>
      <c r="J142" s="106" t="s">
        <v>986</v>
      </c>
      <c r="K142" s="106" t="s">
        <v>1176</v>
      </c>
      <c r="L142" s="40">
        <v>0.82</v>
      </c>
      <c r="M142" s="106" t="s">
        <v>46</v>
      </c>
    </row>
    <row r="143" spans="1:13" x14ac:dyDescent="0.3">
      <c r="A143" s="105">
        <v>45913</v>
      </c>
      <c r="B143" s="106" t="s">
        <v>1187</v>
      </c>
      <c r="C143" s="106" t="s">
        <v>1005</v>
      </c>
      <c r="D143" s="105">
        <v>45913</v>
      </c>
      <c r="E143" s="106">
        <v>1030</v>
      </c>
      <c r="F143" s="106">
        <v>0</v>
      </c>
      <c r="G143" s="106">
        <v>63697.27</v>
      </c>
      <c r="H143" s="106"/>
      <c r="I143" s="106"/>
      <c r="J143" s="106" t="s">
        <v>986</v>
      </c>
      <c r="K143" s="106" t="s">
        <v>1176</v>
      </c>
      <c r="L143" s="40">
        <v>0.82</v>
      </c>
      <c r="M143" s="106" t="s">
        <v>46</v>
      </c>
    </row>
    <row r="144" spans="1:13" x14ac:dyDescent="0.3">
      <c r="A144" s="107">
        <v>45913</v>
      </c>
      <c r="B144" s="108" t="s">
        <v>1188</v>
      </c>
      <c r="C144" s="108" t="s">
        <v>1005</v>
      </c>
      <c r="D144" s="107">
        <v>45913</v>
      </c>
      <c r="E144" s="108">
        <v>1005</v>
      </c>
      <c r="F144" s="108">
        <v>0</v>
      </c>
      <c r="G144" s="108">
        <v>62692.27</v>
      </c>
      <c r="H144" s="108"/>
      <c r="I144" s="108"/>
      <c r="J144" s="108" t="s">
        <v>987</v>
      </c>
      <c r="K144" s="108" t="s">
        <v>1189</v>
      </c>
      <c r="L144" s="40">
        <v>0.82</v>
      </c>
      <c r="M144" s="108" t="s">
        <v>46</v>
      </c>
    </row>
    <row r="145" spans="1:13" x14ac:dyDescent="0.3">
      <c r="A145" s="103">
        <v>45913</v>
      </c>
      <c r="B145" s="104" t="s">
        <v>1190</v>
      </c>
      <c r="C145" s="104" t="s">
        <v>1005</v>
      </c>
      <c r="D145" s="103">
        <v>45913</v>
      </c>
      <c r="E145" s="104">
        <v>48</v>
      </c>
      <c r="F145" s="104">
        <v>0</v>
      </c>
      <c r="G145" s="104">
        <v>62644.27</v>
      </c>
      <c r="H145" s="104"/>
      <c r="I145" s="104"/>
      <c r="J145" s="104" t="s">
        <v>983</v>
      </c>
      <c r="K145" s="104" t="s">
        <v>131</v>
      </c>
      <c r="L145" s="40">
        <v>0.82</v>
      </c>
      <c r="M145" s="104" t="s">
        <v>46</v>
      </c>
    </row>
    <row r="146" spans="1:13" x14ac:dyDescent="0.3">
      <c r="A146" s="101">
        <v>45914</v>
      </c>
      <c r="B146" s="102" t="s">
        <v>1191</v>
      </c>
      <c r="C146" s="102" t="s">
        <v>1005</v>
      </c>
      <c r="D146" s="101">
        <v>45914</v>
      </c>
      <c r="E146" s="102">
        <v>1000</v>
      </c>
      <c r="F146" s="102">
        <v>0</v>
      </c>
      <c r="G146" s="102">
        <v>61644.27</v>
      </c>
      <c r="H146" s="102"/>
      <c r="I146" s="102"/>
      <c r="J146" s="102" t="s">
        <v>976</v>
      </c>
      <c r="K146" s="102" t="s">
        <v>1028</v>
      </c>
      <c r="L146" s="24">
        <v>0.85</v>
      </c>
      <c r="M146" s="102" t="s">
        <v>46</v>
      </c>
    </row>
    <row r="147" spans="1:13" x14ac:dyDescent="0.3">
      <c r="A147" s="89">
        <v>45914</v>
      </c>
      <c r="B147" s="90" t="s">
        <v>1192</v>
      </c>
      <c r="C147" s="90" t="s">
        <v>1005</v>
      </c>
      <c r="D147" s="89">
        <v>45914</v>
      </c>
      <c r="E147" s="90">
        <v>107</v>
      </c>
      <c r="F147" s="90">
        <v>0</v>
      </c>
      <c r="G147" s="90">
        <v>61537.27</v>
      </c>
      <c r="H147" s="90" t="s">
        <v>1193</v>
      </c>
      <c r="I147" s="90"/>
      <c r="J147" s="90" t="s">
        <v>975</v>
      </c>
      <c r="K147" s="90" t="s">
        <v>91</v>
      </c>
      <c r="L147" s="39">
        <v>0.55000000000000004</v>
      </c>
      <c r="M147" s="90" t="s">
        <v>46</v>
      </c>
    </row>
    <row r="148" spans="1:13" x14ac:dyDescent="0.3">
      <c r="A148" s="109">
        <v>45914</v>
      </c>
      <c r="B148" s="110" t="s">
        <v>1194</v>
      </c>
      <c r="C148" s="110" t="s">
        <v>1005</v>
      </c>
      <c r="D148" s="109">
        <v>45914</v>
      </c>
      <c r="E148" s="110">
        <v>2100</v>
      </c>
      <c r="F148" s="110">
        <v>0</v>
      </c>
      <c r="G148" s="110">
        <v>59437.27</v>
      </c>
      <c r="H148" s="110"/>
      <c r="I148" s="110"/>
      <c r="J148" s="110" t="s">
        <v>988</v>
      </c>
      <c r="K148" s="110" t="s">
        <v>988</v>
      </c>
      <c r="L148" s="24">
        <v>0.88</v>
      </c>
      <c r="M148" s="110" t="s">
        <v>46</v>
      </c>
    </row>
    <row r="149" spans="1:13" x14ac:dyDescent="0.3">
      <c r="A149" s="89">
        <v>45914</v>
      </c>
      <c r="B149" s="90" t="s">
        <v>1195</v>
      </c>
      <c r="C149" s="90" t="s">
        <v>1005</v>
      </c>
      <c r="D149" s="89">
        <v>45914</v>
      </c>
      <c r="E149" s="90">
        <v>100</v>
      </c>
      <c r="F149" s="90">
        <v>0</v>
      </c>
      <c r="G149" s="90">
        <v>59337.27</v>
      </c>
      <c r="H149" s="90" t="s">
        <v>1196</v>
      </c>
      <c r="I149" s="90"/>
      <c r="J149" s="90" t="s">
        <v>975</v>
      </c>
      <c r="K149" s="90" t="s">
        <v>91</v>
      </c>
      <c r="L149" s="39">
        <v>0.55000000000000004</v>
      </c>
      <c r="M149" s="90" t="s">
        <v>46</v>
      </c>
    </row>
    <row r="150" spans="1:13" x14ac:dyDescent="0.3">
      <c r="A150" s="101">
        <v>45914</v>
      </c>
      <c r="B150" s="102" t="s">
        <v>1197</v>
      </c>
      <c r="C150" s="102" t="s">
        <v>1005</v>
      </c>
      <c r="D150" s="101">
        <v>45914</v>
      </c>
      <c r="E150" s="102">
        <v>100</v>
      </c>
      <c r="F150" s="102">
        <v>0</v>
      </c>
      <c r="G150" s="102">
        <v>59237.27</v>
      </c>
      <c r="H150" s="102"/>
      <c r="I150" s="102"/>
      <c r="J150" s="102" t="s">
        <v>985</v>
      </c>
      <c r="K150" s="102" t="s">
        <v>91</v>
      </c>
      <c r="L150" s="40">
        <v>0.68</v>
      </c>
      <c r="M150" s="102" t="s">
        <v>46</v>
      </c>
    </row>
    <row r="151" spans="1:13" x14ac:dyDescent="0.3">
      <c r="A151" s="89">
        <v>45914</v>
      </c>
      <c r="B151" s="90" t="s">
        <v>1198</v>
      </c>
      <c r="C151" s="90" t="s">
        <v>1005</v>
      </c>
      <c r="D151" s="89">
        <v>45914</v>
      </c>
      <c r="E151" s="90">
        <v>247</v>
      </c>
      <c r="F151" s="90">
        <v>0</v>
      </c>
      <c r="G151" s="90">
        <v>58990.27</v>
      </c>
      <c r="H151" s="90" t="s">
        <v>1199</v>
      </c>
      <c r="I151" s="90"/>
      <c r="J151" s="90" t="s">
        <v>975</v>
      </c>
      <c r="K151" s="90" t="s">
        <v>91</v>
      </c>
      <c r="L151" s="39">
        <v>0.55000000000000004</v>
      </c>
      <c r="M151" s="90" t="s">
        <v>46</v>
      </c>
    </row>
    <row r="152" spans="1:13" x14ac:dyDescent="0.3">
      <c r="A152" s="101">
        <v>45915</v>
      </c>
      <c r="B152" s="102" t="s">
        <v>1200</v>
      </c>
      <c r="C152" s="102" t="s">
        <v>1005</v>
      </c>
      <c r="D152" s="101">
        <v>45915</v>
      </c>
      <c r="E152" s="102">
        <v>1000</v>
      </c>
      <c r="F152" s="102">
        <v>0</v>
      </c>
      <c r="G152" s="102">
        <v>57990.27</v>
      </c>
      <c r="H152" s="102"/>
      <c r="I152" s="102"/>
      <c r="J152" s="102" t="s">
        <v>976</v>
      </c>
      <c r="K152" s="102" t="s">
        <v>1028</v>
      </c>
      <c r="L152" s="24">
        <v>0.85</v>
      </c>
      <c r="M152" s="102" t="s">
        <v>46</v>
      </c>
    </row>
    <row r="153" spans="1:13" x14ac:dyDescent="0.3">
      <c r="A153" s="103">
        <v>45915</v>
      </c>
      <c r="B153" s="104" t="s">
        <v>1201</v>
      </c>
      <c r="C153" s="104" t="s">
        <v>1005</v>
      </c>
      <c r="D153" s="103">
        <v>45915</v>
      </c>
      <c r="E153" s="104">
        <v>74</v>
      </c>
      <c r="F153" s="104">
        <v>0</v>
      </c>
      <c r="G153" s="104">
        <v>57916.27</v>
      </c>
      <c r="H153" s="104"/>
      <c r="I153" s="104"/>
      <c r="J153" s="104" t="s">
        <v>983</v>
      </c>
      <c r="K153" s="104" t="s">
        <v>131</v>
      </c>
      <c r="L153" s="40">
        <v>0.82</v>
      </c>
      <c r="M153" s="104" t="s">
        <v>46</v>
      </c>
    </row>
    <row r="154" spans="1:13" x14ac:dyDescent="0.3">
      <c r="A154" s="101">
        <v>45916</v>
      </c>
      <c r="B154" s="102" t="s">
        <v>1202</v>
      </c>
      <c r="C154" s="102" t="s">
        <v>1005</v>
      </c>
      <c r="D154" s="101">
        <v>45916</v>
      </c>
      <c r="E154" s="102">
        <v>1000</v>
      </c>
      <c r="F154" s="102">
        <v>0</v>
      </c>
      <c r="G154" s="102">
        <v>56916.27</v>
      </c>
      <c r="H154" s="102"/>
      <c r="I154" s="102"/>
      <c r="J154" s="102" t="s">
        <v>976</v>
      </c>
      <c r="K154" s="102" t="s">
        <v>1028</v>
      </c>
      <c r="L154" s="24">
        <v>0.85</v>
      </c>
      <c r="M154" s="102" t="s">
        <v>46</v>
      </c>
    </row>
    <row r="155" spans="1:13" x14ac:dyDescent="0.3">
      <c r="A155" s="101">
        <v>45917</v>
      </c>
      <c r="B155" s="102" t="s">
        <v>1203</v>
      </c>
      <c r="C155" s="102" t="s">
        <v>1005</v>
      </c>
      <c r="D155" s="101">
        <v>45917</v>
      </c>
      <c r="E155" s="102">
        <v>1000</v>
      </c>
      <c r="F155" s="102">
        <v>0</v>
      </c>
      <c r="G155" s="102">
        <v>55916.27</v>
      </c>
      <c r="H155" s="102"/>
      <c r="I155" s="102"/>
      <c r="J155" s="102" t="s">
        <v>976</v>
      </c>
      <c r="K155" s="102" t="s">
        <v>1028</v>
      </c>
      <c r="L155" s="24">
        <v>0.85</v>
      </c>
      <c r="M155" s="102" t="s">
        <v>46</v>
      </c>
    </row>
    <row r="156" spans="1:13" x14ac:dyDescent="0.3">
      <c r="A156" s="103">
        <v>45917</v>
      </c>
      <c r="B156" s="104" t="s">
        <v>1204</v>
      </c>
      <c r="C156" s="104" t="s">
        <v>1005</v>
      </c>
      <c r="D156" s="103">
        <v>45917</v>
      </c>
      <c r="E156" s="104">
        <v>126</v>
      </c>
      <c r="F156" s="104">
        <v>0</v>
      </c>
      <c r="G156" s="104">
        <v>55790.27</v>
      </c>
      <c r="H156" s="104"/>
      <c r="I156" s="104"/>
      <c r="J156" s="104" t="s">
        <v>983</v>
      </c>
      <c r="K156" s="104" t="s">
        <v>131</v>
      </c>
      <c r="L156" s="40">
        <v>0.82</v>
      </c>
      <c r="M156" s="104" t="s">
        <v>46</v>
      </c>
    </row>
    <row r="157" spans="1:13" x14ac:dyDescent="0.3">
      <c r="A157" s="41">
        <v>45917</v>
      </c>
      <c r="B157" s="42" t="s">
        <v>1205</v>
      </c>
      <c r="C157" s="42" t="s">
        <v>1005</v>
      </c>
      <c r="D157" s="41">
        <v>45917</v>
      </c>
      <c r="E157" s="42">
        <v>30</v>
      </c>
      <c r="F157" s="42">
        <v>0</v>
      </c>
      <c r="G157" s="42">
        <v>55760.27</v>
      </c>
      <c r="H157" s="42"/>
      <c r="I157" s="42"/>
      <c r="J157" s="42" t="s">
        <v>13</v>
      </c>
      <c r="K157" s="42" t="s">
        <v>131</v>
      </c>
      <c r="L157" s="40">
        <v>0.82</v>
      </c>
      <c r="M157" s="42" t="s">
        <v>46</v>
      </c>
    </row>
    <row r="158" spans="1:13" x14ac:dyDescent="0.3">
      <c r="A158" s="101">
        <v>45918</v>
      </c>
      <c r="B158" s="102" t="s">
        <v>1206</v>
      </c>
      <c r="C158" s="102" t="s">
        <v>1005</v>
      </c>
      <c r="D158" s="101">
        <v>45918</v>
      </c>
      <c r="E158" s="102">
        <v>1000</v>
      </c>
      <c r="F158" s="102">
        <v>0</v>
      </c>
      <c r="G158" s="102">
        <v>54760.27</v>
      </c>
      <c r="H158" s="102"/>
      <c r="I158" s="102"/>
      <c r="J158" s="102" t="s">
        <v>976</v>
      </c>
      <c r="K158" s="102" t="s">
        <v>1028</v>
      </c>
      <c r="L158" s="24">
        <v>0.85</v>
      </c>
      <c r="M158" s="102" t="s">
        <v>46</v>
      </c>
    </row>
    <row r="159" spans="1:13" x14ac:dyDescent="0.3">
      <c r="A159" s="89">
        <v>45918</v>
      </c>
      <c r="B159" s="90" t="s">
        <v>1207</v>
      </c>
      <c r="C159" s="90" t="s">
        <v>1005</v>
      </c>
      <c r="D159" s="89">
        <v>45918</v>
      </c>
      <c r="E159" s="90">
        <v>160</v>
      </c>
      <c r="F159" s="90">
        <v>0</v>
      </c>
      <c r="G159" s="90">
        <v>54600.27</v>
      </c>
      <c r="H159" s="90" t="s">
        <v>1208</v>
      </c>
      <c r="I159" s="90"/>
      <c r="J159" s="90" t="s">
        <v>975</v>
      </c>
      <c r="K159" s="90" t="s">
        <v>91</v>
      </c>
      <c r="L159" s="39">
        <v>0.55000000000000004</v>
      </c>
      <c r="M159" s="90" t="s">
        <v>46</v>
      </c>
    </row>
    <row r="160" spans="1:13" x14ac:dyDescent="0.3">
      <c r="A160" s="101">
        <v>45919</v>
      </c>
      <c r="B160" s="102" t="s">
        <v>1209</v>
      </c>
      <c r="C160" s="102" t="s">
        <v>1005</v>
      </c>
      <c r="D160" s="101">
        <v>45919</v>
      </c>
      <c r="E160" s="102">
        <v>1000</v>
      </c>
      <c r="F160" s="102">
        <v>0</v>
      </c>
      <c r="G160" s="102">
        <v>53600.27</v>
      </c>
      <c r="H160" s="102"/>
      <c r="I160" s="102"/>
      <c r="J160" s="102" t="s">
        <v>976</v>
      </c>
      <c r="K160" s="102" t="s">
        <v>1028</v>
      </c>
      <c r="L160" s="24">
        <v>0.85</v>
      </c>
      <c r="M160" s="102" t="s">
        <v>46</v>
      </c>
    </row>
    <row r="161" spans="1:13" x14ac:dyDescent="0.3">
      <c r="A161" s="101">
        <v>45920</v>
      </c>
      <c r="B161" s="102" t="s">
        <v>1210</v>
      </c>
      <c r="C161" s="102" t="s">
        <v>1005</v>
      </c>
      <c r="D161" s="101">
        <v>45920</v>
      </c>
      <c r="E161" s="102">
        <v>1000</v>
      </c>
      <c r="F161" s="102">
        <v>0</v>
      </c>
      <c r="G161" s="102">
        <v>52600.27</v>
      </c>
      <c r="H161" s="102"/>
      <c r="I161" s="102"/>
      <c r="J161" s="102" t="s">
        <v>976</v>
      </c>
      <c r="K161" s="102" t="s">
        <v>1028</v>
      </c>
      <c r="L161" s="24">
        <v>0.85</v>
      </c>
      <c r="M161" s="102" t="s">
        <v>46</v>
      </c>
    </row>
    <row r="162" spans="1:13" x14ac:dyDescent="0.3">
      <c r="A162" s="103">
        <v>45920</v>
      </c>
      <c r="B162" s="104" t="s">
        <v>1211</v>
      </c>
      <c r="C162" s="104" t="s">
        <v>1005</v>
      </c>
      <c r="D162" s="103">
        <v>45920</v>
      </c>
      <c r="E162" s="104">
        <v>28</v>
      </c>
      <c r="F162" s="104">
        <v>0</v>
      </c>
      <c r="G162" s="104">
        <v>52572.27</v>
      </c>
      <c r="H162" s="104"/>
      <c r="I162" s="104"/>
      <c r="J162" s="104" t="s">
        <v>983</v>
      </c>
      <c r="K162" s="104" t="s">
        <v>131</v>
      </c>
      <c r="L162" s="40">
        <v>0.82</v>
      </c>
      <c r="M162" s="104" t="s">
        <v>46</v>
      </c>
    </row>
    <row r="163" spans="1:13" x14ac:dyDescent="0.3">
      <c r="A163" s="101">
        <v>45921</v>
      </c>
      <c r="B163" s="102" t="s">
        <v>1212</v>
      </c>
      <c r="C163" s="102" t="s">
        <v>1005</v>
      </c>
      <c r="D163" s="101">
        <v>45921</v>
      </c>
      <c r="E163" s="102">
        <v>1000</v>
      </c>
      <c r="F163" s="102">
        <v>0</v>
      </c>
      <c r="G163" s="102">
        <v>51572.27</v>
      </c>
      <c r="H163" s="102"/>
      <c r="I163" s="102"/>
      <c r="J163" s="102" t="s">
        <v>976</v>
      </c>
      <c r="K163" s="102" t="s">
        <v>1028</v>
      </c>
      <c r="L163" s="24">
        <v>0.85</v>
      </c>
      <c r="M163" s="102" t="s">
        <v>46</v>
      </c>
    </row>
    <row r="164" spans="1:13" x14ac:dyDescent="0.3">
      <c r="A164" s="101">
        <v>45922</v>
      </c>
      <c r="B164" s="102" t="s">
        <v>1213</v>
      </c>
      <c r="C164" s="102" t="s">
        <v>1005</v>
      </c>
      <c r="D164" s="101">
        <v>45922</v>
      </c>
      <c r="E164" s="102">
        <v>1500</v>
      </c>
      <c r="F164" s="102">
        <v>0</v>
      </c>
      <c r="G164" s="102">
        <v>50072.27</v>
      </c>
      <c r="H164" s="102"/>
      <c r="I164" s="102"/>
      <c r="J164" s="102" t="s">
        <v>976</v>
      </c>
      <c r="K164" s="102" t="s">
        <v>1028</v>
      </c>
      <c r="L164" s="24">
        <v>0.85</v>
      </c>
      <c r="M164" s="102" t="s">
        <v>46</v>
      </c>
    </row>
    <row r="165" spans="1:13" x14ac:dyDescent="0.3">
      <c r="A165" s="103">
        <v>45922</v>
      </c>
      <c r="B165" s="104" t="s">
        <v>1214</v>
      </c>
      <c r="C165" s="104" t="s">
        <v>1005</v>
      </c>
      <c r="D165" s="103">
        <v>45922</v>
      </c>
      <c r="E165" s="104">
        <v>26</v>
      </c>
      <c r="F165" s="104">
        <v>0</v>
      </c>
      <c r="G165" s="104">
        <v>50046.27</v>
      </c>
      <c r="H165" s="104"/>
      <c r="I165" s="104"/>
      <c r="J165" s="104" t="s">
        <v>983</v>
      </c>
      <c r="K165" s="104" t="s">
        <v>131</v>
      </c>
      <c r="L165" s="40">
        <v>0.82</v>
      </c>
      <c r="M165" s="104" t="s">
        <v>46</v>
      </c>
    </row>
    <row r="166" spans="1:13" x14ac:dyDescent="0.3">
      <c r="A166" s="101">
        <v>45923</v>
      </c>
      <c r="B166" s="102" t="s">
        <v>1215</v>
      </c>
      <c r="C166" s="102" t="s">
        <v>1005</v>
      </c>
      <c r="D166" s="101">
        <v>45923</v>
      </c>
      <c r="E166" s="102">
        <v>1500</v>
      </c>
      <c r="F166" s="102">
        <v>0</v>
      </c>
      <c r="G166" s="102">
        <v>48546.27</v>
      </c>
      <c r="H166" s="102"/>
      <c r="I166" s="102"/>
      <c r="J166" s="102" t="s">
        <v>976</v>
      </c>
      <c r="K166" s="102" t="s">
        <v>1028</v>
      </c>
      <c r="L166" s="24">
        <v>0.85</v>
      </c>
      <c r="M166" s="102" t="s">
        <v>46</v>
      </c>
    </row>
    <row r="167" spans="1:13" x14ac:dyDescent="0.3">
      <c r="A167" s="103">
        <v>45923</v>
      </c>
      <c r="B167" s="104" t="s">
        <v>1216</v>
      </c>
      <c r="C167" s="104" t="s">
        <v>1005</v>
      </c>
      <c r="D167" s="103">
        <v>45923</v>
      </c>
      <c r="E167" s="104">
        <v>46</v>
      </c>
      <c r="F167" s="104">
        <v>0</v>
      </c>
      <c r="G167" s="104">
        <v>48500.27</v>
      </c>
      <c r="H167" s="104"/>
      <c r="I167" s="104"/>
      <c r="J167" s="104" t="s">
        <v>983</v>
      </c>
      <c r="K167" s="104" t="s">
        <v>131</v>
      </c>
      <c r="L167" s="40">
        <v>0.82</v>
      </c>
      <c r="M167" s="104" t="s">
        <v>46</v>
      </c>
    </row>
    <row r="168" spans="1:13" x14ac:dyDescent="0.3">
      <c r="A168" s="101">
        <v>45924</v>
      </c>
      <c r="B168" s="102" t="s">
        <v>1217</v>
      </c>
      <c r="C168" s="102" t="s">
        <v>1005</v>
      </c>
      <c r="D168" s="101">
        <v>45924</v>
      </c>
      <c r="E168" s="102">
        <v>1500</v>
      </c>
      <c r="F168" s="102">
        <v>0</v>
      </c>
      <c r="G168" s="102">
        <v>47000.27</v>
      </c>
      <c r="H168" s="102"/>
      <c r="I168" s="102"/>
      <c r="J168" s="102" t="s">
        <v>976</v>
      </c>
      <c r="K168" s="102" t="s">
        <v>1028</v>
      </c>
      <c r="L168" s="24">
        <v>0.85</v>
      </c>
      <c r="M168" s="102" t="s">
        <v>46</v>
      </c>
    </row>
    <row r="169" spans="1:13" x14ac:dyDescent="0.3">
      <c r="A169" s="103">
        <v>45924</v>
      </c>
      <c r="B169" s="104" t="s">
        <v>1218</v>
      </c>
      <c r="C169" s="104" t="s">
        <v>1005</v>
      </c>
      <c r="D169" s="103">
        <v>45924</v>
      </c>
      <c r="E169" s="104">
        <v>52</v>
      </c>
      <c r="F169" s="104">
        <v>0</v>
      </c>
      <c r="G169" s="104">
        <v>46948.27</v>
      </c>
      <c r="H169" s="104"/>
      <c r="I169" s="104"/>
      <c r="J169" s="104" t="s">
        <v>983</v>
      </c>
      <c r="K169" s="104" t="s">
        <v>131</v>
      </c>
      <c r="L169" s="40">
        <v>0.82</v>
      </c>
      <c r="M169" s="104" t="s">
        <v>46</v>
      </c>
    </row>
    <row r="170" spans="1:13" x14ac:dyDescent="0.3">
      <c r="A170" s="101">
        <v>45924</v>
      </c>
      <c r="B170" s="102" t="s">
        <v>1219</v>
      </c>
      <c r="C170" s="102" t="s">
        <v>1005</v>
      </c>
      <c r="D170" s="101">
        <v>45924</v>
      </c>
      <c r="E170" s="102">
        <v>1500</v>
      </c>
      <c r="F170" s="102">
        <v>0</v>
      </c>
      <c r="G170" s="102">
        <v>45448.27</v>
      </c>
      <c r="H170" s="102"/>
      <c r="I170" s="102"/>
      <c r="J170" s="102" t="s">
        <v>976</v>
      </c>
      <c r="K170" s="102" t="s">
        <v>1028</v>
      </c>
      <c r="L170" s="24">
        <v>0.85</v>
      </c>
      <c r="M170" s="102" t="s">
        <v>46</v>
      </c>
    </row>
    <row r="171" spans="1:13" x14ac:dyDescent="0.3">
      <c r="A171" s="101">
        <v>45925</v>
      </c>
      <c r="B171" s="102" t="s">
        <v>1220</v>
      </c>
      <c r="C171" s="102" t="s">
        <v>1005</v>
      </c>
      <c r="D171" s="101">
        <v>45925</v>
      </c>
      <c r="E171" s="102">
        <v>1500</v>
      </c>
      <c r="F171" s="102">
        <v>0</v>
      </c>
      <c r="G171" s="102">
        <v>43948.27</v>
      </c>
      <c r="H171" s="102"/>
      <c r="I171" s="102"/>
      <c r="J171" s="102" t="s">
        <v>976</v>
      </c>
      <c r="K171" s="102" t="s">
        <v>1028</v>
      </c>
      <c r="L171" s="24">
        <v>0.85</v>
      </c>
      <c r="M171" s="102" t="s">
        <v>46</v>
      </c>
    </row>
    <row r="172" spans="1:13" x14ac:dyDescent="0.3">
      <c r="A172" s="89">
        <v>45926</v>
      </c>
      <c r="B172" s="90" t="s">
        <v>1221</v>
      </c>
      <c r="C172" s="90" t="s">
        <v>1005</v>
      </c>
      <c r="D172" s="89">
        <v>45926</v>
      </c>
      <c r="E172" s="90">
        <v>396</v>
      </c>
      <c r="F172" s="90">
        <v>0</v>
      </c>
      <c r="G172" s="90">
        <v>43552.27</v>
      </c>
      <c r="H172" s="90" t="s">
        <v>1222</v>
      </c>
      <c r="I172" s="90"/>
      <c r="J172" s="90" t="s">
        <v>975</v>
      </c>
      <c r="K172" s="90" t="s">
        <v>91</v>
      </c>
      <c r="L172" s="39">
        <v>0.55000000000000004</v>
      </c>
      <c r="M172" s="90" t="s">
        <v>46</v>
      </c>
    </row>
    <row r="173" spans="1:13" x14ac:dyDescent="0.3">
      <c r="A173" s="101">
        <v>45927</v>
      </c>
      <c r="B173" s="102" t="s">
        <v>1223</v>
      </c>
      <c r="C173" s="102" t="s">
        <v>1005</v>
      </c>
      <c r="D173" s="101">
        <v>45927</v>
      </c>
      <c r="E173" s="102">
        <v>1500</v>
      </c>
      <c r="F173" s="102">
        <v>0</v>
      </c>
      <c r="G173" s="102">
        <v>42052.27</v>
      </c>
      <c r="H173" s="102"/>
      <c r="I173" s="102"/>
      <c r="J173" s="102" t="s">
        <v>976</v>
      </c>
      <c r="K173" s="102" t="s">
        <v>1028</v>
      </c>
      <c r="L173" s="24">
        <v>0.85</v>
      </c>
      <c r="M173" s="102" t="s">
        <v>46</v>
      </c>
    </row>
    <row r="174" spans="1:13" x14ac:dyDescent="0.3">
      <c r="A174" s="101">
        <v>45927</v>
      </c>
      <c r="B174" s="102" t="s">
        <v>1224</v>
      </c>
      <c r="C174" s="102" t="s">
        <v>1005</v>
      </c>
      <c r="D174" s="101">
        <v>45927</v>
      </c>
      <c r="E174" s="102">
        <v>1500</v>
      </c>
      <c r="F174" s="102">
        <v>0</v>
      </c>
      <c r="G174" s="102">
        <v>40552.269999999997</v>
      </c>
      <c r="H174" s="102"/>
      <c r="I174" s="102"/>
      <c r="J174" s="102" t="s">
        <v>976</v>
      </c>
      <c r="K174" s="102" t="s">
        <v>1028</v>
      </c>
      <c r="L174" s="24">
        <v>0.85</v>
      </c>
      <c r="M174" s="102" t="s">
        <v>46</v>
      </c>
    </row>
    <row r="175" spans="1:13" x14ac:dyDescent="0.3">
      <c r="A175" s="89">
        <v>45928</v>
      </c>
      <c r="B175" s="90" t="s">
        <v>1225</v>
      </c>
      <c r="C175" s="90" t="s">
        <v>1005</v>
      </c>
      <c r="D175" s="89">
        <v>45928</v>
      </c>
      <c r="E175" s="90">
        <v>164</v>
      </c>
      <c r="F175" s="90">
        <v>0</v>
      </c>
      <c r="G175" s="90">
        <v>40388.269999999997</v>
      </c>
      <c r="H175" s="90" t="s">
        <v>1226</v>
      </c>
      <c r="I175" s="90"/>
      <c r="J175" s="90" t="s">
        <v>975</v>
      </c>
      <c r="K175" s="90" t="s">
        <v>91</v>
      </c>
      <c r="L175" s="39">
        <v>0.55000000000000004</v>
      </c>
      <c r="M175" s="90" t="s">
        <v>46</v>
      </c>
    </row>
    <row r="176" spans="1:13" x14ac:dyDescent="0.3">
      <c r="A176" s="83">
        <v>45928</v>
      </c>
      <c r="B176" s="84" t="s">
        <v>1227</v>
      </c>
      <c r="C176" s="84" t="s">
        <v>1005</v>
      </c>
      <c r="D176" s="83">
        <v>45928</v>
      </c>
      <c r="E176" s="84">
        <v>2583.6</v>
      </c>
      <c r="F176" s="84">
        <v>0</v>
      </c>
      <c r="G176" s="84">
        <v>37804.67</v>
      </c>
      <c r="H176" s="84"/>
      <c r="I176" s="84"/>
      <c r="J176" s="84" t="s">
        <v>973</v>
      </c>
      <c r="K176" s="84" t="s">
        <v>1014</v>
      </c>
      <c r="L176" s="40">
        <v>0.68</v>
      </c>
      <c r="M176" s="84" t="s">
        <v>46</v>
      </c>
    </row>
    <row r="177" spans="1:13" x14ac:dyDescent="0.3">
      <c r="A177" s="101">
        <v>45929</v>
      </c>
      <c r="B177" s="102" t="s">
        <v>1228</v>
      </c>
      <c r="C177" s="102" t="s">
        <v>1005</v>
      </c>
      <c r="D177" s="101">
        <v>45929</v>
      </c>
      <c r="E177" s="102">
        <v>1500</v>
      </c>
      <c r="F177" s="102">
        <v>0</v>
      </c>
      <c r="G177" s="102">
        <v>36304.67</v>
      </c>
      <c r="H177" s="102"/>
      <c r="I177" s="102"/>
      <c r="J177" s="102" t="s">
        <v>976</v>
      </c>
      <c r="K177" s="102" t="s">
        <v>1028</v>
      </c>
      <c r="L177" s="24">
        <v>0.85</v>
      </c>
      <c r="M177" s="102" t="s">
        <v>46</v>
      </c>
    </row>
    <row r="178" spans="1:13" x14ac:dyDescent="0.3">
      <c r="A178" s="101">
        <v>45930</v>
      </c>
      <c r="B178" s="102" t="s">
        <v>1229</v>
      </c>
      <c r="C178" s="102" t="s">
        <v>1005</v>
      </c>
      <c r="D178" s="101">
        <v>45930</v>
      </c>
      <c r="E178" s="102">
        <v>1500</v>
      </c>
      <c r="F178" s="102">
        <v>0</v>
      </c>
      <c r="G178" s="102">
        <v>34804.67</v>
      </c>
      <c r="H178" s="102"/>
      <c r="I178" s="102"/>
      <c r="J178" s="102" t="s">
        <v>976</v>
      </c>
      <c r="K178" s="102" t="s">
        <v>1028</v>
      </c>
      <c r="L178" s="24">
        <v>0.85</v>
      </c>
      <c r="M178" s="102" t="s">
        <v>46</v>
      </c>
    </row>
    <row r="179" spans="1:13" x14ac:dyDescent="0.3">
      <c r="A179" s="99">
        <v>45930</v>
      </c>
      <c r="B179" s="100" t="s">
        <v>1230</v>
      </c>
      <c r="C179" s="100" t="s">
        <v>1005</v>
      </c>
      <c r="D179" s="99">
        <v>45930</v>
      </c>
      <c r="E179" s="100">
        <v>360</v>
      </c>
      <c r="F179" s="100">
        <v>0</v>
      </c>
      <c r="G179" s="100">
        <v>34444.67</v>
      </c>
      <c r="H179" s="100"/>
      <c r="I179" s="100"/>
      <c r="J179" s="100" t="s">
        <v>989</v>
      </c>
      <c r="K179" s="100" t="s">
        <v>1053</v>
      </c>
      <c r="L179" s="40">
        <v>0.75</v>
      </c>
      <c r="M179" s="100" t="s">
        <v>46</v>
      </c>
    </row>
    <row r="180" spans="1:13" x14ac:dyDescent="0.3">
      <c r="A180" s="101">
        <v>45931</v>
      </c>
      <c r="B180" s="102" t="s">
        <v>1231</v>
      </c>
      <c r="C180" s="102" t="s">
        <v>1005</v>
      </c>
      <c r="D180" s="101">
        <v>45931</v>
      </c>
      <c r="E180" s="102">
        <v>1500</v>
      </c>
      <c r="F180" s="102">
        <v>0</v>
      </c>
      <c r="G180" s="102">
        <v>32944.67</v>
      </c>
      <c r="H180" s="102"/>
      <c r="I180" s="102"/>
      <c r="J180" s="102" t="s">
        <v>976</v>
      </c>
      <c r="K180" s="102" t="s">
        <v>1028</v>
      </c>
      <c r="L180" s="24">
        <v>0.85</v>
      </c>
      <c r="M180" s="102" t="s">
        <v>46</v>
      </c>
    </row>
    <row r="181" spans="1:13" x14ac:dyDescent="0.3">
      <c r="A181" s="78">
        <v>45931</v>
      </c>
      <c r="B181" s="79" t="s">
        <v>1232</v>
      </c>
      <c r="C181" s="79" t="s">
        <v>1005</v>
      </c>
      <c r="D181" s="78">
        <v>45931</v>
      </c>
      <c r="E181" s="79">
        <v>0</v>
      </c>
      <c r="F181" s="79">
        <v>98705</v>
      </c>
      <c r="G181" s="79">
        <v>131649.67000000001</v>
      </c>
      <c r="H181" s="79"/>
      <c r="I181" s="79"/>
      <c r="J181" s="79" t="s">
        <v>972</v>
      </c>
      <c r="K181" s="79" t="s">
        <v>972</v>
      </c>
      <c r="L181" s="24">
        <v>0.97</v>
      </c>
      <c r="M181" s="79" t="s">
        <v>46</v>
      </c>
    </row>
    <row r="182" spans="1:13" x14ac:dyDescent="0.3">
      <c r="A182" s="55">
        <v>45931</v>
      </c>
      <c r="B182" s="56" t="s">
        <v>1233</v>
      </c>
      <c r="C182" s="56" t="s">
        <v>1005</v>
      </c>
      <c r="D182" s="55">
        <v>45931</v>
      </c>
      <c r="E182" s="56">
        <v>0</v>
      </c>
      <c r="F182" s="56">
        <v>480</v>
      </c>
      <c r="G182" s="56">
        <v>132129.67000000001</v>
      </c>
      <c r="H182" s="56"/>
      <c r="I182" s="56"/>
      <c r="J182" s="56" t="s">
        <v>22</v>
      </c>
      <c r="K182" s="56" t="s">
        <v>22</v>
      </c>
      <c r="L182" s="24">
        <v>0.93</v>
      </c>
      <c r="M182" s="56" t="s">
        <v>46</v>
      </c>
    </row>
    <row r="183" spans="1:13" x14ac:dyDescent="0.3">
      <c r="A183" s="101">
        <v>45932</v>
      </c>
      <c r="B183" s="102" t="s">
        <v>1234</v>
      </c>
      <c r="C183" s="102" t="s">
        <v>1005</v>
      </c>
      <c r="D183" s="101">
        <v>45932</v>
      </c>
      <c r="E183" s="102">
        <v>1500</v>
      </c>
      <c r="F183" s="102">
        <v>0</v>
      </c>
      <c r="G183" s="102">
        <v>130629.67</v>
      </c>
      <c r="H183" s="102"/>
      <c r="I183" s="102"/>
      <c r="J183" s="102" t="s">
        <v>976</v>
      </c>
      <c r="K183" s="102" t="s">
        <v>1028</v>
      </c>
      <c r="L183" s="24">
        <v>0.85</v>
      </c>
      <c r="M183" s="102" t="s">
        <v>46</v>
      </c>
    </row>
    <row r="184" spans="1:13" x14ac:dyDescent="0.3">
      <c r="A184" s="95">
        <v>45932</v>
      </c>
      <c r="B184" s="96" t="s">
        <v>1235</v>
      </c>
      <c r="C184" s="96" t="s">
        <v>1005</v>
      </c>
      <c r="D184" s="95">
        <v>45932</v>
      </c>
      <c r="E184" s="96">
        <v>23000</v>
      </c>
      <c r="F184" s="96">
        <v>0</v>
      </c>
      <c r="G184" s="96">
        <v>107629.67</v>
      </c>
      <c r="H184" s="96"/>
      <c r="I184" s="96"/>
      <c r="J184" s="96" t="s">
        <v>990</v>
      </c>
      <c r="K184" s="96" t="s">
        <v>990</v>
      </c>
      <c r="L184" s="24">
        <v>0.92</v>
      </c>
      <c r="M184" s="96" t="s">
        <v>46</v>
      </c>
    </row>
    <row r="185" spans="1:13" x14ac:dyDescent="0.3">
      <c r="A185" s="101">
        <v>45932</v>
      </c>
      <c r="B185" s="102" t="s">
        <v>1236</v>
      </c>
      <c r="C185" s="102" t="s">
        <v>1005</v>
      </c>
      <c r="D185" s="101">
        <v>45932</v>
      </c>
      <c r="E185" s="102">
        <v>1500</v>
      </c>
      <c r="F185" s="102">
        <v>0</v>
      </c>
      <c r="G185" s="102">
        <v>106129.67</v>
      </c>
      <c r="H185" s="102"/>
      <c r="I185" s="102"/>
      <c r="J185" s="102" t="s">
        <v>976</v>
      </c>
      <c r="K185" s="102" t="s">
        <v>1028</v>
      </c>
      <c r="L185" s="24">
        <v>0.85</v>
      </c>
      <c r="M185" s="102" t="s">
        <v>46</v>
      </c>
    </row>
    <row r="186" spans="1:13" x14ac:dyDescent="0.3">
      <c r="A186" s="95">
        <v>45933</v>
      </c>
      <c r="B186" s="96" t="s">
        <v>1237</v>
      </c>
      <c r="C186" s="96" t="s">
        <v>1005</v>
      </c>
      <c r="D186" s="95">
        <v>45933</v>
      </c>
      <c r="E186" s="96">
        <v>14739</v>
      </c>
      <c r="F186" s="96">
        <v>0</v>
      </c>
      <c r="G186" s="96">
        <v>91390.67</v>
      </c>
      <c r="H186" s="96"/>
      <c r="I186" s="96"/>
      <c r="J186" s="96" t="s">
        <v>991</v>
      </c>
      <c r="K186" s="96" t="s">
        <v>991</v>
      </c>
      <c r="L186" s="24">
        <v>0.92</v>
      </c>
      <c r="M186" s="96" t="s">
        <v>46</v>
      </c>
    </row>
    <row r="187" spans="1:13" x14ac:dyDescent="0.3">
      <c r="A187" s="101">
        <v>45934</v>
      </c>
      <c r="B187" s="102" t="s">
        <v>1238</v>
      </c>
      <c r="C187" s="102" t="s">
        <v>1005</v>
      </c>
      <c r="D187" s="101">
        <v>45934</v>
      </c>
      <c r="E187" s="102">
        <v>1500</v>
      </c>
      <c r="F187" s="102">
        <v>0</v>
      </c>
      <c r="G187" s="102">
        <v>89890.67</v>
      </c>
      <c r="H187" s="102"/>
      <c r="I187" s="102"/>
      <c r="J187" s="102" t="s">
        <v>976</v>
      </c>
      <c r="K187" s="102" t="s">
        <v>1028</v>
      </c>
      <c r="L187" s="24">
        <v>0.85</v>
      </c>
      <c r="M187" s="102" t="s">
        <v>46</v>
      </c>
    </row>
    <row r="188" spans="1:13" x14ac:dyDescent="0.3">
      <c r="A188" s="99">
        <v>45934</v>
      </c>
      <c r="B188" s="100" t="s">
        <v>1239</v>
      </c>
      <c r="C188" s="100" t="s">
        <v>1005</v>
      </c>
      <c r="D188" s="99">
        <v>45934</v>
      </c>
      <c r="E188" s="100">
        <v>310</v>
      </c>
      <c r="F188" s="100">
        <v>0</v>
      </c>
      <c r="G188" s="100">
        <v>89580.67</v>
      </c>
      <c r="H188" s="100"/>
      <c r="I188" s="100"/>
      <c r="J188" s="100" t="s">
        <v>989</v>
      </c>
      <c r="K188" s="100" t="s">
        <v>1053</v>
      </c>
      <c r="L188" s="40">
        <v>0.75</v>
      </c>
      <c r="M188" s="100" t="s">
        <v>46</v>
      </c>
    </row>
    <row r="189" spans="1:13" x14ac:dyDescent="0.3">
      <c r="A189" s="83">
        <v>45934</v>
      </c>
      <c r="B189" s="84" t="s">
        <v>1240</v>
      </c>
      <c r="C189" s="84" t="s">
        <v>1005</v>
      </c>
      <c r="D189" s="83">
        <v>45934</v>
      </c>
      <c r="E189" s="84">
        <v>4253.6000000000004</v>
      </c>
      <c r="F189" s="84">
        <v>0</v>
      </c>
      <c r="G189" s="84">
        <v>85327.07</v>
      </c>
      <c r="H189" s="84"/>
      <c r="I189" s="84"/>
      <c r="J189" s="84" t="s">
        <v>973</v>
      </c>
      <c r="K189" s="84" t="s">
        <v>1014</v>
      </c>
      <c r="L189" s="40">
        <v>0.68</v>
      </c>
      <c r="M189" s="84" t="s">
        <v>46</v>
      </c>
    </row>
    <row r="190" spans="1:13" x14ac:dyDescent="0.3">
      <c r="A190" s="97">
        <v>45934</v>
      </c>
      <c r="B190" s="98" t="s">
        <v>1241</v>
      </c>
      <c r="C190" s="98" t="s">
        <v>1005</v>
      </c>
      <c r="D190" s="97">
        <v>45934</v>
      </c>
      <c r="E190" s="98">
        <v>20000</v>
      </c>
      <c r="F190" s="98">
        <v>0</v>
      </c>
      <c r="G190" s="98">
        <v>65327.07</v>
      </c>
      <c r="H190" s="98"/>
      <c r="I190" s="98"/>
      <c r="J190" s="98" t="s">
        <v>978</v>
      </c>
      <c r="K190" s="98" t="s">
        <v>1031</v>
      </c>
      <c r="L190" s="24">
        <v>0.85</v>
      </c>
      <c r="M190" s="98" t="s">
        <v>46</v>
      </c>
    </row>
    <row r="191" spans="1:13" x14ac:dyDescent="0.3">
      <c r="A191" s="101">
        <v>45935</v>
      </c>
      <c r="B191" s="102" t="s">
        <v>1242</v>
      </c>
      <c r="C191" s="102" t="s">
        <v>1005</v>
      </c>
      <c r="D191" s="101">
        <v>45935</v>
      </c>
      <c r="E191" s="102">
        <v>1000</v>
      </c>
      <c r="F191" s="102">
        <v>0</v>
      </c>
      <c r="G191" s="102">
        <v>64327.07</v>
      </c>
      <c r="H191" s="102"/>
      <c r="I191" s="102"/>
      <c r="J191" s="102" t="s">
        <v>976</v>
      </c>
      <c r="K191" s="102" t="s">
        <v>1028</v>
      </c>
      <c r="L191" s="24">
        <v>0.85</v>
      </c>
      <c r="M191" s="102" t="s">
        <v>46</v>
      </c>
    </row>
    <row r="192" spans="1:13" x14ac:dyDescent="0.3">
      <c r="A192" s="89">
        <v>45935</v>
      </c>
      <c r="B192" s="90" t="s">
        <v>1243</v>
      </c>
      <c r="C192" s="90" t="s">
        <v>1005</v>
      </c>
      <c r="D192" s="89">
        <v>45935</v>
      </c>
      <c r="E192" s="90">
        <v>450</v>
      </c>
      <c r="F192" s="90">
        <v>0</v>
      </c>
      <c r="G192" s="90">
        <v>63877.07</v>
      </c>
      <c r="H192" s="90" t="s">
        <v>1244</v>
      </c>
      <c r="I192" s="90"/>
      <c r="J192" s="90" t="s">
        <v>975</v>
      </c>
      <c r="K192" s="90" t="s">
        <v>91</v>
      </c>
      <c r="L192" s="39">
        <v>0.55000000000000004</v>
      </c>
      <c r="M192" s="90" t="s">
        <v>46</v>
      </c>
    </row>
    <row r="193" spans="1:13" x14ac:dyDescent="0.3">
      <c r="A193" s="101">
        <v>45936</v>
      </c>
      <c r="B193" s="102" t="s">
        <v>1245</v>
      </c>
      <c r="C193" s="102" t="s">
        <v>1005</v>
      </c>
      <c r="D193" s="101">
        <v>45936</v>
      </c>
      <c r="E193" s="102">
        <v>2203.9499999999998</v>
      </c>
      <c r="F193" s="102">
        <v>0</v>
      </c>
      <c r="G193" s="102">
        <v>61673.120000000003</v>
      </c>
      <c r="H193" s="102"/>
      <c r="I193" s="102"/>
      <c r="J193" s="102" t="s">
        <v>976</v>
      </c>
      <c r="K193" s="102" t="s">
        <v>1028</v>
      </c>
      <c r="L193" s="24">
        <v>0.85</v>
      </c>
      <c r="M193" s="102" t="s">
        <v>46</v>
      </c>
    </row>
    <row r="194" spans="1:13" x14ac:dyDescent="0.3">
      <c r="A194" s="89">
        <v>45936</v>
      </c>
      <c r="B194" s="90" t="s">
        <v>1246</v>
      </c>
      <c r="C194" s="90" t="s">
        <v>1005</v>
      </c>
      <c r="D194" s="89">
        <v>45936</v>
      </c>
      <c r="E194" s="90">
        <v>20</v>
      </c>
      <c r="F194" s="90">
        <v>0</v>
      </c>
      <c r="G194" s="90">
        <v>61653.120000000003</v>
      </c>
      <c r="H194" s="90" t="s">
        <v>1247</v>
      </c>
      <c r="I194" s="90"/>
      <c r="J194" s="90" t="s">
        <v>975</v>
      </c>
      <c r="K194" s="90" t="s">
        <v>91</v>
      </c>
      <c r="L194" s="39">
        <v>0.55000000000000004</v>
      </c>
      <c r="M194" s="90" t="s">
        <v>46</v>
      </c>
    </row>
    <row r="195" spans="1:13" x14ac:dyDescent="0.3">
      <c r="A195" s="89">
        <v>45937</v>
      </c>
      <c r="B195" s="90" t="s">
        <v>1248</v>
      </c>
      <c r="C195" s="90" t="s">
        <v>1005</v>
      </c>
      <c r="D195" s="89">
        <v>45937</v>
      </c>
      <c r="E195" s="90">
        <v>91</v>
      </c>
      <c r="F195" s="90">
        <v>0</v>
      </c>
      <c r="G195" s="90">
        <v>61562.12</v>
      </c>
      <c r="H195" s="90" t="s">
        <v>1226</v>
      </c>
      <c r="I195" s="90"/>
      <c r="J195" s="90" t="s">
        <v>975</v>
      </c>
      <c r="K195" s="90" t="s">
        <v>91</v>
      </c>
      <c r="L195" s="39">
        <v>0.55000000000000004</v>
      </c>
      <c r="M195" s="90" t="s">
        <v>46</v>
      </c>
    </row>
    <row r="196" spans="1:13" x14ac:dyDescent="0.3">
      <c r="A196" s="89">
        <v>45942</v>
      </c>
      <c r="B196" s="90" t="s">
        <v>1249</v>
      </c>
      <c r="C196" s="90" t="s">
        <v>1005</v>
      </c>
      <c r="D196" s="89">
        <v>45942</v>
      </c>
      <c r="E196" s="90">
        <v>30</v>
      </c>
      <c r="F196" s="90">
        <v>0</v>
      </c>
      <c r="G196" s="90">
        <v>61532.12</v>
      </c>
      <c r="H196" s="90" t="s">
        <v>1226</v>
      </c>
      <c r="I196" s="90"/>
      <c r="J196" s="90" t="s">
        <v>975</v>
      </c>
      <c r="K196" s="90" t="s">
        <v>91</v>
      </c>
      <c r="L196" s="39">
        <v>0.55000000000000004</v>
      </c>
      <c r="M196" s="90" t="s">
        <v>46</v>
      </c>
    </row>
    <row r="197" spans="1:13" x14ac:dyDescent="0.3">
      <c r="A197" s="89">
        <v>45942</v>
      </c>
      <c r="B197" s="90" t="s">
        <v>1250</v>
      </c>
      <c r="C197" s="90" t="s">
        <v>1005</v>
      </c>
      <c r="D197" s="89">
        <v>45942</v>
      </c>
      <c r="E197" s="90">
        <v>25</v>
      </c>
      <c r="F197" s="90">
        <v>0</v>
      </c>
      <c r="G197" s="90">
        <v>61507.12</v>
      </c>
      <c r="H197" s="90" t="s">
        <v>1251</v>
      </c>
      <c r="I197" s="90"/>
      <c r="J197" s="90" t="s">
        <v>975</v>
      </c>
      <c r="K197" s="90" t="s">
        <v>91</v>
      </c>
      <c r="L197" s="39">
        <v>0.55000000000000004</v>
      </c>
      <c r="M197" s="90" t="s">
        <v>46</v>
      </c>
    </row>
    <row r="198" spans="1:13" x14ac:dyDescent="0.3">
      <c r="A198" s="89">
        <v>45942</v>
      </c>
      <c r="B198" s="90" t="s">
        <v>1252</v>
      </c>
      <c r="C198" s="90" t="s">
        <v>1005</v>
      </c>
      <c r="D198" s="89">
        <v>45942</v>
      </c>
      <c r="E198" s="90">
        <v>50</v>
      </c>
      <c r="F198" s="90">
        <v>0</v>
      </c>
      <c r="G198" s="90">
        <v>61457.120000000003</v>
      </c>
      <c r="H198" s="90" t="s">
        <v>1251</v>
      </c>
      <c r="I198" s="90"/>
      <c r="J198" s="90" t="s">
        <v>975</v>
      </c>
      <c r="K198" s="90" t="s">
        <v>91</v>
      </c>
      <c r="L198" s="39">
        <v>0.55000000000000004</v>
      </c>
      <c r="M198" s="90" t="s">
        <v>46</v>
      </c>
    </row>
    <row r="199" spans="1:13" x14ac:dyDescent="0.3">
      <c r="A199" s="101">
        <v>45943</v>
      </c>
      <c r="B199" s="102" t="s">
        <v>1253</v>
      </c>
      <c r="C199" s="102" t="s">
        <v>1005</v>
      </c>
      <c r="D199" s="101">
        <v>45943</v>
      </c>
      <c r="E199" s="102">
        <v>1500</v>
      </c>
      <c r="F199" s="102">
        <v>0</v>
      </c>
      <c r="G199" s="102">
        <v>59957.120000000003</v>
      </c>
      <c r="H199" s="102"/>
      <c r="I199" s="102"/>
      <c r="J199" s="102" t="s">
        <v>976</v>
      </c>
      <c r="K199" s="102" t="s">
        <v>1028</v>
      </c>
      <c r="L199" s="24">
        <v>0.85</v>
      </c>
      <c r="M199" s="102" t="s">
        <v>46</v>
      </c>
    </row>
    <row r="200" spans="1:13" x14ac:dyDescent="0.3">
      <c r="A200" s="101">
        <v>45943</v>
      </c>
      <c r="B200" s="102" t="s">
        <v>1254</v>
      </c>
      <c r="C200" s="102" t="s">
        <v>1005</v>
      </c>
      <c r="D200" s="101">
        <v>45943</v>
      </c>
      <c r="E200" s="102">
        <v>1500</v>
      </c>
      <c r="F200" s="102">
        <v>0</v>
      </c>
      <c r="G200" s="102">
        <v>58457.120000000003</v>
      </c>
      <c r="H200" s="102"/>
      <c r="I200" s="102"/>
      <c r="J200" s="102" t="s">
        <v>976</v>
      </c>
      <c r="K200" s="102" t="s">
        <v>1028</v>
      </c>
      <c r="L200" s="24">
        <v>0.85</v>
      </c>
      <c r="M200" s="102" t="s">
        <v>46</v>
      </c>
    </row>
    <row r="201" spans="1:13" x14ac:dyDescent="0.3">
      <c r="A201" s="101">
        <v>45945</v>
      </c>
      <c r="B201" s="102" t="s">
        <v>1255</v>
      </c>
      <c r="C201" s="102" t="s">
        <v>1005</v>
      </c>
      <c r="D201" s="101">
        <v>45945</v>
      </c>
      <c r="E201" s="102">
        <v>1500</v>
      </c>
      <c r="F201" s="102">
        <v>0</v>
      </c>
      <c r="G201" s="102">
        <v>56957.120000000003</v>
      </c>
      <c r="H201" s="102"/>
      <c r="I201" s="102"/>
      <c r="J201" s="102" t="s">
        <v>976</v>
      </c>
      <c r="K201" s="102" t="s">
        <v>1028</v>
      </c>
      <c r="L201" s="24">
        <v>0.85</v>
      </c>
      <c r="M201" s="102" t="s">
        <v>46</v>
      </c>
    </row>
    <row r="202" spans="1:13" x14ac:dyDescent="0.3">
      <c r="A202" s="101">
        <v>45946</v>
      </c>
      <c r="B202" s="102" t="s">
        <v>1256</v>
      </c>
      <c r="C202" s="102" t="s">
        <v>1005</v>
      </c>
      <c r="D202" s="101">
        <v>45946</v>
      </c>
      <c r="E202" s="102">
        <v>1500</v>
      </c>
      <c r="F202" s="102">
        <v>0</v>
      </c>
      <c r="G202" s="102">
        <v>55457.120000000003</v>
      </c>
      <c r="H202" s="102"/>
      <c r="I202" s="102"/>
      <c r="J202" s="102" t="s">
        <v>976</v>
      </c>
      <c r="K202" s="102" t="s">
        <v>1028</v>
      </c>
      <c r="L202" s="24">
        <v>0.85</v>
      </c>
      <c r="M202" s="102" t="s">
        <v>46</v>
      </c>
    </row>
    <row r="203" spans="1:13" x14ac:dyDescent="0.3">
      <c r="A203" s="89">
        <v>45947</v>
      </c>
      <c r="B203" s="90" t="s">
        <v>1257</v>
      </c>
      <c r="C203" s="90" t="s">
        <v>1005</v>
      </c>
      <c r="D203" s="89">
        <v>45947</v>
      </c>
      <c r="E203" s="90">
        <v>10</v>
      </c>
      <c r="F203" s="90">
        <v>0</v>
      </c>
      <c r="G203" s="90">
        <v>55447.12</v>
      </c>
      <c r="H203" s="90" t="s">
        <v>1258</v>
      </c>
      <c r="I203" s="90"/>
      <c r="J203" s="90" t="s">
        <v>975</v>
      </c>
      <c r="K203" s="90" t="s">
        <v>91</v>
      </c>
      <c r="L203" s="39">
        <v>0.55000000000000004</v>
      </c>
      <c r="M203" s="90" t="s">
        <v>46</v>
      </c>
    </row>
    <row r="204" spans="1:13" x14ac:dyDescent="0.3">
      <c r="A204" s="101">
        <v>45947</v>
      </c>
      <c r="B204" s="102" t="s">
        <v>1259</v>
      </c>
      <c r="C204" s="102" t="s">
        <v>1005</v>
      </c>
      <c r="D204" s="101">
        <v>45947</v>
      </c>
      <c r="E204" s="102">
        <v>1500</v>
      </c>
      <c r="F204" s="102">
        <v>0</v>
      </c>
      <c r="G204" s="102">
        <v>53947.12</v>
      </c>
      <c r="H204" s="102"/>
      <c r="I204" s="102"/>
      <c r="J204" s="102" t="s">
        <v>976</v>
      </c>
      <c r="K204" s="102" t="s">
        <v>1028</v>
      </c>
      <c r="L204" s="24">
        <v>0.85</v>
      </c>
      <c r="M204" s="102" t="s">
        <v>46</v>
      </c>
    </row>
    <row r="205" spans="1:13" x14ac:dyDescent="0.3">
      <c r="A205" s="101">
        <v>45948</v>
      </c>
      <c r="B205" s="102" t="s">
        <v>1260</v>
      </c>
      <c r="C205" s="102" t="s">
        <v>1005</v>
      </c>
      <c r="D205" s="101">
        <v>45948</v>
      </c>
      <c r="E205" s="102">
        <v>1500</v>
      </c>
      <c r="F205" s="102">
        <v>0</v>
      </c>
      <c r="G205" s="102">
        <v>52447.12</v>
      </c>
      <c r="H205" s="102"/>
      <c r="I205" s="102"/>
      <c r="J205" s="102" t="s">
        <v>976</v>
      </c>
      <c r="K205" s="102" t="s">
        <v>1028</v>
      </c>
      <c r="L205" s="24">
        <v>0.85</v>
      </c>
      <c r="M205" s="102" t="s">
        <v>46</v>
      </c>
    </row>
    <row r="206" spans="1:13" x14ac:dyDescent="0.3">
      <c r="A206" s="101">
        <v>45948</v>
      </c>
      <c r="B206" s="102" t="s">
        <v>1261</v>
      </c>
      <c r="C206" s="102" t="s">
        <v>1005</v>
      </c>
      <c r="D206" s="101">
        <v>45948</v>
      </c>
      <c r="E206" s="102">
        <v>1500</v>
      </c>
      <c r="F206" s="102">
        <v>0</v>
      </c>
      <c r="G206" s="102">
        <v>50947.12</v>
      </c>
      <c r="H206" s="102"/>
      <c r="I206" s="102"/>
      <c r="J206" s="102" t="s">
        <v>976</v>
      </c>
      <c r="K206" s="102" t="s">
        <v>1028</v>
      </c>
      <c r="L206" s="24">
        <v>0.85</v>
      </c>
      <c r="M206" s="102" t="s">
        <v>46</v>
      </c>
    </row>
    <row r="207" spans="1:13" x14ac:dyDescent="0.3">
      <c r="A207" s="89">
        <v>45949</v>
      </c>
      <c r="B207" s="90" t="s">
        <v>1262</v>
      </c>
      <c r="C207" s="90" t="s">
        <v>1005</v>
      </c>
      <c r="D207" s="89">
        <v>45949</v>
      </c>
      <c r="E207" s="90">
        <v>412.42</v>
      </c>
      <c r="F207" s="90">
        <v>0</v>
      </c>
      <c r="G207" s="90">
        <v>50534.7</v>
      </c>
      <c r="H207" s="90"/>
      <c r="I207" s="90"/>
      <c r="J207" s="90" t="s">
        <v>992</v>
      </c>
      <c r="K207" s="90" t="s">
        <v>91</v>
      </c>
      <c r="L207" s="40">
        <v>0.75</v>
      </c>
      <c r="M207" s="90" t="s">
        <v>46</v>
      </c>
    </row>
    <row r="208" spans="1:13" x14ac:dyDescent="0.3">
      <c r="A208" s="89">
        <v>45949</v>
      </c>
      <c r="B208" s="90" t="s">
        <v>1263</v>
      </c>
      <c r="C208" s="90" t="s">
        <v>1005</v>
      </c>
      <c r="D208" s="89">
        <v>45949</v>
      </c>
      <c r="E208" s="90">
        <v>50</v>
      </c>
      <c r="F208" s="90">
        <v>0</v>
      </c>
      <c r="G208" s="90">
        <v>50484.7</v>
      </c>
      <c r="H208" s="90" t="s">
        <v>1264</v>
      </c>
      <c r="I208" s="90"/>
      <c r="J208" s="90" t="s">
        <v>975</v>
      </c>
      <c r="K208" s="90" t="s">
        <v>91</v>
      </c>
      <c r="L208" s="39">
        <v>0.55000000000000004</v>
      </c>
      <c r="M208" s="90" t="s">
        <v>46</v>
      </c>
    </row>
    <row r="209" spans="1:13" x14ac:dyDescent="0.3">
      <c r="A209" s="101">
        <v>45950</v>
      </c>
      <c r="B209" s="102" t="s">
        <v>1265</v>
      </c>
      <c r="C209" s="102" t="s">
        <v>1005</v>
      </c>
      <c r="D209" s="101">
        <v>45950</v>
      </c>
      <c r="E209" s="102">
        <v>1500</v>
      </c>
      <c r="F209" s="102">
        <v>0</v>
      </c>
      <c r="G209" s="102">
        <v>48984.7</v>
      </c>
      <c r="H209" s="102"/>
      <c r="I209" s="102"/>
      <c r="J209" s="102" t="s">
        <v>976</v>
      </c>
      <c r="K209" s="102" t="s">
        <v>1028</v>
      </c>
      <c r="L209" s="24">
        <v>0.85</v>
      </c>
      <c r="M209" s="102" t="s">
        <v>46</v>
      </c>
    </row>
    <row r="210" spans="1:13" x14ac:dyDescent="0.3">
      <c r="A210" s="89">
        <v>45950</v>
      </c>
      <c r="B210" s="90" t="s">
        <v>1266</v>
      </c>
      <c r="C210" s="90" t="s">
        <v>1005</v>
      </c>
      <c r="D210" s="89">
        <v>45950</v>
      </c>
      <c r="E210" s="90">
        <v>10</v>
      </c>
      <c r="F210" s="90">
        <v>0</v>
      </c>
      <c r="G210" s="90">
        <v>48974.7</v>
      </c>
      <c r="H210" s="90" t="s">
        <v>1267</v>
      </c>
      <c r="I210" s="90"/>
      <c r="J210" s="90" t="s">
        <v>975</v>
      </c>
      <c r="K210" s="90" t="s">
        <v>91</v>
      </c>
      <c r="L210" s="39">
        <v>0.55000000000000004</v>
      </c>
      <c r="M210" s="90" t="s">
        <v>46</v>
      </c>
    </row>
    <row r="211" spans="1:13" x14ac:dyDescent="0.3">
      <c r="A211" s="101">
        <v>45951</v>
      </c>
      <c r="B211" s="102" t="s">
        <v>1268</v>
      </c>
      <c r="C211" s="102" t="s">
        <v>1005</v>
      </c>
      <c r="D211" s="101">
        <v>45951</v>
      </c>
      <c r="E211" s="102">
        <v>1500</v>
      </c>
      <c r="F211" s="102">
        <v>0</v>
      </c>
      <c r="G211" s="102">
        <v>47474.7</v>
      </c>
      <c r="H211" s="102"/>
      <c r="I211" s="102"/>
      <c r="J211" s="102" t="s">
        <v>976</v>
      </c>
      <c r="K211" s="102" t="s">
        <v>1028</v>
      </c>
      <c r="L211" s="24">
        <v>0.85</v>
      </c>
      <c r="M211" s="102" t="s">
        <v>46</v>
      </c>
    </row>
    <row r="212" spans="1:13" x14ac:dyDescent="0.3">
      <c r="A212" s="101">
        <v>45953</v>
      </c>
      <c r="B212" s="102" t="s">
        <v>1269</v>
      </c>
      <c r="C212" s="102" t="s">
        <v>1005</v>
      </c>
      <c r="D212" s="101">
        <v>45953</v>
      </c>
      <c r="E212" s="102">
        <v>1500</v>
      </c>
      <c r="F212" s="102">
        <v>0</v>
      </c>
      <c r="G212" s="102">
        <v>45974.7</v>
      </c>
      <c r="H212" s="102"/>
      <c r="I212" s="102"/>
      <c r="J212" s="102" t="s">
        <v>976</v>
      </c>
      <c r="K212" s="102" t="s">
        <v>1028</v>
      </c>
      <c r="L212" s="24">
        <v>0.85</v>
      </c>
      <c r="M212" s="102" t="s">
        <v>46</v>
      </c>
    </row>
    <row r="213" spans="1:13" x14ac:dyDescent="0.3">
      <c r="A213" s="101">
        <v>45954</v>
      </c>
      <c r="B213" s="102" t="s">
        <v>1270</v>
      </c>
      <c r="C213" s="102" t="s">
        <v>1005</v>
      </c>
      <c r="D213" s="101">
        <v>45954</v>
      </c>
      <c r="E213" s="102">
        <v>1500</v>
      </c>
      <c r="F213" s="102">
        <v>0</v>
      </c>
      <c r="G213" s="102">
        <v>44474.7</v>
      </c>
      <c r="H213" s="102"/>
      <c r="I213" s="102"/>
      <c r="J213" s="102" t="s">
        <v>976</v>
      </c>
      <c r="K213" s="102" t="s">
        <v>1028</v>
      </c>
      <c r="L213" s="24">
        <v>0.85</v>
      </c>
      <c r="M213" s="102" t="s">
        <v>46</v>
      </c>
    </row>
    <row r="214" spans="1:13" x14ac:dyDescent="0.3">
      <c r="A214" s="101">
        <v>45955</v>
      </c>
      <c r="B214" s="102" t="s">
        <v>1271</v>
      </c>
      <c r="C214" s="102" t="s">
        <v>1005</v>
      </c>
      <c r="D214" s="101">
        <v>45955</v>
      </c>
      <c r="E214" s="102">
        <v>3200</v>
      </c>
      <c r="F214" s="102">
        <v>0</v>
      </c>
      <c r="G214" s="102">
        <v>41274.699999999997</v>
      </c>
      <c r="H214" s="102"/>
      <c r="I214" s="102"/>
      <c r="J214" s="102" t="s">
        <v>976</v>
      </c>
      <c r="K214" s="102" t="s">
        <v>1028</v>
      </c>
      <c r="L214" s="24">
        <v>0.85</v>
      </c>
      <c r="M214" s="102" t="s">
        <v>46</v>
      </c>
    </row>
    <row r="215" spans="1:13" x14ac:dyDescent="0.3">
      <c r="A215" s="83">
        <v>45955</v>
      </c>
      <c r="B215" s="84" t="s">
        <v>1272</v>
      </c>
      <c r="C215" s="84" t="s">
        <v>1005</v>
      </c>
      <c r="D215" s="83">
        <v>45955</v>
      </c>
      <c r="E215" s="84">
        <v>0</v>
      </c>
      <c r="F215" s="84">
        <v>2430</v>
      </c>
      <c r="G215" s="84">
        <v>43704.7</v>
      </c>
      <c r="H215" s="84"/>
      <c r="I215" s="84"/>
      <c r="J215" s="84" t="s">
        <v>973</v>
      </c>
      <c r="K215" s="84" t="s">
        <v>1014</v>
      </c>
      <c r="L215" s="24">
        <v>0.92</v>
      </c>
      <c r="M215" s="84" t="s">
        <v>46</v>
      </c>
    </row>
    <row r="216" spans="1:13" x14ac:dyDescent="0.3">
      <c r="A216" s="101">
        <v>45956</v>
      </c>
      <c r="B216" s="102" t="s">
        <v>1273</v>
      </c>
      <c r="C216" s="102" t="s">
        <v>1005</v>
      </c>
      <c r="D216" s="101">
        <v>45956</v>
      </c>
      <c r="E216" s="102">
        <v>3200</v>
      </c>
      <c r="F216" s="102">
        <v>0</v>
      </c>
      <c r="G216" s="102">
        <v>40504.699999999997</v>
      </c>
      <c r="H216" s="102"/>
      <c r="I216" s="102"/>
      <c r="J216" s="102" t="s">
        <v>976</v>
      </c>
      <c r="K216" s="102" t="s">
        <v>1028</v>
      </c>
      <c r="L216" s="24">
        <v>0.85</v>
      </c>
      <c r="M216" s="102" t="s">
        <v>46</v>
      </c>
    </row>
    <row r="217" spans="1:13" x14ac:dyDescent="0.3">
      <c r="A217" s="101">
        <v>45957</v>
      </c>
      <c r="B217" s="102" t="s">
        <v>1274</v>
      </c>
      <c r="C217" s="102" t="s">
        <v>1005</v>
      </c>
      <c r="D217" s="101">
        <v>45957</v>
      </c>
      <c r="E217" s="102">
        <v>3000</v>
      </c>
      <c r="F217" s="102">
        <v>0</v>
      </c>
      <c r="G217" s="102">
        <v>37504.699999999997</v>
      </c>
      <c r="H217" s="102"/>
      <c r="I217" s="102"/>
      <c r="J217" s="102" t="s">
        <v>976</v>
      </c>
      <c r="K217" s="102" t="s">
        <v>1028</v>
      </c>
      <c r="L217" s="24">
        <v>0.85</v>
      </c>
      <c r="M217" s="102" t="s">
        <v>46</v>
      </c>
    </row>
    <row r="218" spans="1:13" x14ac:dyDescent="0.3">
      <c r="A218" s="101">
        <v>45960</v>
      </c>
      <c r="B218" s="102" t="s">
        <v>1275</v>
      </c>
      <c r="C218" s="102" t="s">
        <v>1005</v>
      </c>
      <c r="D218" s="101">
        <v>45960</v>
      </c>
      <c r="E218" s="102">
        <v>6000</v>
      </c>
      <c r="F218" s="102">
        <v>0</v>
      </c>
      <c r="G218" s="102">
        <v>31504.7</v>
      </c>
      <c r="H218" s="102"/>
      <c r="I218" s="102"/>
      <c r="J218" s="102" t="s">
        <v>976</v>
      </c>
      <c r="K218" s="102" t="s">
        <v>1028</v>
      </c>
      <c r="L218" s="24">
        <v>0.85</v>
      </c>
      <c r="M218" s="102" t="s">
        <v>46</v>
      </c>
    </row>
    <row r="219" spans="1:13" x14ac:dyDescent="0.3">
      <c r="A219" s="101">
        <v>45961</v>
      </c>
      <c r="B219" s="102" t="s">
        <v>1276</v>
      </c>
      <c r="C219" s="102" t="s">
        <v>1005</v>
      </c>
      <c r="D219" s="101">
        <v>45961</v>
      </c>
      <c r="E219" s="102">
        <v>4000</v>
      </c>
      <c r="F219" s="102">
        <v>0</v>
      </c>
      <c r="G219" s="102">
        <v>27504.7</v>
      </c>
      <c r="H219" s="102"/>
      <c r="I219" s="102"/>
      <c r="J219" s="102" t="s">
        <v>976</v>
      </c>
      <c r="K219" s="102" t="s">
        <v>1028</v>
      </c>
      <c r="L219" s="24">
        <v>0.85</v>
      </c>
      <c r="M219" s="102" t="s">
        <v>46</v>
      </c>
    </row>
    <row r="220" spans="1:13" x14ac:dyDescent="0.3">
      <c r="A220" s="101">
        <v>45962</v>
      </c>
      <c r="B220" s="102" t="s">
        <v>1277</v>
      </c>
      <c r="C220" s="102" t="s">
        <v>1005</v>
      </c>
      <c r="D220" s="101">
        <v>45962</v>
      </c>
      <c r="E220" s="102">
        <v>3000</v>
      </c>
      <c r="F220" s="102">
        <v>0</v>
      </c>
      <c r="G220" s="102">
        <v>24504.7</v>
      </c>
      <c r="H220" s="102"/>
      <c r="I220" s="102"/>
      <c r="J220" s="102" t="s">
        <v>976</v>
      </c>
      <c r="K220" s="102" t="s">
        <v>1028</v>
      </c>
      <c r="L220" s="24">
        <v>0.85</v>
      </c>
      <c r="M220" s="102" t="s">
        <v>46</v>
      </c>
    </row>
    <row r="221" spans="1:13" x14ac:dyDescent="0.3">
      <c r="A221" s="78">
        <v>45962</v>
      </c>
      <c r="B221" s="79" t="s">
        <v>1278</v>
      </c>
      <c r="C221" s="79" t="s">
        <v>1005</v>
      </c>
      <c r="D221" s="78">
        <v>45962</v>
      </c>
      <c r="E221" s="79">
        <v>0</v>
      </c>
      <c r="F221" s="79">
        <v>98705</v>
      </c>
      <c r="G221" s="79">
        <v>123209.7</v>
      </c>
      <c r="H221" s="79"/>
      <c r="I221" s="79"/>
      <c r="J221" s="79" t="s">
        <v>972</v>
      </c>
      <c r="K221" s="79" t="s">
        <v>972</v>
      </c>
      <c r="L221" s="24">
        <v>0.97</v>
      </c>
      <c r="M221" s="79" t="s">
        <v>46</v>
      </c>
    </row>
    <row r="222" spans="1:13" x14ac:dyDescent="0.3">
      <c r="A222" s="101">
        <v>45963</v>
      </c>
      <c r="B222" s="102" t="s">
        <v>1279</v>
      </c>
      <c r="C222" s="102" t="s">
        <v>1005</v>
      </c>
      <c r="D222" s="101">
        <v>45963</v>
      </c>
      <c r="E222" s="102">
        <v>3000</v>
      </c>
      <c r="F222" s="102">
        <v>0</v>
      </c>
      <c r="G222" s="102">
        <v>120209.7</v>
      </c>
      <c r="H222" s="102"/>
      <c r="I222" s="102"/>
      <c r="J222" s="102" t="s">
        <v>976</v>
      </c>
      <c r="K222" s="102" t="s">
        <v>1028</v>
      </c>
      <c r="L222" s="24">
        <v>0.85</v>
      </c>
      <c r="M222" s="102" t="s">
        <v>46</v>
      </c>
    </row>
    <row r="223" spans="1:13" x14ac:dyDescent="0.3">
      <c r="A223" s="101">
        <v>45964</v>
      </c>
      <c r="B223" s="102" t="s">
        <v>1280</v>
      </c>
      <c r="C223" s="102" t="s">
        <v>1005</v>
      </c>
      <c r="D223" s="101">
        <v>45964</v>
      </c>
      <c r="E223" s="102">
        <v>3000</v>
      </c>
      <c r="F223" s="102">
        <v>0</v>
      </c>
      <c r="G223" s="102">
        <v>117209.7</v>
      </c>
      <c r="H223" s="102"/>
      <c r="I223" s="102"/>
      <c r="J223" s="102" t="s">
        <v>976</v>
      </c>
      <c r="K223" s="102" t="s">
        <v>1028</v>
      </c>
      <c r="L223" s="24">
        <v>0.85</v>
      </c>
      <c r="M223" s="102" t="s">
        <v>46</v>
      </c>
    </row>
    <row r="224" spans="1:13" x14ac:dyDescent="0.3">
      <c r="A224" s="95">
        <v>45964</v>
      </c>
      <c r="B224" s="96" t="s">
        <v>1281</v>
      </c>
      <c r="C224" s="96" t="s">
        <v>1005</v>
      </c>
      <c r="D224" s="95">
        <v>45964</v>
      </c>
      <c r="E224" s="96">
        <v>23000</v>
      </c>
      <c r="F224" s="96">
        <v>0</v>
      </c>
      <c r="G224" s="96">
        <v>94209.7</v>
      </c>
      <c r="H224" s="96"/>
      <c r="I224" s="96"/>
      <c r="J224" s="96" t="s">
        <v>990</v>
      </c>
      <c r="K224" s="96" t="s">
        <v>990</v>
      </c>
      <c r="L224" s="24">
        <v>0.92</v>
      </c>
      <c r="M224" s="96" t="s">
        <v>46</v>
      </c>
    </row>
    <row r="225" spans="1:13" x14ac:dyDescent="0.3">
      <c r="A225" s="101">
        <v>45965</v>
      </c>
      <c r="B225" s="102" t="s">
        <v>1282</v>
      </c>
      <c r="C225" s="102" t="s">
        <v>1005</v>
      </c>
      <c r="D225" s="101">
        <v>45965</v>
      </c>
      <c r="E225" s="102">
        <v>3000</v>
      </c>
      <c r="F225" s="102">
        <v>0</v>
      </c>
      <c r="G225" s="102">
        <v>91209.7</v>
      </c>
      <c r="H225" s="102"/>
      <c r="I225" s="102"/>
      <c r="J225" s="102" t="s">
        <v>976</v>
      </c>
      <c r="K225" s="102" t="s">
        <v>1028</v>
      </c>
      <c r="L225" s="24">
        <v>0.85</v>
      </c>
      <c r="M225" s="102" t="s">
        <v>46</v>
      </c>
    </row>
    <row r="226" spans="1:13" x14ac:dyDescent="0.3">
      <c r="A226" s="99">
        <v>45965</v>
      </c>
      <c r="B226" s="100" t="s">
        <v>1283</v>
      </c>
      <c r="C226" s="100" t="s">
        <v>1005</v>
      </c>
      <c r="D226" s="99">
        <v>45965</v>
      </c>
      <c r="E226" s="100">
        <v>260</v>
      </c>
      <c r="F226" s="100">
        <v>0</v>
      </c>
      <c r="G226" s="100">
        <v>90949.7</v>
      </c>
      <c r="H226" s="100"/>
      <c r="I226" s="100"/>
      <c r="J226" s="100" t="s">
        <v>981</v>
      </c>
      <c r="K226" s="100" t="s">
        <v>1053</v>
      </c>
      <c r="L226" s="40">
        <v>0.8</v>
      </c>
      <c r="M226" s="100" t="s">
        <v>46</v>
      </c>
    </row>
    <row r="227" spans="1:13" x14ac:dyDescent="0.3">
      <c r="A227" s="105">
        <v>45965</v>
      </c>
      <c r="B227" s="106" t="s">
        <v>1284</v>
      </c>
      <c r="C227" s="106" t="s">
        <v>1005</v>
      </c>
      <c r="D227" s="105">
        <v>45965</v>
      </c>
      <c r="E227" s="106">
        <v>3000</v>
      </c>
      <c r="F227" s="106">
        <v>0</v>
      </c>
      <c r="G227" s="106">
        <v>87949.7</v>
      </c>
      <c r="H227" s="106"/>
      <c r="I227" s="106"/>
      <c r="J227" s="106" t="s">
        <v>993</v>
      </c>
      <c r="K227" s="106" t="s">
        <v>1176</v>
      </c>
      <c r="L227" s="24">
        <v>0.88</v>
      </c>
      <c r="M227" s="106" t="s">
        <v>46</v>
      </c>
    </row>
    <row r="228" spans="1:13" x14ac:dyDescent="0.3">
      <c r="A228" s="101">
        <v>45965</v>
      </c>
      <c r="B228" s="102" t="s">
        <v>1285</v>
      </c>
      <c r="C228" s="102" t="s">
        <v>1005</v>
      </c>
      <c r="D228" s="101">
        <v>45965</v>
      </c>
      <c r="E228" s="102">
        <v>3000</v>
      </c>
      <c r="F228" s="102">
        <v>0</v>
      </c>
      <c r="G228" s="102">
        <v>84949.7</v>
      </c>
      <c r="H228" s="102"/>
      <c r="I228" s="102"/>
      <c r="J228" s="102" t="s">
        <v>976</v>
      </c>
      <c r="K228" s="102" t="s">
        <v>1028</v>
      </c>
      <c r="L228" s="24">
        <v>0.85</v>
      </c>
      <c r="M228" s="102" t="s">
        <v>46</v>
      </c>
    </row>
    <row r="229" spans="1:13" x14ac:dyDescent="0.3">
      <c r="A229" s="101">
        <v>45967</v>
      </c>
      <c r="B229" s="102" t="s">
        <v>1286</v>
      </c>
      <c r="C229" s="102" t="s">
        <v>1005</v>
      </c>
      <c r="D229" s="101">
        <v>45967</v>
      </c>
      <c r="E229" s="102">
        <v>2440.5</v>
      </c>
      <c r="F229" s="102">
        <v>0</v>
      </c>
      <c r="G229" s="102">
        <v>82509.2</v>
      </c>
      <c r="H229" s="102"/>
      <c r="I229" s="102"/>
      <c r="J229" s="102" t="s">
        <v>976</v>
      </c>
      <c r="K229" s="102" t="s">
        <v>1028</v>
      </c>
      <c r="L229" s="24">
        <v>0.85</v>
      </c>
      <c r="M229" s="102" t="s">
        <v>46</v>
      </c>
    </row>
    <row r="230" spans="1:13" x14ac:dyDescent="0.3">
      <c r="A230" s="27">
        <v>45968</v>
      </c>
      <c r="B230" s="28" t="s">
        <v>1287</v>
      </c>
      <c r="C230" s="28" t="s">
        <v>1005</v>
      </c>
      <c r="D230" s="27">
        <v>45968</v>
      </c>
      <c r="E230" s="28">
        <v>231.56</v>
      </c>
      <c r="F230" s="28">
        <v>0</v>
      </c>
      <c r="G230" s="28">
        <v>82277.64</v>
      </c>
      <c r="H230" s="28"/>
      <c r="I230" s="28"/>
      <c r="J230" s="28" t="s">
        <v>11</v>
      </c>
      <c r="K230" s="28" t="s">
        <v>112</v>
      </c>
      <c r="L230" s="40">
        <v>0.68</v>
      </c>
      <c r="M230" s="28" t="s">
        <v>46</v>
      </c>
    </row>
    <row r="231" spans="1:13" x14ac:dyDescent="0.3">
      <c r="A231" s="85">
        <v>45968</v>
      </c>
      <c r="B231" s="86" t="s">
        <v>1288</v>
      </c>
      <c r="C231" s="86" t="s">
        <v>1005</v>
      </c>
      <c r="D231" s="85">
        <v>45968</v>
      </c>
      <c r="E231" s="86">
        <v>15000</v>
      </c>
      <c r="F231" s="86">
        <v>0</v>
      </c>
      <c r="G231" s="86">
        <v>67277.64</v>
      </c>
      <c r="H231" s="86"/>
      <c r="I231" s="86"/>
      <c r="J231" s="86" t="s">
        <v>974</v>
      </c>
      <c r="K231" s="86" t="s">
        <v>1019</v>
      </c>
      <c r="L231" s="24">
        <v>0.9</v>
      </c>
      <c r="M231" s="86" t="s">
        <v>46</v>
      </c>
    </row>
    <row r="232" spans="1:13" x14ac:dyDescent="0.3">
      <c r="A232" s="83">
        <v>45974</v>
      </c>
      <c r="B232" s="84" t="s">
        <v>1289</v>
      </c>
      <c r="C232" s="84" t="s">
        <v>1005</v>
      </c>
      <c r="D232" s="83">
        <v>45974</v>
      </c>
      <c r="E232" s="84">
        <v>1294.5</v>
      </c>
      <c r="F232" s="84">
        <v>0</v>
      </c>
      <c r="G232" s="84">
        <v>65983.14</v>
      </c>
      <c r="H232" s="84"/>
      <c r="I232" s="84"/>
      <c r="J232" s="84" t="s">
        <v>973</v>
      </c>
      <c r="K232" s="84" t="s">
        <v>1014</v>
      </c>
      <c r="L232" s="40">
        <v>0.68</v>
      </c>
      <c r="M232" s="84" t="s">
        <v>46</v>
      </c>
    </row>
    <row r="233" spans="1:13" x14ac:dyDescent="0.3">
      <c r="A233" s="83">
        <v>45974</v>
      </c>
      <c r="B233" s="84" t="s">
        <v>1290</v>
      </c>
      <c r="C233" s="84" t="s">
        <v>1005</v>
      </c>
      <c r="D233" s="83">
        <v>45974</v>
      </c>
      <c r="E233" s="84">
        <v>1053.5999999999999</v>
      </c>
      <c r="F233" s="84">
        <v>0</v>
      </c>
      <c r="G233" s="84">
        <v>64929.54</v>
      </c>
      <c r="H233" s="84"/>
      <c r="I233" s="84"/>
      <c r="J233" s="84" t="s">
        <v>973</v>
      </c>
      <c r="K233" s="84" t="s">
        <v>1014</v>
      </c>
      <c r="L233" s="40">
        <v>0.68</v>
      </c>
      <c r="M233" s="84" t="s">
        <v>46</v>
      </c>
    </row>
    <row r="234" spans="1:13" x14ac:dyDescent="0.3">
      <c r="A234" s="83">
        <v>45974</v>
      </c>
      <c r="B234" s="84" t="s">
        <v>1291</v>
      </c>
      <c r="C234" s="84" t="s">
        <v>1005</v>
      </c>
      <c r="D234" s="83">
        <v>45974</v>
      </c>
      <c r="E234" s="84">
        <v>112.7</v>
      </c>
      <c r="F234" s="84">
        <v>0</v>
      </c>
      <c r="G234" s="84">
        <v>64816.84</v>
      </c>
      <c r="H234" s="84"/>
      <c r="I234" s="84"/>
      <c r="J234" s="84" t="s">
        <v>973</v>
      </c>
      <c r="K234" s="84" t="s">
        <v>1014</v>
      </c>
      <c r="L234" s="40">
        <v>0.68</v>
      </c>
      <c r="M234" s="84" t="s">
        <v>46</v>
      </c>
    </row>
    <row r="235" spans="1:13" x14ac:dyDescent="0.3">
      <c r="A235" s="83">
        <v>45974</v>
      </c>
      <c r="B235" s="84" t="s">
        <v>1292</v>
      </c>
      <c r="C235" s="84" t="s">
        <v>1005</v>
      </c>
      <c r="D235" s="83">
        <v>45974</v>
      </c>
      <c r="E235" s="84">
        <v>152.69999999999999</v>
      </c>
      <c r="F235" s="84">
        <v>0</v>
      </c>
      <c r="G235" s="84">
        <v>64664.14</v>
      </c>
      <c r="H235" s="84"/>
      <c r="I235" s="84"/>
      <c r="J235" s="84" t="s">
        <v>973</v>
      </c>
      <c r="K235" s="84" t="s">
        <v>1014</v>
      </c>
      <c r="L235" s="40">
        <v>0.68</v>
      </c>
      <c r="M235" s="84" t="s">
        <v>46</v>
      </c>
    </row>
    <row r="236" spans="1:13" x14ac:dyDescent="0.3">
      <c r="A236" s="83">
        <v>45974</v>
      </c>
      <c r="B236" s="84" t="s">
        <v>1293</v>
      </c>
      <c r="C236" s="84" t="s">
        <v>1005</v>
      </c>
      <c r="D236" s="83">
        <v>45974</v>
      </c>
      <c r="E236" s="84">
        <v>312.7</v>
      </c>
      <c r="F236" s="84">
        <v>0</v>
      </c>
      <c r="G236" s="84">
        <v>64351.44</v>
      </c>
      <c r="H236" s="84"/>
      <c r="I236" s="84"/>
      <c r="J236" s="84" t="s">
        <v>973</v>
      </c>
      <c r="K236" s="84" t="s">
        <v>1014</v>
      </c>
      <c r="L236" s="40">
        <v>0.68</v>
      </c>
      <c r="M236" s="84" t="s">
        <v>46</v>
      </c>
    </row>
    <row r="237" spans="1:13" x14ac:dyDescent="0.3">
      <c r="A237" s="83">
        <v>45974</v>
      </c>
      <c r="B237" s="84" t="s">
        <v>1294</v>
      </c>
      <c r="C237" s="84" t="s">
        <v>1005</v>
      </c>
      <c r="D237" s="83">
        <v>45974</v>
      </c>
      <c r="E237" s="84">
        <v>142.69999999999999</v>
      </c>
      <c r="F237" s="84">
        <v>0</v>
      </c>
      <c r="G237" s="84">
        <v>64208.74</v>
      </c>
      <c r="H237" s="84"/>
      <c r="I237" s="84"/>
      <c r="J237" s="84" t="s">
        <v>973</v>
      </c>
      <c r="K237" s="84" t="s">
        <v>1014</v>
      </c>
      <c r="L237" s="40">
        <v>0.68</v>
      </c>
      <c r="M237" s="84" t="s">
        <v>46</v>
      </c>
    </row>
    <row r="238" spans="1:13" x14ac:dyDescent="0.3">
      <c r="A238" s="83">
        <v>45974</v>
      </c>
      <c r="B238" s="84" t="s">
        <v>1295</v>
      </c>
      <c r="C238" s="84" t="s">
        <v>1005</v>
      </c>
      <c r="D238" s="83">
        <v>45974</v>
      </c>
      <c r="E238" s="84">
        <v>2053.6</v>
      </c>
      <c r="F238" s="84">
        <v>0</v>
      </c>
      <c r="G238" s="84">
        <v>62155.14</v>
      </c>
      <c r="H238" s="84"/>
      <c r="I238" s="84"/>
      <c r="J238" s="84" t="s">
        <v>973</v>
      </c>
      <c r="K238" s="84" t="s">
        <v>1014</v>
      </c>
      <c r="L238" s="40">
        <v>0.68</v>
      </c>
      <c r="M238" s="84" t="s">
        <v>46</v>
      </c>
    </row>
    <row r="239" spans="1:13" x14ac:dyDescent="0.3">
      <c r="A239" s="103">
        <v>45975</v>
      </c>
      <c r="B239" s="104" t="s">
        <v>1296</v>
      </c>
      <c r="C239" s="104" t="s">
        <v>1005</v>
      </c>
      <c r="D239" s="103">
        <v>45975</v>
      </c>
      <c r="E239" s="104">
        <v>46</v>
      </c>
      <c r="F239" s="104">
        <v>0</v>
      </c>
      <c r="G239" s="104">
        <v>62109.14</v>
      </c>
      <c r="H239" s="104"/>
      <c r="I239" s="104"/>
      <c r="J239" s="104" t="s">
        <v>983</v>
      </c>
      <c r="K239" s="104" t="s">
        <v>131</v>
      </c>
      <c r="L239" s="40">
        <v>0.82</v>
      </c>
      <c r="M239" s="104" t="s">
        <v>46</v>
      </c>
    </row>
    <row r="240" spans="1:13" x14ac:dyDescent="0.3">
      <c r="A240" s="103">
        <v>45975</v>
      </c>
      <c r="B240" s="104" t="s">
        <v>1297</v>
      </c>
      <c r="C240" s="104" t="s">
        <v>1005</v>
      </c>
      <c r="D240" s="103">
        <v>45975</v>
      </c>
      <c r="E240" s="104">
        <v>100</v>
      </c>
      <c r="F240" s="104">
        <v>0</v>
      </c>
      <c r="G240" s="104">
        <v>62009.14</v>
      </c>
      <c r="H240" s="104"/>
      <c r="I240" s="104"/>
      <c r="J240" s="104" t="s">
        <v>983</v>
      </c>
      <c r="K240" s="104" t="s">
        <v>131</v>
      </c>
      <c r="L240" s="40">
        <v>0.82</v>
      </c>
      <c r="M240" s="104" t="s">
        <v>46</v>
      </c>
    </row>
    <row r="241" spans="1:13" x14ac:dyDescent="0.3">
      <c r="A241" s="89">
        <v>45975</v>
      </c>
      <c r="B241" s="90" t="s">
        <v>1298</v>
      </c>
      <c r="C241" s="90" t="s">
        <v>1005</v>
      </c>
      <c r="D241" s="89">
        <v>45975</v>
      </c>
      <c r="E241" s="90">
        <v>220</v>
      </c>
      <c r="F241" s="90">
        <v>0</v>
      </c>
      <c r="G241" s="90">
        <v>61789.14</v>
      </c>
      <c r="H241" s="90" t="s">
        <v>1299</v>
      </c>
      <c r="I241" s="90"/>
      <c r="J241" s="90" t="s">
        <v>975</v>
      </c>
      <c r="K241" s="90" t="s">
        <v>91</v>
      </c>
      <c r="L241" s="39">
        <v>0.55000000000000004</v>
      </c>
      <c r="M241" s="90" t="s">
        <v>46</v>
      </c>
    </row>
    <row r="242" spans="1:13" x14ac:dyDescent="0.3">
      <c r="A242" s="89">
        <v>45975</v>
      </c>
      <c r="B242" s="90" t="s">
        <v>1300</v>
      </c>
      <c r="C242" s="90" t="s">
        <v>1005</v>
      </c>
      <c r="D242" s="89">
        <v>45975</v>
      </c>
      <c r="E242" s="90">
        <v>110</v>
      </c>
      <c r="F242" s="90">
        <v>0</v>
      </c>
      <c r="G242" s="90">
        <v>61679.14</v>
      </c>
      <c r="H242" s="90" t="s">
        <v>1301</v>
      </c>
      <c r="I242" s="90"/>
      <c r="J242" s="90" t="s">
        <v>975</v>
      </c>
      <c r="K242" s="90" t="s">
        <v>91</v>
      </c>
      <c r="L242" s="39">
        <v>0.55000000000000004</v>
      </c>
      <c r="M242" s="90" t="s">
        <v>46</v>
      </c>
    </row>
    <row r="243" spans="1:13" x14ac:dyDescent="0.3">
      <c r="A243" s="89">
        <v>45976</v>
      </c>
      <c r="B243" s="90" t="s">
        <v>1302</v>
      </c>
      <c r="C243" s="90" t="s">
        <v>1005</v>
      </c>
      <c r="D243" s="89">
        <v>45976</v>
      </c>
      <c r="E243" s="90">
        <v>393</v>
      </c>
      <c r="F243" s="90">
        <v>0</v>
      </c>
      <c r="G243" s="90">
        <v>61286.14</v>
      </c>
      <c r="H243" s="90" t="s">
        <v>1303</v>
      </c>
      <c r="I243" s="90"/>
      <c r="J243" s="90" t="s">
        <v>975</v>
      </c>
      <c r="K243" s="90" t="s">
        <v>91</v>
      </c>
      <c r="L243" s="39">
        <v>0.55000000000000004</v>
      </c>
      <c r="M243" s="90" t="s">
        <v>46</v>
      </c>
    </row>
    <row r="244" spans="1:13" x14ac:dyDescent="0.3">
      <c r="A244" s="89">
        <v>45979</v>
      </c>
      <c r="B244" s="90" t="s">
        <v>1304</v>
      </c>
      <c r="C244" s="90" t="s">
        <v>1005</v>
      </c>
      <c r="D244" s="89">
        <v>45979</v>
      </c>
      <c r="E244" s="90">
        <v>299</v>
      </c>
      <c r="F244" s="90">
        <v>0</v>
      </c>
      <c r="G244" s="90">
        <v>60987.14</v>
      </c>
      <c r="H244" s="90"/>
      <c r="I244" s="90"/>
      <c r="J244" s="90" t="s">
        <v>992</v>
      </c>
      <c r="K244" s="90" t="s">
        <v>91</v>
      </c>
      <c r="L244" s="40">
        <v>0.75</v>
      </c>
      <c r="M244" s="90" t="s">
        <v>46</v>
      </c>
    </row>
    <row r="245" spans="1:13" x14ac:dyDescent="0.3">
      <c r="A245" s="89">
        <v>45980</v>
      </c>
      <c r="B245" s="90" t="s">
        <v>1305</v>
      </c>
      <c r="C245" s="90" t="s">
        <v>1005</v>
      </c>
      <c r="D245" s="89">
        <v>45980</v>
      </c>
      <c r="E245" s="90">
        <v>10</v>
      </c>
      <c r="F245" s="90">
        <v>0</v>
      </c>
      <c r="G245" s="90">
        <v>60977.14</v>
      </c>
      <c r="H245" s="90" t="s">
        <v>1306</v>
      </c>
      <c r="I245" s="90"/>
      <c r="J245" s="90" t="s">
        <v>975</v>
      </c>
      <c r="K245" s="90" t="s">
        <v>91</v>
      </c>
      <c r="L245" s="39">
        <v>0.55000000000000004</v>
      </c>
      <c r="M245" s="90" t="s">
        <v>46</v>
      </c>
    </row>
    <row r="246" spans="1:13" x14ac:dyDescent="0.3">
      <c r="A246" s="89">
        <v>45983</v>
      </c>
      <c r="B246" s="90" t="s">
        <v>1307</v>
      </c>
      <c r="C246" s="90" t="s">
        <v>1005</v>
      </c>
      <c r="D246" s="89">
        <v>45983</v>
      </c>
      <c r="E246" s="90">
        <v>60</v>
      </c>
      <c r="F246" s="90">
        <v>0</v>
      </c>
      <c r="G246" s="90">
        <v>60917.14</v>
      </c>
      <c r="H246" s="90" t="s">
        <v>1308</v>
      </c>
      <c r="I246" s="90"/>
      <c r="J246" s="90" t="s">
        <v>975</v>
      </c>
      <c r="K246" s="90" t="s">
        <v>91</v>
      </c>
      <c r="L246" s="39">
        <v>0.55000000000000004</v>
      </c>
      <c r="M246" s="90" t="s">
        <v>46</v>
      </c>
    </row>
    <row r="247" spans="1:13" x14ac:dyDescent="0.3">
      <c r="A247" s="101">
        <v>45983</v>
      </c>
      <c r="B247" s="102" t="s">
        <v>1309</v>
      </c>
      <c r="C247" s="102" t="s">
        <v>1005</v>
      </c>
      <c r="D247" s="101">
        <v>45983</v>
      </c>
      <c r="E247" s="102">
        <v>1000</v>
      </c>
      <c r="F247" s="102">
        <v>0</v>
      </c>
      <c r="G247" s="102">
        <v>59917.14</v>
      </c>
      <c r="H247" s="102"/>
      <c r="I247" s="102"/>
      <c r="J247" s="102" t="s">
        <v>976</v>
      </c>
      <c r="K247" s="102" t="s">
        <v>1028</v>
      </c>
      <c r="L247" s="24">
        <v>0.85</v>
      </c>
      <c r="M247" s="102" t="s">
        <v>46</v>
      </c>
    </row>
    <row r="248" spans="1:13" x14ac:dyDescent="0.3">
      <c r="A248" s="89">
        <v>45983</v>
      </c>
      <c r="B248" s="90" t="s">
        <v>1310</v>
      </c>
      <c r="C248" s="90" t="s">
        <v>1005</v>
      </c>
      <c r="D248" s="89">
        <v>45983</v>
      </c>
      <c r="E248" s="90">
        <v>150</v>
      </c>
      <c r="F248" s="90">
        <v>0</v>
      </c>
      <c r="G248" s="90">
        <v>59767.14</v>
      </c>
      <c r="H248" s="90" t="s">
        <v>1311</v>
      </c>
      <c r="I248" s="90"/>
      <c r="J248" s="90" t="s">
        <v>975</v>
      </c>
      <c r="K248" s="90" t="s">
        <v>91</v>
      </c>
      <c r="L248" s="39">
        <v>0.55000000000000004</v>
      </c>
      <c r="M248" s="90" t="s">
        <v>46</v>
      </c>
    </row>
    <row r="249" spans="1:13" x14ac:dyDescent="0.3">
      <c r="A249" s="89">
        <v>45983</v>
      </c>
      <c r="B249" s="90" t="s">
        <v>1312</v>
      </c>
      <c r="C249" s="90" t="s">
        <v>1005</v>
      </c>
      <c r="D249" s="89">
        <v>45983</v>
      </c>
      <c r="E249" s="90">
        <v>30</v>
      </c>
      <c r="F249" s="90">
        <v>0</v>
      </c>
      <c r="G249" s="90">
        <v>59737.14</v>
      </c>
      <c r="H249" s="90" t="s">
        <v>1313</v>
      </c>
      <c r="I249" s="90"/>
      <c r="J249" s="90" t="s">
        <v>975</v>
      </c>
      <c r="K249" s="90" t="s">
        <v>91</v>
      </c>
      <c r="L249" s="39">
        <v>0.55000000000000004</v>
      </c>
      <c r="M249" s="90" t="s">
        <v>46</v>
      </c>
    </row>
    <row r="250" spans="1:13" x14ac:dyDescent="0.3">
      <c r="A250" s="101">
        <v>45984</v>
      </c>
      <c r="B250" s="102" t="s">
        <v>1314</v>
      </c>
      <c r="C250" s="102" t="s">
        <v>1005</v>
      </c>
      <c r="D250" s="101">
        <v>45984</v>
      </c>
      <c r="E250" s="102">
        <v>1000</v>
      </c>
      <c r="F250" s="102">
        <v>0</v>
      </c>
      <c r="G250" s="102">
        <v>58737.14</v>
      </c>
      <c r="H250" s="102"/>
      <c r="I250" s="102"/>
      <c r="J250" s="102" t="s">
        <v>976</v>
      </c>
      <c r="K250" s="102" t="s">
        <v>1028</v>
      </c>
      <c r="L250" s="24">
        <v>0.85</v>
      </c>
      <c r="M250" s="102" t="s">
        <v>46</v>
      </c>
    </row>
    <row r="251" spans="1:13" x14ac:dyDescent="0.3">
      <c r="A251" s="89">
        <v>45984</v>
      </c>
      <c r="B251" s="90" t="s">
        <v>1315</v>
      </c>
      <c r="C251" s="90" t="s">
        <v>1005</v>
      </c>
      <c r="D251" s="89">
        <v>45984</v>
      </c>
      <c r="E251" s="90">
        <v>50</v>
      </c>
      <c r="F251" s="90">
        <v>0</v>
      </c>
      <c r="G251" s="90">
        <v>58687.14</v>
      </c>
      <c r="H251" s="90" t="s">
        <v>1316</v>
      </c>
      <c r="I251" s="90"/>
      <c r="J251" s="90" t="s">
        <v>975</v>
      </c>
      <c r="K251" s="90" t="s">
        <v>91</v>
      </c>
      <c r="L251" s="39">
        <v>0.55000000000000004</v>
      </c>
      <c r="M251" s="90" t="s">
        <v>46</v>
      </c>
    </row>
    <row r="252" spans="1:13" x14ac:dyDescent="0.3">
      <c r="A252" s="101">
        <v>45985</v>
      </c>
      <c r="B252" s="102" t="s">
        <v>1317</v>
      </c>
      <c r="C252" s="102" t="s">
        <v>1005</v>
      </c>
      <c r="D252" s="101">
        <v>45985</v>
      </c>
      <c r="E252" s="102">
        <v>1000</v>
      </c>
      <c r="F252" s="102">
        <v>0</v>
      </c>
      <c r="G252" s="102">
        <v>57687.14</v>
      </c>
      <c r="H252" s="102"/>
      <c r="I252" s="102"/>
      <c r="J252" s="102" t="s">
        <v>976</v>
      </c>
      <c r="K252" s="102" t="s">
        <v>1028</v>
      </c>
      <c r="L252" s="24">
        <v>0.85</v>
      </c>
      <c r="M252" s="102" t="s">
        <v>46</v>
      </c>
    </row>
    <row r="253" spans="1:13" x14ac:dyDescent="0.3">
      <c r="A253" s="89">
        <v>45985</v>
      </c>
      <c r="B253" s="90" t="s">
        <v>1318</v>
      </c>
      <c r="C253" s="90" t="s">
        <v>1005</v>
      </c>
      <c r="D253" s="89">
        <v>45985</v>
      </c>
      <c r="E253" s="90">
        <v>35</v>
      </c>
      <c r="F253" s="90">
        <v>0</v>
      </c>
      <c r="G253" s="90">
        <v>57652.14</v>
      </c>
      <c r="H253" s="90" t="s">
        <v>1319</v>
      </c>
      <c r="I253" s="90"/>
      <c r="J253" s="90" t="s">
        <v>975</v>
      </c>
      <c r="K253" s="90" t="s">
        <v>91</v>
      </c>
      <c r="L253" s="39">
        <v>0.55000000000000004</v>
      </c>
      <c r="M253" s="90" t="s">
        <v>46</v>
      </c>
    </row>
    <row r="254" spans="1:13" x14ac:dyDescent="0.3">
      <c r="A254" s="101">
        <v>45986</v>
      </c>
      <c r="B254" s="102" t="s">
        <v>1320</v>
      </c>
      <c r="C254" s="102" t="s">
        <v>1005</v>
      </c>
      <c r="D254" s="101">
        <v>45986</v>
      </c>
      <c r="E254" s="102">
        <v>1000</v>
      </c>
      <c r="F254" s="102">
        <v>0</v>
      </c>
      <c r="G254" s="102">
        <v>56652.14</v>
      </c>
      <c r="H254" s="102"/>
      <c r="I254" s="102"/>
      <c r="J254" s="102" t="s">
        <v>976</v>
      </c>
      <c r="K254" s="102" t="s">
        <v>1028</v>
      </c>
      <c r="L254" s="24">
        <v>0.85</v>
      </c>
      <c r="M254" s="102" t="s">
        <v>46</v>
      </c>
    </row>
    <row r="255" spans="1:13" x14ac:dyDescent="0.3">
      <c r="A255" s="89">
        <v>45986</v>
      </c>
      <c r="B255" s="90" t="s">
        <v>1321</v>
      </c>
      <c r="C255" s="90" t="s">
        <v>1005</v>
      </c>
      <c r="D255" s="89">
        <v>45986</v>
      </c>
      <c r="E255" s="90">
        <v>20</v>
      </c>
      <c r="F255" s="90">
        <v>0</v>
      </c>
      <c r="G255" s="90">
        <v>56632.14</v>
      </c>
      <c r="H255" s="90" t="s">
        <v>1322</v>
      </c>
      <c r="I255" s="90"/>
      <c r="J255" s="90" t="s">
        <v>975</v>
      </c>
      <c r="K255" s="90" t="s">
        <v>91</v>
      </c>
      <c r="L255" s="39">
        <v>0.55000000000000004</v>
      </c>
      <c r="M255" s="90" t="s">
        <v>46</v>
      </c>
    </row>
    <row r="256" spans="1:13" x14ac:dyDescent="0.3">
      <c r="A256" s="101">
        <v>45987</v>
      </c>
      <c r="B256" s="102" t="s">
        <v>1323</v>
      </c>
      <c r="C256" s="102" t="s">
        <v>1005</v>
      </c>
      <c r="D256" s="101">
        <v>45987</v>
      </c>
      <c r="E256" s="102">
        <v>1000</v>
      </c>
      <c r="F256" s="102">
        <v>0</v>
      </c>
      <c r="G256" s="102">
        <v>55632.14</v>
      </c>
      <c r="H256" s="102"/>
      <c r="I256" s="102"/>
      <c r="J256" s="102" t="s">
        <v>976</v>
      </c>
      <c r="K256" s="102" t="s">
        <v>1028</v>
      </c>
      <c r="L256" s="24">
        <v>0.85</v>
      </c>
      <c r="M256" s="102" t="s">
        <v>46</v>
      </c>
    </row>
    <row r="257" spans="1:13" x14ac:dyDescent="0.3">
      <c r="A257" s="85">
        <v>45987</v>
      </c>
      <c r="B257" s="86" t="s">
        <v>1324</v>
      </c>
      <c r="C257" s="86" t="s">
        <v>1005</v>
      </c>
      <c r="D257" s="85">
        <v>45987</v>
      </c>
      <c r="E257" s="86">
        <v>5000</v>
      </c>
      <c r="F257" s="86">
        <v>0</v>
      </c>
      <c r="G257" s="86">
        <v>50632.14</v>
      </c>
      <c r="H257" s="86"/>
      <c r="I257" s="86"/>
      <c r="J257" s="86" t="s">
        <v>974</v>
      </c>
      <c r="K257" s="86" t="s">
        <v>1019</v>
      </c>
      <c r="L257" s="24">
        <v>0.9</v>
      </c>
      <c r="M257" s="86" t="s">
        <v>46</v>
      </c>
    </row>
    <row r="258" spans="1:13" x14ac:dyDescent="0.3">
      <c r="A258" s="101">
        <v>45988</v>
      </c>
      <c r="B258" s="102" t="s">
        <v>1325</v>
      </c>
      <c r="C258" s="102" t="s">
        <v>1005</v>
      </c>
      <c r="D258" s="101">
        <v>45988</v>
      </c>
      <c r="E258" s="102">
        <v>1000</v>
      </c>
      <c r="F258" s="102">
        <v>0</v>
      </c>
      <c r="G258" s="102">
        <v>49632.14</v>
      </c>
      <c r="H258" s="102"/>
      <c r="I258" s="102"/>
      <c r="J258" s="102" t="s">
        <v>976</v>
      </c>
      <c r="K258" s="102" t="s">
        <v>1028</v>
      </c>
      <c r="L258" s="24">
        <v>0.85</v>
      </c>
      <c r="M258" s="102" t="s">
        <v>46</v>
      </c>
    </row>
    <row r="259" spans="1:13" x14ac:dyDescent="0.3">
      <c r="A259" s="101">
        <v>45989</v>
      </c>
      <c r="B259" s="102" t="s">
        <v>1326</v>
      </c>
      <c r="C259" s="102" t="s">
        <v>1005</v>
      </c>
      <c r="D259" s="101">
        <v>45989</v>
      </c>
      <c r="E259" s="102">
        <v>1000</v>
      </c>
      <c r="F259" s="102">
        <v>0</v>
      </c>
      <c r="G259" s="102">
        <v>48632.14</v>
      </c>
      <c r="H259" s="102"/>
      <c r="I259" s="102"/>
      <c r="J259" s="102" t="s">
        <v>976</v>
      </c>
      <c r="K259" s="102" t="s">
        <v>1028</v>
      </c>
      <c r="L259" s="24">
        <v>0.85</v>
      </c>
      <c r="M259" s="102" t="s">
        <v>46</v>
      </c>
    </row>
    <row r="260" spans="1:13" x14ac:dyDescent="0.3">
      <c r="A260" s="89">
        <v>45989</v>
      </c>
      <c r="B260" s="90" t="s">
        <v>1327</v>
      </c>
      <c r="C260" s="90" t="s">
        <v>1005</v>
      </c>
      <c r="D260" s="89">
        <v>45989</v>
      </c>
      <c r="E260" s="90">
        <v>50</v>
      </c>
      <c r="F260" s="90">
        <v>0</v>
      </c>
      <c r="G260" s="90">
        <v>48582.14</v>
      </c>
      <c r="H260" s="90" t="s">
        <v>1322</v>
      </c>
      <c r="I260" s="90"/>
      <c r="J260" s="90" t="s">
        <v>975</v>
      </c>
      <c r="K260" s="90" t="s">
        <v>91</v>
      </c>
      <c r="L260" s="39">
        <v>0.55000000000000004</v>
      </c>
      <c r="M260" s="90" t="s">
        <v>46</v>
      </c>
    </row>
    <row r="261" spans="1:13" x14ac:dyDescent="0.3">
      <c r="A261" s="89">
        <v>45989</v>
      </c>
      <c r="B261" s="90" t="s">
        <v>1328</v>
      </c>
      <c r="C261" s="90" t="s">
        <v>1005</v>
      </c>
      <c r="D261" s="89">
        <v>45989</v>
      </c>
      <c r="E261" s="90">
        <v>100</v>
      </c>
      <c r="F261" s="90">
        <v>0</v>
      </c>
      <c r="G261" s="90">
        <v>48482.14</v>
      </c>
      <c r="H261" s="90" t="s">
        <v>1329</v>
      </c>
      <c r="I261" s="90"/>
      <c r="J261" s="90" t="s">
        <v>975</v>
      </c>
      <c r="K261" s="90" t="s">
        <v>91</v>
      </c>
      <c r="L261" s="39">
        <v>0.55000000000000004</v>
      </c>
      <c r="M261" s="90" t="s">
        <v>46</v>
      </c>
    </row>
    <row r="262" spans="1:13" x14ac:dyDescent="0.3">
      <c r="A262" s="89">
        <v>45989</v>
      </c>
      <c r="B262" s="90" t="s">
        <v>1330</v>
      </c>
      <c r="C262" s="90" t="s">
        <v>1005</v>
      </c>
      <c r="D262" s="89">
        <v>45989</v>
      </c>
      <c r="E262" s="90">
        <v>20</v>
      </c>
      <c r="F262" s="90">
        <v>0</v>
      </c>
      <c r="G262" s="90">
        <v>48462.14</v>
      </c>
      <c r="H262" s="90" t="s">
        <v>1331</v>
      </c>
      <c r="I262" s="90"/>
      <c r="J262" s="90" t="s">
        <v>975</v>
      </c>
      <c r="K262" s="90" t="s">
        <v>91</v>
      </c>
      <c r="L262" s="39">
        <v>0.55000000000000004</v>
      </c>
      <c r="M262" s="90" t="s">
        <v>46</v>
      </c>
    </row>
    <row r="263" spans="1:13" x14ac:dyDescent="0.3">
      <c r="A263" s="101">
        <v>45990</v>
      </c>
      <c r="B263" s="102" t="s">
        <v>1332</v>
      </c>
      <c r="C263" s="102" t="s">
        <v>1005</v>
      </c>
      <c r="D263" s="101">
        <v>45990</v>
      </c>
      <c r="E263" s="102">
        <v>1000</v>
      </c>
      <c r="F263" s="102">
        <v>0</v>
      </c>
      <c r="G263" s="102">
        <v>47462.14</v>
      </c>
      <c r="H263" s="102"/>
      <c r="I263" s="102"/>
      <c r="J263" s="102" t="s">
        <v>976</v>
      </c>
      <c r="K263" s="102" t="s">
        <v>1028</v>
      </c>
      <c r="L263" s="24">
        <v>0.85</v>
      </c>
      <c r="M263" s="102" t="s">
        <v>46</v>
      </c>
    </row>
    <row r="264" spans="1:13" x14ac:dyDescent="0.3">
      <c r="A264" s="89">
        <v>45990</v>
      </c>
      <c r="B264" s="90" t="s">
        <v>1333</v>
      </c>
      <c r="C264" s="90" t="s">
        <v>1005</v>
      </c>
      <c r="D264" s="89">
        <v>45990</v>
      </c>
      <c r="E264" s="90">
        <v>300</v>
      </c>
      <c r="F264" s="90">
        <v>0</v>
      </c>
      <c r="G264" s="90">
        <v>47162.14</v>
      </c>
      <c r="H264" s="90" t="s">
        <v>1334</v>
      </c>
      <c r="I264" s="90"/>
      <c r="J264" s="90" t="s">
        <v>975</v>
      </c>
      <c r="K264" s="90" t="s">
        <v>91</v>
      </c>
      <c r="L264" s="39">
        <v>0.55000000000000004</v>
      </c>
      <c r="M264" s="90" t="s">
        <v>46</v>
      </c>
    </row>
    <row r="265" spans="1:13" x14ac:dyDescent="0.3">
      <c r="A265" s="101">
        <v>45991</v>
      </c>
      <c r="B265" s="102" t="s">
        <v>1335</v>
      </c>
      <c r="C265" s="102" t="s">
        <v>1005</v>
      </c>
      <c r="D265" s="101">
        <v>45991</v>
      </c>
      <c r="E265" s="102">
        <v>1000</v>
      </c>
      <c r="F265" s="102">
        <v>0</v>
      </c>
      <c r="G265" s="102">
        <v>46162.14</v>
      </c>
      <c r="H265" s="102"/>
      <c r="I265" s="102"/>
      <c r="J265" s="102" t="s">
        <v>976</v>
      </c>
      <c r="K265" s="102" t="s">
        <v>1028</v>
      </c>
      <c r="L265" s="24">
        <v>0.85</v>
      </c>
      <c r="M265" s="102" t="s">
        <v>46</v>
      </c>
    </row>
    <row r="266" spans="1:13" x14ac:dyDescent="0.3">
      <c r="A266" s="111">
        <v>45991</v>
      </c>
      <c r="B266" s="112" t="s">
        <v>1336</v>
      </c>
      <c r="C266" s="112" t="s">
        <v>1005</v>
      </c>
      <c r="D266" s="111">
        <v>45991</v>
      </c>
      <c r="E266" s="112">
        <v>10780</v>
      </c>
      <c r="F266" s="112">
        <v>0</v>
      </c>
      <c r="G266" s="112">
        <v>35382.14</v>
      </c>
      <c r="H266" s="112"/>
      <c r="I266" s="112"/>
      <c r="J266" s="112" t="s">
        <v>994</v>
      </c>
      <c r="K266" s="112" t="s">
        <v>112</v>
      </c>
      <c r="L266" s="24">
        <v>0.85</v>
      </c>
      <c r="M266" s="112" t="s">
        <v>46</v>
      </c>
    </row>
    <row r="267" spans="1:13" x14ac:dyDescent="0.3">
      <c r="A267" s="78">
        <v>45992</v>
      </c>
      <c r="B267" s="79" t="s">
        <v>1337</v>
      </c>
      <c r="C267" s="79" t="s">
        <v>1005</v>
      </c>
      <c r="D267" s="78">
        <v>45992</v>
      </c>
      <c r="E267" s="79">
        <v>0</v>
      </c>
      <c r="F267" s="79">
        <v>108048</v>
      </c>
      <c r="G267" s="79">
        <v>143430.14000000001</v>
      </c>
      <c r="H267" s="79"/>
      <c r="I267" s="79"/>
      <c r="J267" s="79" t="s">
        <v>972</v>
      </c>
      <c r="K267" s="79" t="s">
        <v>972</v>
      </c>
      <c r="L267" s="24">
        <v>0.97</v>
      </c>
      <c r="M267" s="79" t="s">
        <v>46</v>
      </c>
    </row>
    <row r="268" spans="1:13" x14ac:dyDescent="0.3">
      <c r="A268" s="101">
        <v>45992</v>
      </c>
      <c r="B268" s="102" t="s">
        <v>1338</v>
      </c>
      <c r="C268" s="102" t="s">
        <v>1005</v>
      </c>
      <c r="D268" s="101">
        <v>45992</v>
      </c>
      <c r="E268" s="102">
        <v>1000</v>
      </c>
      <c r="F268" s="102">
        <v>0</v>
      </c>
      <c r="G268" s="102">
        <v>142430.14000000001</v>
      </c>
      <c r="H268" s="102"/>
      <c r="I268" s="102"/>
      <c r="J268" s="102" t="s">
        <v>976</v>
      </c>
      <c r="K268" s="102" t="s">
        <v>1028</v>
      </c>
      <c r="L268" s="24">
        <v>0.85</v>
      </c>
      <c r="M268" s="102" t="s">
        <v>46</v>
      </c>
    </row>
    <row r="269" spans="1:13" x14ac:dyDescent="0.3">
      <c r="A269" s="85">
        <v>45992</v>
      </c>
      <c r="B269" s="86" t="s">
        <v>1339</v>
      </c>
      <c r="C269" s="86" t="s">
        <v>1005</v>
      </c>
      <c r="D269" s="85">
        <v>45992</v>
      </c>
      <c r="E269" s="86">
        <v>8000</v>
      </c>
      <c r="F269" s="86">
        <v>0</v>
      </c>
      <c r="G269" s="86">
        <v>134430.14000000001</v>
      </c>
      <c r="H269" s="86"/>
      <c r="I269" s="86"/>
      <c r="J269" s="86" t="s">
        <v>974</v>
      </c>
      <c r="K269" s="86" t="s">
        <v>1019</v>
      </c>
      <c r="L269" s="24">
        <v>0.9</v>
      </c>
      <c r="M269" s="86" t="s">
        <v>46</v>
      </c>
    </row>
    <row r="270" spans="1:13" x14ac:dyDescent="0.3">
      <c r="A270" s="101">
        <v>45993</v>
      </c>
      <c r="B270" s="102" t="s">
        <v>1340</v>
      </c>
      <c r="C270" s="102" t="s">
        <v>1005</v>
      </c>
      <c r="D270" s="101">
        <v>45993</v>
      </c>
      <c r="E270" s="102">
        <v>1000</v>
      </c>
      <c r="F270" s="102">
        <v>0</v>
      </c>
      <c r="G270" s="102">
        <v>133430.14000000001</v>
      </c>
      <c r="H270" s="102"/>
      <c r="I270" s="102"/>
      <c r="J270" s="102" t="s">
        <v>976</v>
      </c>
      <c r="K270" s="102" t="s">
        <v>1028</v>
      </c>
      <c r="L270" s="24">
        <v>0.85</v>
      </c>
      <c r="M270" s="102" t="s">
        <v>46</v>
      </c>
    </row>
    <row r="271" spans="1:13" x14ac:dyDescent="0.3">
      <c r="A271" s="83">
        <v>45993</v>
      </c>
      <c r="B271" s="84" t="s">
        <v>1341</v>
      </c>
      <c r="C271" s="84" t="s">
        <v>1005</v>
      </c>
      <c r="D271" s="83">
        <v>45993</v>
      </c>
      <c r="E271" s="84">
        <v>5094.5</v>
      </c>
      <c r="F271" s="84">
        <v>0</v>
      </c>
      <c r="G271" s="84">
        <v>128335.64</v>
      </c>
      <c r="H271" s="84"/>
      <c r="I271" s="84"/>
      <c r="J271" s="84" t="s">
        <v>973</v>
      </c>
      <c r="K271" s="84" t="s">
        <v>1014</v>
      </c>
      <c r="L271" s="40">
        <v>0.68</v>
      </c>
      <c r="M271" s="84" t="s">
        <v>46</v>
      </c>
    </row>
    <row r="272" spans="1:13" x14ac:dyDescent="0.3">
      <c r="A272" s="83">
        <v>45993</v>
      </c>
      <c r="B272" s="84" t="s">
        <v>1342</v>
      </c>
      <c r="C272" s="84" t="s">
        <v>1005</v>
      </c>
      <c r="D272" s="83">
        <v>45993</v>
      </c>
      <c r="E272" s="84">
        <v>0</v>
      </c>
      <c r="F272" s="84">
        <v>5094.5</v>
      </c>
      <c r="G272" s="84">
        <v>133430.14000000001</v>
      </c>
      <c r="H272" s="84"/>
      <c r="I272" s="84"/>
      <c r="J272" s="84" t="s">
        <v>973</v>
      </c>
      <c r="K272" s="84" t="s">
        <v>1014</v>
      </c>
      <c r="L272" s="40">
        <v>0.68</v>
      </c>
      <c r="M272" s="84" t="s">
        <v>46</v>
      </c>
    </row>
    <row r="273" spans="1:13" x14ac:dyDescent="0.3">
      <c r="A273" s="101">
        <v>45994</v>
      </c>
      <c r="B273" s="102" t="s">
        <v>1343</v>
      </c>
      <c r="C273" s="102" t="s">
        <v>1005</v>
      </c>
      <c r="D273" s="101">
        <v>45994</v>
      </c>
      <c r="E273" s="102">
        <v>1000</v>
      </c>
      <c r="F273" s="102">
        <v>0</v>
      </c>
      <c r="G273" s="102">
        <v>132430.14000000001</v>
      </c>
      <c r="H273" s="102"/>
      <c r="I273" s="102"/>
      <c r="J273" s="102" t="s">
        <v>976</v>
      </c>
      <c r="K273" s="102" t="s">
        <v>1028</v>
      </c>
      <c r="L273" s="24">
        <v>0.85</v>
      </c>
      <c r="M273" s="102" t="s">
        <v>46</v>
      </c>
    </row>
    <row r="274" spans="1:13" x14ac:dyDescent="0.3">
      <c r="A274" s="95">
        <v>45994</v>
      </c>
      <c r="B274" s="96" t="s">
        <v>1344</v>
      </c>
      <c r="C274" s="96" t="s">
        <v>1005</v>
      </c>
      <c r="D274" s="95">
        <v>45994</v>
      </c>
      <c r="E274" s="96">
        <v>23000</v>
      </c>
      <c r="F274" s="96">
        <v>0</v>
      </c>
      <c r="G274" s="96">
        <v>109430.14</v>
      </c>
      <c r="H274" s="96"/>
      <c r="I274" s="96"/>
      <c r="J274" s="96" t="s">
        <v>990</v>
      </c>
      <c r="K274" s="96" t="s">
        <v>990</v>
      </c>
      <c r="L274" s="24">
        <v>0.92</v>
      </c>
      <c r="M274" s="96" t="s">
        <v>46</v>
      </c>
    </row>
    <row r="275" spans="1:13" x14ac:dyDescent="0.3">
      <c r="A275" s="101">
        <v>45995</v>
      </c>
      <c r="B275" s="102" t="s">
        <v>1345</v>
      </c>
      <c r="C275" s="102" t="s">
        <v>1005</v>
      </c>
      <c r="D275" s="101">
        <v>45995</v>
      </c>
      <c r="E275" s="102">
        <v>1000</v>
      </c>
      <c r="F275" s="102">
        <v>0</v>
      </c>
      <c r="G275" s="102">
        <v>108430.14</v>
      </c>
      <c r="H275" s="102"/>
      <c r="I275" s="102"/>
      <c r="J275" s="102" t="s">
        <v>976</v>
      </c>
      <c r="K275" s="102" t="s">
        <v>1028</v>
      </c>
      <c r="L275" s="24">
        <v>0.85</v>
      </c>
      <c r="M275" s="102" t="s">
        <v>46</v>
      </c>
    </row>
    <row r="276" spans="1:13" x14ac:dyDescent="0.3">
      <c r="A276" s="83">
        <v>45995</v>
      </c>
      <c r="B276" s="84" t="s">
        <v>1346</v>
      </c>
      <c r="C276" s="84" t="s">
        <v>1005</v>
      </c>
      <c r="D276" s="83">
        <v>45995</v>
      </c>
      <c r="E276" s="84">
        <v>0</v>
      </c>
      <c r="F276" s="84">
        <v>4100</v>
      </c>
      <c r="G276" s="84">
        <v>112530.14</v>
      </c>
      <c r="H276" s="84"/>
      <c r="I276" s="84"/>
      <c r="J276" s="84" t="s">
        <v>973</v>
      </c>
      <c r="K276" s="84" t="s">
        <v>1014</v>
      </c>
      <c r="L276" s="24">
        <v>0.92</v>
      </c>
      <c r="M276" s="84" t="s">
        <v>46</v>
      </c>
    </row>
    <row r="277" spans="1:13" x14ac:dyDescent="0.3">
      <c r="A277" s="101">
        <v>45996</v>
      </c>
      <c r="B277" s="102" t="s">
        <v>1347</v>
      </c>
      <c r="C277" s="102" t="s">
        <v>1005</v>
      </c>
      <c r="D277" s="101">
        <v>45996</v>
      </c>
      <c r="E277" s="102">
        <v>1000</v>
      </c>
      <c r="F277" s="102">
        <v>0</v>
      </c>
      <c r="G277" s="102">
        <v>111530.14</v>
      </c>
      <c r="H277" s="102"/>
      <c r="I277" s="102"/>
      <c r="J277" s="102" t="s">
        <v>976</v>
      </c>
      <c r="K277" s="102" t="s">
        <v>1028</v>
      </c>
      <c r="L277" s="24">
        <v>0.85</v>
      </c>
      <c r="M277" s="102" t="s">
        <v>46</v>
      </c>
    </row>
    <row r="278" spans="1:13" x14ac:dyDescent="0.3">
      <c r="A278" s="101">
        <v>45997</v>
      </c>
      <c r="B278" s="102" t="s">
        <v>1348</v>
      </c>
      <c r="C278" s="102" t="s">
        <v>1005</v>
      </c>
      <c r="D278" s="101">
        <v>45997</v>
      </c>
      <c r="E278" s="102">
        <v>1367.93</v>
      </c>
      <c r="F278" s="102">
        <v>0</v>
      </c>
      <c r="G278" s="102">
        <v>110162.21</v>
      </c>
      <c r="H278" s="102"/>
      <c r="I278" s="102"/>
      <c r="J278" s="102" t="s">
        <v>976</v>
      </c>
      <c r="K278" s="102" t="s">
        <v>1028</v>
      </c>
      <c r="L278" s="24">
        <v>0.85</v>
      </c>
      <c r="M278" s="102" t="s">
        <v>46</v>
      </c>
    </row>
    <row r="279" spans="1:13" x14ac:dyDescent="0.3">
      <c r="A279" s="27">
        <v>45997</v>
      </c>
      <c r="B279" s="28" t="s">
        <v>1349</v>
      </c>
      <c r="C279" s="28" t="s">
        <v>1005</v>
      </c>
      <c r="D279" s="27">
        <v>45997</v>
      </c>
      <c r="E279" s="28">
        <v>2001</v>
      </c>
      <c r="F279" s="28">
        <v>0</v>
      </c>
      <c r="G279" s="28">
        <v>108161.21</v>
      </c>
      <c r="H279" s="28"/>
      <c r="I279" s="28"/>
      <c r="J279" s="28" t="s">
        <v>11</v>
      </c>
      <c r="K279" s="28" t="s">
        <v>112</v>
      </c>
      <c r="L279" s="40">
        <v>0.68</v>
      </c>
      <c r="M279" s="28" t="s">
        <v>46</v>
      </c>
    </row>
    <row r="280" spans="1:13" x14ac:dyDescent="0.3">
      <c r="A280" s="89">
        <v>45998</v>
      </c>
      <c r="B280" s="90" t="s">
        <v>1350</v>
      </c>
      <c r="C280" s="90" t="s">
        <v>1005</v>
      </c>
      <c r="D280" s="89">
        <v>45998</v>
      </c>
      <c r="E280" s="90">
        <v>254</v>
      </c>
      <c r="F280" s="90">
        <v>0</v>
      </c>
      <c r="G280" s="90">
        <v>107907.21</v>
      </c>
      <c r="H280" s="90" t="s">
        <v>1351</v>
      </c>
      <c r="I280" s="90"/>
      <c r="J280" s="90" t="s">
        <v>975</v>
      </c>
      <c r="K280" s="90" t="s">
        <v>91</v>
      </c>
      <c r="L280" s="39">
        <v>0.55000000000000004</v>
      </c>
      <c r="M280" s="90" t="s">
        <v>46</v>
      </c>
    </row>
    <row r="281" spans="1:13" x14ac:dyDescent="0.3">
      <c r="A281" s="103">
        <v>45998</v>
      </c>
      <c r="B281" s="104" t="s">
        <v>1352</v>
      </c>
      <c r="C281" s="104" t="s">
        <v>1005</v>
      </c>
      <c r="D281" s="103">
        <v>45998</v>
      </c>
      <c r="E281" s="104">
        <v>52</v>
      </c>
      <c r="F281" s="104">
        <v>0</v>
      </c>
      <c r="G281" s="104">
        <v>107855.21</v>
      </c>
      <c r="H281" s="104"/>
      <c r="I281" s="104"/>
      <c r="J281" s="104" t="s">
        <v>983</v>
      </c>
      <c r="K281" s="104" t="s">
        <v>131</v>
      </c>
      <c r="L281" s="40">
        <v>0.82</v>
      </c>
      <c r="M281" s="104" t="s">
        <v>46</v>
      </c>
    </row>
    <row r="282" spans="1:13" x14ac:dyDescent="0.3">
      <c r="A282" s="89">
        <v>45998</v>
      </c>
      <c r="B282" s="90" t="s">
        <v>1353</v>
      </c>
      <c r="C282" s="90" t="s">
        <v>1005</v>
      </c>
      <c r="D282" s="89">
        <v>45998</v>
      </c>
      <c r="E282" s="90">
        <v>220</v>
      </c>
      <c r="F282" s="90">
        <v>0</v>
      </c>
      <c r="G282" s="90">
        <v>107635.21</v>
      </c>
      <c r="H282" s="90" t="s">
        <v>1354</v>
      </c>
      <c r="I282" s="90"/>
      <c r="J282" s="90" t="s">
        <v>975</v>
      </c>
      <c r="K282" s="90" t="s">
        <v>91</v>
      </c>
      <c r="L282" s="39">
        <v>0.55000000000000004</v>
      </c>
      <c r="M282" s="90" t="s">
        <v>46</v>
      </c>
    </row>
    <row r="283" spans="1:13" x14ac:dyDescent="0.3">
      <c r="A283" s="97">
        <v>46001</v>
      </c>
      <c r="B283" s="98" t="s">
        <v>1355</v>
      </c>
      <c r="C283" s="98" t="s">
        <v>1005</v>
      </c>
      <c r="D283" s="97">
        <v>46001</v>
      </c>
      <c r="E283" s="98">
        <v>5000</v>
      </c>
      <c r="F283" s="98">
        <v>0</v>
      </c>
      <c r="G283" s="98">
        <v>102635.21</v>
      </c>
      <c r="H283" s="98"/>
      <c r="I283" s="98"/>
      <c r="J283" s="98" t="s">
        <v>978</v>
      </c>
      <c r="K283" s="98" t="s">
        <v>1031</v>
      </c>
      <c r="L283" s="24">
        <v>0.85</v>
      </c>
      <c r="M283" s="98" t="s">
        <v>46</v>
      </c>
    </row>
    <row r="284" spans="1:13" x14ac:dyDescent="0.3">
      <c r="A284" s="103">
        <v>46001</v>
      </c>
      <c r="B284" s="104" t="s">
        <v>1356</v>
      </c>
      <c r="C284" s="104" t="s">
        <v>1005</v>
      </c>
      <c r="D284" s="103">
        <v>46001</v>
      </c>
      <c r="E284" s="104">
        <v>52</v>
      </c>
      <c r="F284" s="104">
        <v>0</v>
      </c>
      <c r="G284" s="104">
        <v>102583.21</v>
      </c>
      <c r="H284" s="104"/>
      <c r="I284" s="104"/>
      <c r="J284" s="104" t="s">
        <v>983</v>
      </c>
      <c r="K284" s="104" t="s">
        <v>131</v>
      </c>
      <c r="L284" s="40">
        <v>0.82</v>
      </c>
      <c r="M284" s="104" t="s">
        <v>46</v>
      </c>
    </row>
    <row r="285" spans="1:13" x14ac:dyDescent="0.3">
      <c r="A285" s="41">
        <v>46001</v>
      </c>
      <c r="B285" s="42" t="s">
        <v>1357</v>
      </c>
      <c r="C285" s="42" t="s">
        <v>1005</v>
      </c>
      <c r="D285" s="41">
        <v>46001</v>
      </c>
      <c r="E285" s="42">
        <v>35</v>
      </c>
      <c r="F285" s="42">
        <v>0</v>
      </c>
      <c r="G285" s="42">
        <v>102548.21</v>
      </c>
      <c r="H285" s="42"/>
      <c r="I285" s="42"/>
      <c r="J285" s="42" t="s">
        <v>13</v>
      </c>
      <c r="K285" s="42" t="s">
        <v>131</v>
      </c>
      <c r="L285" s="40">
        <v>0.82</v>
      </c>
      <c r="M285" s="42" t="s">
        <v>46</v>
      </c>
    </row>
    <row r="286" spans="1:13" x14ac:dyDescent="0.3">
      <c r="A286" s="103">
        <v>46003</v>
      </c>
      <c r="B286" s="104" t="s">
        <v>1358</v>
      </c>
      <c r="C286" s="104" t="s">
        <v>1005</v>
      </c>
      <c r="D286" s="103">
        <v>46003</v>
      </c>
      <c r="E286" s="104">
        <v>24</v>
      </c>
      <c r="F286" s="104">
        <v>0</v>
      </c>
      <c r="G286" s="104">
        <v>102524.21</v>
      </c>
      <c r="H286" s="104"/>
      <c r="I286" s="104"/>
      <c r="J286" s="104" t="s">
        <v>983</v>
      </c>
      <c r="K286" s="104" t="s">
        <v>131</v>
      </c>
      <c r="L286" s="40">
        <v>0.82</v>
      </c>
      <c r="M286" s="104" t="s">
        <v>46</v>
      </c>
    </row>
    <row r="287" spans="1:13" x14ac:dyDescent="0.3">
      <c r="A287" s="89">
        <v>46004</v>
      </c>
      <c r="B287" s="90" t="s">
        <v>1359</v>
      </c>
      <c r="C287" s="90" t="s">
        <v>1005</v>
      </c>
      <c r="D287" s="89">
        <v>46004</v>
      </c>
      <c r="E287" s="90">
        <v>30</v>
      </c>
      <c r="F287" s="90">
        <v>0</v>
      </c>
      <c r="G287" s="90">
        <v>102494.21</v>
      </c>
      <c r="H287" s="90" t="s">
        <v>1109</v>
      </c>
      <c r="I287" s="90"/>
      <c r="J287" s="90" t="s">
        <v>975</v>
      </c>
      <c r="K287" s="90" t="s">
        <v>91</v>
      </c>
      <c r="L287" s="39">
        <v>0.55000000000000004</v>
      </c>
      <c r="M287" s="90" t="s">
        <v>46</v>
      </c>
    </row>
    <row r="288" spans="1:13" x14ac:dyDescent="0.3">
      <c r="A288" s="83">
        <v>46005</v>
      </c>
      <c r="B288" s="84" t="s">
        <v>1360</v>
      </c>
      <c r="C288" s="84" t="s">
        <v>1005</v>
      </c>
      <c r="D288" s="83">
        <v>46005</v>
      </c>
      <c r="E288" s="84">
        <v>0</v>
      </c>
      <c r="F288" s="84">
        <v>20.72</v>
      </c>
      <c r="G288" s="84">
        <v>102514.93</v>
      </c>
      <c r="H288" s="84"/>
      <c r="I288" s="84"/>
      <c r="J288" s="84" t="s">
        <v>973</v>
      </c>
      <c r="K288" s="84" t="s">
        <v>1014</v>
      </c>
      <c r="L288" s="24">
        <v>0.92</v>
      </c>
      <c r="M288" s="84" t="s">
        <v>46</v>
      </c>
    </row>
    <row r="289" spans="1:13" x14ac:dyDescent="0.3">
      <c r="A289" s="89">
        <v>46005</v>
      </c>
      <c r="B289" s="90" t="s">
        <v>1361</v>
      </c>
      <c r="C289" s="90" t="s">
        <v>1005</v>
      </c>
      <c r="D289" s="89">
        <v>46005</v>
      </c>
      <c r="E289" s="90">
        <v>265.06</v>
      </c>
      <c r="F289" s="90">
        <v>0</v>
      </c>
      <c r="G289" s="90">
        <v>102249.87</v>
      </c>
      <c r="H289" s="90"/>
      <c r="I289" s="90"/>
      <c r="J289" s="90" t="s">
        <v>992</v>
      </c>
      <c r="K289" s="90" t="s">
        <v>91</v>
      </c>
      <c r="L289" s="40">
        <v>0.75</v>
      </c>
      <c r="M289" s="90" t="s">
        <v>46</v>
      </c>
    </row>
    <row r="290" spans="1:13" x14ac:dyDescent="0.3">
      <c r="A290" s="57">
        <v>46006</v>
      </c>
      <c r="B290" s="58" t="s">
        <v>1362</v>
      </c>
      <c r="C290" s="58" t="s">
        <v>1005</v>
      </c>
      <c r="D290" s="57">
        <v>46006</v>
      </c>
      <c r="E290" s="58">
        <v>35000</v>
      </c>
      <c r="F290" s="58">
        <v>0</v>
      </c>
      <c r="G290" s="58">
        <v>67249.87</v>
      </c>
      <c r="H290" s="58"/>
      <c r="I290" s="58"/>
      <c r="J290" s="58" t="s">
        <v>995</v>
      </c>
      <c r="K290" s="58" t="s">
        <v>1363</v>
      </c>
      <c r="L290" s="24">
        <v>0.85</v>
      </c>
      <c r="M290" s="58" t="s">
        <v>46</v>
      </c>
    </row>
    <row r="291" spans="1:13" x14ac:dyDescent="0.3">
      <c r="A291" s="111">
        <v>46008</v>
      </c>
      <c r="B291" s="112" t="s">
        <v>1364</v>
      </c>
      <c r="C291" s="112" t="s">
        <v>1005</v>
      </c>
      <c r="D291" s="111">
        <v>46008</v>
      </c>
      <c r="E291" s="112">
        <v>100</v>
      </c>
      <c r="F291" s="112">
        <v>0</v>
      </c>
      <c r="G291" s="112">
        <v>67149.87</v>
      </c>
      <c r="H291" s="112"/>
      <c r="I291" s="112"/>
      <c r="J291" s="112" t="s">
        <v>996</v>
      </c>
      <c r="K291" s="112" t="s">
        <v>996</v>
      </c>
      <c r="L291" s="24">
        <v>0.9</v>
      </c>
      <c r="M291" s="112" t="s">
        <v>46</v>
      </c>
    </row>
    <row r="292" spans="1:13" x14ac:dyDescent="0.3">
      <c r="A292" s="111">
        <v>46008</v>
      </c>
      <c r="B292" s="112" t="s">
        <v>1365</v>
      </c>
      <c r="C292" s="112" t="s">
        <v>1005</v>
      </c>
      <c r="D292" s="111">
        <v>46008</v>
      </c>
      <c r="E292" s="112">
        <v>23900</v>
      </c>
      <c r="F292" s="112">
        <v>0</v>
      </c>
      <c r="G292" s="112">
        <v>43249.87</v>
      </c>
      <c r="H292" s="112"/>
      <c r="I292" s="112"/>
      <c r="J292" s="112" t="s">
        <v>996</v>
      </c>
      <c r="K292" s="112" t="s">
        <v>996</v>
      </c>
      <c r="L292" s="24">
        <v>0.9</v>
      </c>
      <c r="M292" s="112" t="s">
        <v>46</v>
      </c>
    </row>
    <row r="293" spans="1:13" x14ac:dyDescent="0.3">
      <c r="A293" s="103">
        <v>46008</v>
      </c>
      <c r="B293" s="104" t="s">
        <v>1366</v>
      </c>
      <c r="C293" s="104" t="s">
        <v>1005</v>
      </c>
      <c r="D293" s="103">
        <v>46008</v>
      </c>
      <c r="E293" s="104">
        <v>27</v>
      </c>
      <c r="F293" s="104">
        <v>0</v>
      </c>
      <c r="G293" s="104">
        <v>43222.87</v>
      </c>
      <c r="H293" s="104"/>
      <c r="I293" s="104"/>
      <c r="J293" s="104" t="s">
        <v>983</v>
      </c>
      <c r="K293" s="104" t="s">
        <v>131</v>
      </c>
      <c r="L293" s="40">
        <v>0.82</v>
      </c>
      <c r="M293" s="104" t="s">
        <v>46</v>
      </c>
    </row>
    <row r="294" spans="1:13" x14ac:dyDescent="0.3">
      <c r="A294" s="89">
        <v>46010</v>
      </c>
      <c r="B294" s="90" t="s">
        <v>1367</v>
      </c>
      <c r="C294" s="90" t="s">
        <v>1005</v>
      </c>
      <c r="D294" s="89">
        <v>46010</v>
      </c>
      <c r="E294" s="90">
        <v>291</v>
      </c>
      <c r="F294" s="90">
        <v>0</v>
      </c>
      <c r="G294" s="90">
        <v>42931.87</v>
      </c>
      <c r="H294" s="90"/>
      <c r="I294" s="90"/>
      <c r="J294" s="90" t="s">
        <v>992</v>
      </c>
      <c r="K294" s="90" t="s">
        <v>91</v>
      </c>
      <c r="L294" s="40">
        <v>0.75</v>
      </c>
      <c r="M294" s="90" t="s">
        <v>46</v>
      </c>
    </row>
    <row r="295" spans="1:13" x14ac:dyDescent="0.3">
      <c r="A295" s="103">
        <v>46010</v>
      </c>
      <c r="B295" s="104" t="s">
        <v>1368</v>
      </c>
      <c r="C295" s="104" t="s">
        <v>1005</v>
      </c>
      <c r="D295" s="103">
        <v>46010</v>
      </c>
      <c r="E295" s="104">
        <v>54</v>
      </c>
      <c r="F295" s="104">
        <v>0</v>
      </c>
      <c r="G295" s="104">
        <v>42877.87</v>
      </c>
      <c r="H295" s="104"/>
      <c r="I295" s="104"/>
      <c r="J295" s="104" t="s">
        <v>983</v>
      </c>
      <c r="K295" s="104" t="s">
        <v>131</v>
      </c>
      <c r="L295" s="40">
        <v>0.82</v>
      </c>
      <c r="M295" s="104" t="s">
        <v>46</v>
      </c>
    </row>
    <row r="296" spans="1:13" x14ac:dyDescent="0.3">
      <c r="A296" s="103">
        <v>46011</v>
      </c>
      <c r="B296" s="104" t="s">
        <v>1369</v>
      </c>
      <c r="C296" s="104" t="s">
        <v>1005</v>
      </c>
      <c r="D296" s="103">
        <v>46011</v>
      </c>
      <c r="E296" s="104">
        <v>52</v>
      </c>
      <c r="F296" s="104">
        <v>0</v>
      </c>
      <c r="G296" s="104">
        <v>42825.87</v>
      </c>
      <c r="H296" s="104"/>
      <c r="I296" s="104"/>
      <c r="J296" s="104" t="s">
        <v>983</v>
      </c>
      <c r="K296" s="104" t="s">
        <v>131</v>
      </c>
      <c r="L296" s="40">
        <v>0.82</v>
      </c>
      <c r="M296" s="104" t="s">
        <v>46</v>
      </c>
    </row>
    <row r="297" spans="1:13" x14ac:dyDescent="0.3">
      <c r="A297" s="103">
        <v>46011</v>
      </c>
      <c r="B297" s="104" t="s">
        <v>1370</v>
      </c>
      <c r="C297" s="104" t="s">
        <v>1005</v>
      </c>
      <c r="D297" s="103">
        <v>46011</v>
      </c>
      <c r="E297" s="104">
        <v>28</v>
      </c>
      <c r="F297" s="104">
        <v>0</v>
      </c>
      <c r="G297" s="104">
        <v>42797.87</v>
      </c>
      <c r="H297" s="104"/>
      <c r="I297" s="104"/>
      <c r="J297" s="104" t="s">
        <v>983</v>
      </c>
      <c r="K297" s="104" t="s">
        <v>131</v>
      </c>
      <c r="L297" s="40">
        <v>0.82</v>
      </c>
      <c r="M297" s="104" t="s">
        <v>46</v>
      </c>
    </row>
    <row r="298" spans="1:13" x14ac:dyDescent="0.3">
      <c r="A298" s="89">
        <v>46011</v>
      </c>
      <c r="B298" s="90" t="s">
        <v>1371</v>
      </c>
      <c r="C298" s="90" t="s">
        <v>1005</v>
      </c>
      <c r="D298" s="89">
        <v>46011</v>
      </c>
      <c r="E298" s="90">
        <v>1000</v>
      </c>
      <c r="F298" s="90">
        <v>0</v>
      </c>
      <c r="G298" s="90">
        <v>41797.870000000003</v>
      </c>
      <c r="H298" s="90" t="s">
        <v>1372</v>
      </c>
      <c r="I298" s="90"/>
      <c r="J298" s="90" t="s">
        <v>975</v>
      </c>
      <c r="K298" s="90" t="s">
        <v>91</v>
      </c>
      <c r="L298" s="39">
        <v>0.55000000000000004</v>
      </c>
      <c r="M298" s="90" t="s">
        <v>46</v>
      </c>
    </row>
    <row r="299" spans="1:13" x14ac:dyDescent="0.3">
      <c r="A299" s="103">
        <v>46012</v>
      </c>
      <c r="B299" s="104" t="s">
        <v>1373</v>
      </c>
      <c r="C299" s="104" t="s">
        <v>1005</v>
      </c>
      <c r="D299" s="103">
        <v>46012</v>
      </c>
      <c r="E299" s="104">
        <v>52</v>
      </c>
      <c r="F299" s="104">
        <v>0</v>
      </c>
      <c r="G299" s="104">
        <v>41745.870000000003</v>
      </c>
      <c r="H299" s="104"/>
      <c r="I299" s="104"/>
      <c r="J299" s="104" t="s">
        <v>983</v>
      </c>
      <c r="K299" s="104" t="s">
        <v>131</v>
      </c>
      <c r="L299" s="40">
        <v>0.82</v>
      </c>
      <c r="M299" s="104" t="s">
        <v>46</v>
      </c>
    </row>
    <row r="300" spans="1:13" x14ac:dyDescent="0.3">
      <c r="A300" s="101">
        <v>46013</v>
      </c>
      <c r="B300" s="102" t="s">
        <v>1374</v>
      </c>
      <c r="C300" s="102" t="s">
        <v>1005</v>
      </c>
      <c r="D300" s="101">
        <v>46013</v>
      </c>
      <c r="E300" s="102">
        <v>1250</v>
      </c>
      <c r="F300" s="102">
        <v>0</v>
      </c>
      <c r="G300" s="102">
        <v>40495.870000000003</v>
      </c>
      <c r="H300" s="102"/>
      <c r="I300" s="102"/>
      <c r="J300" s="102" t="s">
        <v>976</v>
      </c>
      <c r="K300" s="102" t="s">
        <v>1028</v>
      </c>
      <c r="L300" s="24">
        <v>0.85</v>
      </c>
      <c r="M300" s="102" t="s">
        <v>46</v>
      </c>
    </row>
    <row r="301" spans="1:13" x14ac:dyDescent="0.3">
      <c r="A301" s="83">
        <v>46013</v>
      </c>
      <c r="B301" s="84" t="s">
        <v>1375</v>
      </c>
      <c r="C301" s="84" t="s">
        <v>1005</v>
      </c>
      <c r="D301" s="83">
        <v>46013</v>
      </c>
      <c r="E301" s="84">
        <v>0</v>
      </c>
      <c r="F301" s="84">
        <v>900</v>
      </c>
      <c r="G301" s="84">
        <v>41395.870000000003</v>
      </c>
      <c r="H301" s="84"/>
      <c r="I301" s="84"/>
      <c r="J301" s="84" t="s">
        <v>973</v>
      </c>
      <c r="K301" s="84" t="s">
        <v>1014</v>
      </c>
      <c r="L301" s="24">
        <v>0.92</v>
      </c>
      <c r="M301" s="84" t="s">
        <v>46</v>
      </c>
    </row>
    <row r="302" spans="1:13" x14ac:dyDescent="0.3">
      <c r="A302" s="103">
        <v>46013</v>
      </c>
      <c r="B302" s="104" t="s">
        <v>1376</v>
      </c>
      <c r="C302" s="104" t="s">
        <v>1005</v>
      </c>
      <c r="D302" s="103">
        <v>46013</v>
      </c>
      <c r="E302" s="104">
        <v>96</v>
      </c>
      <c r="F302" s="104">
        <v>0</v>
      </c>
      <c r="G302" s="104">
        <v>41299.870000000003</v>
      </c>
      <c r="H302" s="104"/>
      <c r="I302" s="104"/>
      <c r="J302" s="104" t="s">
        <v>983</v>
      </c>
      <c r="K302" s="104" t="s">
        <v>131</v>
      </c>
      <c r="L302" s="40">
        <v>0.82</v>
      </c>
      <c r="M302" s="104" t="s">
        <v>46</v>
      </c>
    </row>
    <row r="303" spans="1:13" x14ac:dyDescent="0.3">
      <c r="A303" s="89">
        <v>46013</v>
      </c>
      <c r="B303" s="90" t="s">
        <v>1377</v>
      </c>
      <c r="C303" s="90" t="s">
        <v>1005</v>
      </c>
      <c r="D303" s="89">
        <v>46013</v>
      </c>
      <c r="E303" s="90">
        <v>10</v>
      </c>
      <c r="F303" s="90">
        <v>0</v>
      </c>
      <c r="G303" s="90">
        <v>41289.870000000003</v>
      </c>
      <c r="H303" s="90" t="s">
        <v>1378</v>
      </c>
      <c r="I303" s="90"/>
      <c r="J303" s="90" t="s">
        <v>975</v>
      </c>
      <c r="K303" s="90" t="s">
        <v>91</v>
      </c>
      <c r="L303" s="39">
        <v>0.55000000000000004</v>
      </c>
      <c r="M303" s="90" t="s">
        <v>46</v>
      </c>
    </row>
    <row r="304" spans="1:13" x14ac:dyDescent="0.3">
      <c r="A304" s="101">
        <v>46014</v>
      </c>
      <c r="B304" s="102" t="s">
        <v>1379</v>
      </c>
      <c r="C304" s="102" t="s">
        <v>1005</v>
      </c>
      <c r="D304" s="101">
        <v>46014</v>
      </c>
      <c r="E304" s="102">
        <v>1300</v>
      </c>
      <c r="F304" s="102">
        <v>0</v>
      </c>
      <c r="G304" s="102">
        <v>39989.870000000003</v>
      </c>
      <c r="H304" s="102"/>
      <c r="I304" s="102"/>
      <c r="J304" s="102" t="s">
        <v>976</v>
      </c>
      <c r="K304" s="102" t="s">
        <v>1028</v>
      </c>
      <c r="L304" s="24">
        <v>0.85</v>
      </c>
      <c r="M304" s="102" t="s">
        <v>46</v>
      </c>
    </row>
    <row r="305" spans="1:13" x14ac:dyDescent="0.3">
      <c r="A305" s="89">
        <v>46014</v>
      </c>
      <c r="B305" s="90" t="s">
        <v>1380</v>
      </c>
      <c r="C305" s="90" t="s">
        <v>1005</v>
      </c>
      <c r="D305" s="89">
        <v>46014</v>
      </c>
      <c r="E305" s="90">
        <v>90</v>
      </c>
      <c r="F305" s="90">
        <v>0</v>
      </c>
      <c r="G305" s="90">
        <v>39899.870000000003</v>
      </c>
      <c r="H305" s="90" t="s">
        <v>1381</v>
      </c>
      <c r="I305" s="90"/>
      <c r="J305" s="90" t="s">
        <v>975</v>
      </c>
      <c r="K305" s="90" t="s">
        <v>91</v>
      </c>
      <c r="L305" s="39">
        <v>0.55000000000000004</v>
      </c>
      <c r="M305" s="90" t="s">
        <v>46</v>
      </c>
    </row>
    <row r="306" spans="1:13" x14ac:dyDescent="0.3">
      <c r="A306" s="89">
        <v>46014</v>
      </c>
      <c r="B306" s="90" t="s">
        <v>1382</v>
      </c>
      <c r="C306" s="90" t="s">
        <v>1005</v>
      </c>
      <c r="D306" s="89">
        <v>46014</v>
      </c>
      <c r="E306" s="90">
        <v>30</v>
      </c>
      <c r="F306" s="90">
        <v>0</v>
      </c>
      <c r="G306" s="90">
        <v>39869.870000000003</v>
      </c>
      <c r="H306" s="90" t="s">
        <v>1109</v>
      </c>
      <c r="I306" s="90"/>
      <c r="J306" s="90" t="s">
        <v>975</v>
      </c>
      <c r="K306" s="90" t="s">
        <v>91</v>
      </c>
      <c r="L306" s="39">
        <v>0.55000000000000004</v>
      </c>
      <c r="M306" s="90" t="s">
        <v>46</v>
      </c>
    </row>
    <row r="307" spans="1:13" x14ac:dyDescent="0.3">
      <c r="A307" s="99">
        <v>46014</v>
      </c>
      <c r="B307" s="100" t="s">
        <v>1383</v>
      </c>
      <c r="C307" s="100" t="s">
        <v>1005</v>
      </c>
      <c r="D307" s="99">
        <v>46014</v>
      </c>
      <c r="E307" s="100">
        <v>210</v>
      </c>
      <c r="F307" s="100">
        <v>0</v>
      </c>
      <c r="G307" s="100">
        <v>39659.870000000003</v>
      </c>
      <c r="H307" s="100"/>
      <c r="I307" s="100"/>
      <c r="J307" s="100" t="s">
        <v>981</v>
      </c>
      <c r="K307" s="100" t="s">
        <v>1053</v>
      </c>
      <c r="L307" s="40">
        <v>0.8</v>
      </c>
      <c r="M307" s="100" t="s">
        <v>46</v>
      </c>
    </row>
    <row r="308" spans="1:13" x14ac:dyDescent="0.3">
      <c r="A308" s="89">
        <v>46014</v>
      </c>
      <c r="B308" s="90" t="s">
        <v>1384</v>
      </c>
      <c r="C308" s="90" t="s">
        <v>1005</v>
      </c>
      <c r="D308" s="89">
        <v>46014</v>
      </c>
      <c r="E308" s="90">
        <v>23</v>
      </c>
      <c r="F308" s="90">
        <v>0</v>
      </c>
      <c r="G308" s="90">
        <v>39636.870000000003</v>
      </c>
      <c r="H308" s="90" t="s">
        <v>1385</v>
      </c>
      <c r="I308" s="90"/>
      <c r="J308" s="90" t="s">
        <v>975</v>
      </c>
      <c r="K308" s="90" t="s">
        <v>91</v>
      </c>
      <c r="L308" s="39">
        <v>0.55000000000000004</v>
      </c>
      <c r="M308" s="90" t="s">
        <v>46</v>
      </c>
    </row>
    <row r="309" spans="1:13" x14ac:dyDescent="0.3">
      <c r="A309" s="101">
        <v>46015</v>
      </c>
      <c r="B309" s="102" t="s">
        <v>1386</v>
      </c>
      <c r="C309" s="102" t="s">
        <v>1005</v>
      </c>
      <c r="D309" s="101">
        <v>46015</v>
      </c>
      <c r="E309" s="102">
        <v>1300</v>
      </c>
      <c r="F309" s="102">
        <v>0</v>
      </c>
      <c r="G309" s="102">
        <v>38336.870000000003</v>
      </c>
      <c r="H309" s="102"/>
      <c r="I309" s="102"/>
      <c r="J309" s="102" t="s">
        <v>976</v>
      </c>
      <c r="K309" s="102" t="s">
        <v>1028</v>
      </c>
      <c r="L309" s="24">
        <v>0.85</v>
      </c>
      <c r="M309" s="102" t="s">
        <v>46</v>
      </c>
    </row>
    <row r="310" spans="1:13" x14ac:dyDescent="0.3">
      <c r="A310" s="89">
        <v>46015</v>
      </c>
      <c r="B310" s="90" t="s">
        <v>1387</v>
      </c>
      <c r="C310" s="90" t="s">
        <v>1005</v>
      </c>
      <c r="D310" s="89">
        <v>46015</v>
      </c>
      <c r="E310" s="90">
        <v>257</v>
      </c>
      <c r="F310" s="90">
        <v>0</v>
      </c>
      <c r="G310" s="90">
        <v>38079.870000000003</v>
      </c>
      <c r="H310" s="90" t="s">
        <v>1388</v>
      </c>
      <c r="I310" s="90"/>
      <c r="J310" s="90" t="s">
        <v>975</v>
      </c>
      <c r="K310" s="90" t="s">
        <v>91</v>
      </c>
      <c r="L310" s="39">
        <v>0.55000000000000004</v>
      </c>
      <c r="M310" s="90" t="s">
        <v>46</v>
      </c>
    </row>
    <row r="311" spans="1:13" x14ac:dyDescent="0.3">
      <c r="A311" s="101">
        <v>46016</v>
      </c>
      <c r="B311" s="102" t="s">
        <v>1389</v>
      </c>
      <c r="C311" s="102" t="s">
        <v>1005</v>
      </c>
      <c r="D311" s="101">
        <v>46016</v>
      </c>
      <c r="E311" s="102">
        <v>1200</v>
      </c>
      <c r="F311" s="102">
        <v>0</v>
      </c>
      <c r="G311" s="102">
        <v>36879.870000000003</v>
      </c>
      <c r="H311" s="102"/>
      <c r="I311" s="102"/>
      <c r="J311" s="102" t="s">
        <v>976</v>
      </c>
      <c r="K311" s="102" t="s">
        <v>1028</v>
      </c>
      <c r="L311" s="24">
        <v>0.85</v>
      </c>
      <c r="M311" s="102" t="s">
        <v>46</v>
      </c>
    </row>
    <row r="312" spans="1:13" x14ac:dyDescent="0.3">
      <c r="A312" s="89">
        <v>46016</v>
      </c>
      <c r="B312" s="90" t="s">
        <v>1390</v>
      </c>
      <c r="C312" s="90" t="s">
        <v>1005</v>
      </c>
      <c r="D312" s="89">
        <v>46016</v>
      </c>
      <c r="E312" s="90">
        <v>1600</v>
      </c>
      <c r="F312" s="90">
        <v>0</v>
      </c>
      <c r="G312" s="90">
        <v>35279.870000000003</v>
      </c>
      <c r="H312" s="90" t="s">
        <v>1391</v>
      </c>
      <c r="I312" s="90"/>
      <c r="J312" s="90" t="s">
        <v>975</v>
      </c>
      <c r="K312" s="90" t="s">
        <v>91</v>
      </c>
      <c r="L312" s="39">
        <v>0.55000000000000004</v>
      </c>
      <c r="M312" s="90" t="s">
        <v>46</v>
      </c>
    </row>
    <row r="313" spans="1:13" x14ac:dyDescent="0.3">
      <c r="A313" s="89">
        <v>46016</v>
      </c>
      <c r="B313" s="90" t="s">
        <v>1392</v>
      </c>
      <c r="C313" s="90" t="s">
        <v>1005</v>
      </c>
      <c r="D313" s="89">
        <v>46016</v>
      </c>
      <c r="E313" s="90">
        <v>160</v>
      </c>
      <c r="F313" s="90">
        <v>0</v>
      </c>
      <c r="G313" s="90">
        <v>35119.870000000003</v>
      </c>
      <c r="H313" s="90" t="s">
        <v>1393</v>
      </c>
      <c r="I313" s="90"/>
      <c r="J313" s="90" t="s">
        <v>975</v>
      </c>
      <c r="K313" s="90" t="s">
        <v>91</v>
      </c>
      <c r="L313" s="39">
        <v>0.55000000000000004</v>
      </c>
      <c r="M313" s="90" t="s">
        <v>46</v>
      </c>
    </row>
    <row r="314" spans="1:13" x14ac:dyDescent="0.3">
      <c r="A314" s="89">
        <v>46016</v>
      </c>
      <c r="B314" s="90" t="s">
        <v>1394</v>
      </c>
      <c r="C314" s="90" t="s">
        <v>1005</v>
      </c>
      <c r="D314" s="89">
        <v>46016</v>
      </c>
      <c r="E314" s="90">
        <v>110</v>
      </c>
      <c r="F314" s="90">
        <v>0</v>
      </c>
      <c r="G314" s="90">
        <v>35009.870000000003</v>
      </c>
      <c r="H314" s="90" t="s">
        <v>1395</v>
      </c>
      <c r="I314" s="90"/>
      <c r="J314" s="90" t="s">
        <v>975</v>
      </c>
      <c r="K314" s="90" t="s">
        <v>91</v>
      </c>
      <c r="L314" s="39">
        <v>0.55000000000000004</v>
      </c>
      <c r="M314" s="90" t="s">
        <v>46</v>
      </c>
    </row>
    <row r="315" spans="1:13" x14ac:dyDescent="0.3">
      <c r="A315" s="89">
        <v>46017</v>
      </c>
      <c r="B315" s="90" t="s">
        <v>1396</v>
      </c>
      <c r="C315" s="90" t="s">
        <v>1005</v>
      </c>
      <c r="D315" s="89">
        <v>46017</v>
      </c>
      <c r="E315" s="90">
        <v>70</v>
      </c>
      <c r="F315" s="90">
        <v>0</v>
      </c>
      <c r="G315" s="90">
        <v>34939.870000000003</v>
      </c>
      <c r="H315" s="90" t="s">
        <v>1397</v>
      </c>
      <c r="I315" s="90"/>
      <c r="J315" s="90" t="s">
        <v>975</v>
      </c>
      <c r="K315" s="90" t="s">
        <v>91</v>
      </c>
      <c r="L315" s="39">
        <v>0.55000000000000004</v>
      </c>
      <c r="M315" s="90" t="s">
        <v>46</v>
      </c>
    </row>
    <row r="316" spans="1:13" x14ac:dyDescent="0.3">
      <c r="A316" s="101">
        <v>46017</v>
      </c>
      <c r="B316" s="102" t="s">
        <v>1398</v>
      </c>
      <c r="C316" s="102" t="s">
        <v>1005</v>
      </c>
      <c r="D316" s="101">
        <v>46017</v>
      </c>
      <c r="E316" s="102">
        <v>1450</v>
      </c>
      <c r="F316" s="102">
        <v>0</v>
      </c>
      <c r="G316" s="102">
        <v>33489.870000000003</v>
      </c>
      <c r="H316" s="102"/>
      <c r="I316" s="102"/>
      <c r="J316" s="102" t="s">
        <v>976</v>
      </c>
      <c r="K316" s="102" t="s">
        <v>1028</v>
      </c>
      <c r="L316" s="24">
        <v>0.85</v>
      </c>
      <c r="M316" s="102" t="s">
        <v>46</v>
      </c>
    </row>
    <row r="317" spans="1:13" x14ac:dyDescent="0.3">
      <c r="A317" s="89">
        <v>46017</v>
      </c>
      <c r="B317" s="90" t="s">
        <v>1399</v>
      </c>
      <c r="C317" s="90" t="s">
        <v>1005</v>
      </c>
      <c r="D317" s="89">
        <v>46017</v>
      </c>
      <c r="E317" s="90">
        <v>20</v>
      </c>
      <c r="F317" s="90">
        <v>0</v>
      </c>
      <c r="G317" s="90">
        <v>33469.870000000003</v>
      </c>
      <c r="H317" s="90" t="s">
        <v>1400</v>
      </c>
      <c r="I317" s="90"/>
      <c r="J317" s="90" t="s">
        <v>975</v>
      </c>
      <c r="K317" s="90" t="s">
        <v>91</v>
      </c>
      <c r="L317" s="39">
        <v>0.55000000000000004</v>
      </c>
      <c r="M317" s="90" t="s">
        <v>46</v>
      </c>
    </row>
    <row r="318" spans="1:13" x14ac:dyDescent="0.3">
      <c r="A318" s="101">
        <v>46018</v>
      </c>
      <c r="B318" s="102" t="s">
        <v>1401</v>
      </c>
      <c r="C318" s="102" t="s">
        <v>1005</v>
      </c>
      <c r="D318" s="101">
        <v>46018</v>
      </c>
      <c r="E318" s="102">
        <v>1450</v>
      </c>
      <c r="F318" s="102">
        <v>0</v>
      </c>
      <c r="G318" s="102">
        <v>32019.87</v>
      </c>
      <c r="H318" s="102"/>
      <c r="I318" s="102"/>
      <c r="J318" s="102" t="s">
        <v>976</v>
      </c>
      <c r="K318" s="102" t="s">
        <v>1028</v>
      </c>
      <c r="L318" s="24">
        <v>0.85</v>
      </c>
      <c r="M318" s="102" t="s">
        <v>46</v>
      </c>
    </row>
    <row r="319" spans="1:13" x14ac:dyDescent="0.3">
      <c r="A319" s="89">
        <v>46018</v>
      </c>
      <c r="B319" s="90" t="s">
        <v>1402</v>
      </c>
      <c r="C319" s="90" t="s">
        <v>1005</v>
      </c>
      <c r="D319" s="89">
        <v>46018</v>
      </c>
      <c r="E319" s="90">
        <v>120</v>
      </c>
      <c r="F319" s="90">
        <v>0</v>
      </c>
      <c r="G319" s="90">
        <v>31899.87</v>
      </c>
      <c r="H319" s="90" t="s">
        <v>1403</v>
      </c>
      <c r="I319" s="90"/>
      <c r="J319" s="90" t="s">
        <v>975</v>
      </c>
      <c r="K319" s="90" t="s">
        <v>91</v>
      </c>
      <c r="L319" s="39">
        <v>0.55000000000000004</v>
      </c>
      <c r="M319" s="90" t="s">
        <v>46</v>
      </c>
    </row>
    <row r="320" spans="1:13" x14ac:dyDescent="0.3">
      <c r="A320" s="89">
        <v>46018</v>
      </c>
      <c r="B320" s="90" t="s">
        <v>1404</v>
      </c>
      <c r="C320" s="90" t="s">
        <v>1005</v>
      </c>
      <c r="D320" s="89">
        <v>46018</v>
      </c>
      <c r="E320" s="90">
        <v>2500</v>
      </c>
      <c r="F320" s="90">
        <v>0</v>
      </c>
      <c r="G320" s="90">
        <v>29399.87</v>
      </c>
      <c r="H320" s="90" t="s">
        <v>1405</v>
      </c>
      <c r="I320" s="90"/>
      <c r="J320" s="90" t="s">
        <v>975</v>
      </c>
      <c r="K320" s="90" t="s">
        <v>91</v>
      </c>
      <c r="L320" s="39">
        <v>0.55000000000000004</v>
      </c>
      <c r="M320" s="90" t="s">
        <v>46</v>
      </c>
    </row>
    <row r="321" spans="1:13" x14ac:dyDescent="0.3">
      <c r="A321" s="89">
        <v>46018</v>
      </c>
      <c r="B321" s="90" t="s">
        <v>1406</v>
      </c>
      <c r="C321" s="90" t="s">
        <v>1005</v>
      </c>
      <c r="D321" s="89">
        <v>46018</v>
      </c>
      <c r="E321" s="90">
        <v>2000</v>
      </c>
      <c r="F321" s="90">
        <v>0</v>
      </c>
      <c r="G321" s="90">
        <v>27399.87</v>
      </c>
      <c r="H321" s="90" t="s">
        <v>1407</v>
      </c>
      <c r="I321" s="90"/>
      <c r="J321" s="90" t="s">
        <v>975</v>
      </c>
      <c r="K321" s="90" t="s">
        <v>91</v>
      </c>
      <c r="L321" s="39">
        <v>0.55000000000000004</v>
      </c>
      <c r="M321" s="90" t="s">
        <v>46</v>
      </c>
    </row>
    <row r="322" spans="1:13" x14ac:dyDescent="0.3">
      <c r="A322" s="89">
        <v>46018</v>
      </c>
      <c r="B322" s="90" t="s">
        <v>1408</v>
      </c>
      <c r="C322" s="90" t="s">
        <v>1005</v>
      </c>
      <c r="D322" s="89">
        <v>46018</v>
      </c>
      <c r="E322" s="90">
        <v>220</v>
      </c>
      <c r="F322" s="90">
        <v>0</v>
      </c>
      <c r="G322" s="90">
        <v>27179.87</v>
      </c>
      <c r="H322" s="90" t="s">
        <v>1409</v>
      </c>
      <c r="I322" s="90"/>
      <c r="J322" s="90" t="s">
        <v>975</v>
      </c>
      <c r="K322" s="90" t="s">
        <v>91</v>
      </c>
      <c r="L322" s="39">
        <v>0.55000000000000004</v>
      </c>
      <c r="M322" s="90" t="s">
        <v>46</v>
      </c>
    </row>
    <row r="323" spans="1:13" x14ac:dyDescent="0.3">
      <c r="A323" s="101">
        <v>46019</v>
      </c>
      <c r="B323" s="102" t="s">
        <v>1410</v>
      </c>
      <c r="C323" s="102" t="s">
        <v>1005</v>
      </c>
      <c r="D323" s="101">
        <v>46019</v>
      </c>
      <c r="E323" s="102">
        <v>1450</v>
      </c>
      <c r="F323" s="102">
        <v>0</v>
      </c>
      <c r="G323" s="102">
        <v>25729.87</v>
      </c>
      <c r="H323" s="102"/>
      <c r="I323" s="102"/>
      <c r="J323" s="102" t="s">
        <v>976</v>
      </c>
      <c r="K323" s="102" t="s">
        <v>1028</v>
      </c>
      <c r="L323" s="24">
        <v>0.85</v>
      </c>
      <c r="M323" s="102" t="s">
        <v>46</v>
      </c>
    </row>
    <row r="324" spans="1:13" x14ac:dyDescent="0.3">
      <c r="A324" s="101">
        <v>46020</v>
      </c>
      <c r="B324" s="102" t="s">
        <v>1411</v>
      </c>
      <c r="C324" s="102" t="s">
        <v>1005</v>
      </c>
      <c r="D324" s="101">
        <v>46020</v>
      </c>
      <c r="E324" s="102">
        <v>1450</v>
      </c>
      <c r="F324" s="102">
        <v>0</v>
      </c>
      <c r="G324" s="102">
        <v>24279.87</v>
      </c>
      <c r="H324" s="102"/>
      <c r="I324" s="102"/>
      <c r="J324" s="102" t="s">
        <v>976</v>
      </c>
      <c r="K324" s="102" t="s">
        <v>1028</v>
      </c>
      <c r="L324" s="24">
        <v>0.85</v>
      </c>
      <c r="M324" s="102" t="s">
        <v>46</v>
      </c>
    </row>
    <row r="325" spans="1:13" x14ac:dyDescent="0.3">
      <c r="A325" s="89">
        <v>46020</v>
      </c>
      <c r="B325" s="90" t="s">
        <v>1412</v>
      </c>
      <c r="C325" s="90" t="s">
        <v>1005</v>
      </c>
      <c r="D325" s="89">
        <v>46020</v>
      </c>
      <c r="E325" s="90">
        <v>150</v>
      </c>
      <c r="F325" s="90">
        <v>0</v>
      </c>
      <c r="G325" s="90">
        <v>24129.87</v>
      </c>
      <c r="H325" s="90" t="s">
        <v>1413</v>
      </c>
      <c r="I325" s="90"/>
      <c r="J325" s="90" t="s">
        <v>975</v>
      </c>
      <c r="K325" s="90" t="s">
        <v>91</v>
      </c>
      <c r="L325" s="39">
        <v>0.55000000000000004</v>
      </c>
      <c r="M325" s="90" t="s">
        <v>46</v>
      </c>
    </row>
    <row r="326" spans="1:13" x14ac:dyDescent="0.3">
      <c r="A326" s="83">
        <v>46020</v>
      </c>
      <c r="B326" s="84" t="s">
        <v>1414</v>
      </c>
      <c r="C326" s="84" t="s">
        <v>1005</v>
      </c>
      <c r="D326" s="83">
        <v>46020</v>
      </c>
      <c r="E326" s="84">
        <v>0</v>
      </c>
      <c r="F326" s="84">
        <v>60.72</v>
      </c>
      <c r="G326" s="84">
        <v>24190.59</v>
      </c>
      <c r="H326" s="84"/>
      <c r="I326" s="84"/>
      <c r="J326" s="84" t="s">
        <v>973</v>
      </c>
      <c r="K326" s="84" t="s">
        <v>1014</v>
      </c>
      <c r="L326" s="24">
        <v>0.92</v>
      </c>
      <c r="M326" s="84" t="s">
        <v>46</v>
      </c>
    </row>
    <row r="327" spans="1:13" x14ac:dyDescent="0.3">
      <c r="A327" s="83">
        <v>46020</v>
      </c>
      <c r="B327" s="84" t="s">
        <v>1415</v>
      </c>
      <c r="C327" s="84" t="s">
        <v>1005</v>
      </c>
      <c r="D327" s="83">
        <v>46020</v>
      </c>
      <c r="E327" s="84">
        <v>0</v>
      </c>
      <c r="F327" s="84">
        <v>1900</v>
      </c>
      <c r="G327" s="84">
        <v>26090.59</v>
      </c>
      <c r="H327" s="84"/>
      <c r="I327" s="84"/>
      <c r="J327" s="84" t="s">
        <v>973</v>
      </c>
      <c r="K327" s="84" t="s">
        <v>1014</v>
      </c>
      <c r="L327" s="24">
        <v>0.92</v>
      </c>
      <c r="M327" s="84" t="s">
        <v>46</v>
      </c>
    </row>
    <row r="328" spans="1:13" x14ac:dyDescent="0.3">
      <c r="A328" s="83">
        <v>46020</v>
      </c>
      <c r="B328" s="84" t="s">
        <v>1416</v>
      </c>
      <c r="C328" s="84" t="s">
        <v>1005</v>
      </c>
      <c r="D328" s="83">
        <v>46020</v>
      </c>
      <c r="E328" s="84">
        <v>0</v>
      </c>
      <c r="F328" s="84">
        <v>10.72</v>
      </c>
      <c r="G328" s="84">
        <v>26101.31</v>
      </c>
      <c r="H328" s="84"/>
      <c r="I328" s="84"/>
      <c r="J328" s="84" t="s">
        <v>973</v>
      </c>
      <c r="K328" s="84" t="s">
        <v>1014</v>
      </c>
      <c r="L328" s="24">
        <v>0.92</v>
      </c>
      <c r="M328" s="84" t="s">
        <v>46</v>
      </c>
    </row>
    <row r="329" spans="1:13" x14ac:dyDescent="0.3">
      <c r="A329" s="83">
        <v>46021</v>
      </c>
      <c r="B329" s="84" t="s">
        <v>1417</v>
      </c>
      <c r="C329" s="84" t="s">
        <v>1005</v>
      </c>
      <c r="D329" s="83">
        <v>46021</v>
      </c>
      <c r="E329" s="84">
        <v>7554.5</v>
      </c>
      <c r="F329" s="84">
        <v>0</v>
      </c>
      <c r="G329" s="84">
        <v>18546.810000000001</v>
      </c>
      <c r="H329" s="84"/>
      <c r="I329" s="84"/>
      <c r="J329" s="84" t="s">
        <v>973</v>
      </c>
      <c r="K329" s="84" t="s">
        <v>1014</v>
      </c>
      <c r="L329" s="24">
        <v>0.88</v>
      </c>
      <c r="M329" s="84" t="s">
        <v>46</v>
      </c>
    </row>
    <row r="330" spans="1:13" x14ac:dyDescent="0.3">
      <c r="A330" s="101">
        <v>46023</v>
      </c>
      <c r="B330" s="102" t="s">
        <v>1418</v>
      </c>
      <c r="C330" s="102" t="s">
        <v>1005</v>
      </c>
      <c r="D330" s="101">
        <v>46023</v>
      </c>
      <c r="E330" s="102">
        <v>1500</v>
      </c>
      <c r="F330" s="102">
        <v>0</v>
      </c>
      <c r="G330" s="102">
        <v>17046.810000000001</v>
      </c>
      <c r="H330" s="102"/>
      <c r="I330" s="102"/>
      <c r="J330" s="102" t="s">
        <v>976</v>
      </c>
      <c r="K330" s="102" t="s">
        <v>1028</v>
      </c>
      <c r="L330" s="24">
        <v>0.85</v>
      </c>
      <c r="M330" s="102" t="s">
        <v>46</v>
      </c>
    </row>
    <row r="331" spans="1:13" x14ac:dyDescent="0.3">
      <c r="A331" s="41">
        <v>46023</v>
      </c>
      <c r="B331" s="42" t="s">
        <v>1419</v>
      </c>
      <c r="C331" s="42" t="s">
        <v>1005</v>
      </c>
      <c r="D331" s="41">
        <v>46023</v>
      </c>
      <c r="E331" s="42">
        <v>578</v>
      </c>
      <c r="F331" s="42">
        <v>0</v>
      </c>
      <c r="G331" s="42">
        <v>16468.810000000001</v>
      </c>
      <c r="H331" s="42"/>
      <c r="I331" s="42"/>
      <c r="J331" s="42" t="s">
        <v>997</v>
      </c>
      <c r="K331" s="42" t="s">
        <v>131</v>
      </c>
      <c r="L331" s="40">
        <v>0.68</v>
      </c>
      <c r="M331" s="42" t="s">
        <v>46</v>
      </c>
    </row>
    <row r="332" spans="1:13" x14ac:dyDescent="0.3">
      <c r="A332" s="78">
        <v>46023</v>
      </c>
      <c r="B332" s="79" t="s">
        <v>1420</v>
      </c>
      <c r="C332" s="79" t="s">
        <v>1005</v>
      </c>
      <c r="D332" s="78">
        <v>46023</v>
      </c>
      <c r="E332" s="79">
        <v>0</v>
      </c>
      <c r="F332" s="79">
        <v>96180</v>
      </c>
      <c r="G332" s="79">
        <v>112648.81</v>
      </c>
      <c r="H332" s="79"/>
      <c r="I332" s="79"/>
      <c r="J332" s="79" t="s">
        <v>972</v>
      </c>
      <c r="K332" s="79" t="s">
        <v>972</v>
      </c>
      <c r="L332" s="24">
        <v>0.97</v>
      </c>
      <c r="M332" s="79" t="s">
        <v>46</v>
      </c>
    </row>
    <row r="333" spans="1:13" x14ac:dyDescent="0.3">
      <c r="A333" s="83">
        <v>46023</v>
      </c>
      <c r="B333" s="84" t="s">
        <v>1421</v>
      </c>
      <c r="C333" s="84" t="s">
        <v>1005</v>
      </c>
      <c r="D333" s="83">
        <v>46023</v>
      </c>
      <c r="E333" s="84">
        <v>1088.5999999999999</v>
      </c>
      <c r="F333" s="84">
        <v>0</v>
      </c>
      <c r="G333" s="84">
        <v>111560.21</v>
      </c>
      <c r="H333" s="84"/>
      <c r="I333" s="84"/>
      <c r="J333" s="84" t="s">
        <v>973</v>
      </c>
      <c r="K333" s="84" t="s">
        <v>1014</v>
      </c>
      <c r="L333" s="24">
        <v>0.88</v>
      </c>
      <c r="M333" s="84" t="s">
        <v>46</v>
      </c>
    </row>
    <row r="334" spans="1:13" x14ac:dyDescent="0.3">
      <c r="A334" s="89">
        <v>46023</v>
      </c>
      <c r="B334" s="90" t="s">
        <v>1422</v>
      </c>
      <c r="C334" s="90" t="s">
        <v>1005</v>
      </c>
      <c r="D334" s="89">
        <v>46023</v>
      </c>
      <c r="E334" s="90">
        <v>240</v>
      </c>
      <c r="F334" s="90">
        <v>0</v>
      </c>
      <c r="G334" s="90">
        <v>111320.21</v>
      </c>
      <c r="H334" s="90" t="s">
        <v>1423</v>
      </c>
      <c r="I334" s="90"/>
      <c r="J334" s="90" t="s">
        <v>975</v>
      </c>
      <c r="K334" s="90" t="s">
        <v>91</v>
      </c>
      <c r="L334" s="39">
        <v>0.55000000000000004</v>
      </c>
      <c r="M334" s="90" t="s">
        <v>46</v>
      </c>
    </row>
    <row r="335" spans="1:13" x14ac:dyDescent="0.3">
      <c r="A335" s="55">
        <v>46023</v>
      </c>
      <c r="B335" s="56" t="s">
        <v>1424</v>
      </c>
      <c r="C335" s="56" t="s">
        <v>1005</v>
      </c>
      <c r="D335" s="55">
        <v>46023</v>
      </c>
      <c r="E335" s="56">
        <v>0</v>
      </c>
      <c r="F335" s="56">
        <v>410</v>
      </c>
      <c r="G335" s="56">
        <v>111730.21</v>
      </c>
      <c r="H335" s="56"/>
      <c r="I335" s="56"/>
      <c r="J335" s="56" t="s">
        <v>22</v>
      </c>
      <c r="K335" s="56" t="s">
        <v>22</v>
      </c>
      <c r="L335" s="24">
        <v>0.93</v>
      </c>
      <c r="M335" s="56" t="s">
        <v>46</v>
      </c>
    </row>
    <row r="336" spans="1:13" x14ac:dyDescent="0.3">
      <c r="A336" s="101">
        <v>46024</v>
      </c>
      <c r="B336" s="102" t="s">
        <v>1425</v>
      </c>
      <c r="C336" s="102" t="s">
        <v>1005</v>
      </c>
      <c r="D336" s="101">
        <v>46024</v>
      </c>
      <c r="E336" s="102">
        <v>1500</v>
      </c>
      <c r="F336" s="102">
        <v>0</v>
      </c>
      <c r="G336" s="102">
        <v>110230.21</v>
      </c>
      <c r="H336" s="102"/>
      <c r="I336" s="102"/>
      <c r="J336" s="102" t="s">
        <v>976</v>
      </c>
      <c r="K336" s="102" t="s">
        <v>1028</v>
      </c>
      <c r="L336" s="24">
        <v>0.85</v>
      </c>
      <c r="M336" s="102" t="s">
        <v>46</v>
      </c>
    </row>
    <row r="337" spans="1:13" x14ac:dyDescent="0.3">
      <c r="A337" s="111">
        <v>46024</v>
      </c>
      <c r="B337" s="112" t="s">
        <v>1426</v>
      </c>
      <c r="C337" s="112" t="s">
        <v>1005</v>
      </c>
      <c r="D337" s="111">
        <v>46024</v>
      </c>
      <c r="E337" s="112">
        <v>1000</v>
      </c>
      <c r="F337" s="112">
        <v>0</v>
      </c>
      <c r="G337" s="112">
        <v>109230.21</v>
      </c>
      <c r="H337" s="112"/>
      <c r="I337" s="112"/>
      <c r="J337" s="112" t="s">
        <v>996</v>
      </c>
      <c r="K337" s="112" t="s">
        <v>996</v>
      </c>
      <c r="L337" s="24">
        <v>0.9</v>
      </c>
      <c r="M337" s="112" t="s">
        <v>46</v>
      </c>
    </row>
    <row r="338" spans="1:13" x14ac:dyDescent="0.3">
      <c r="A338" s="111">
        <v>46024</v>
      </c>
      <c r="B338" s="112" t="s">
        <v>1427</v>
      </c>
      <c r="C338" s="112" t="s">
        <v>1005</v>
      </c>
      <c r="D338" s="111">
        <v>46024</v>
      </c>
      <c r="E338" s="112">
        <v>75000</v>
      </c>
      <c r="F338" s="112">
        <v>0</v>
      </c>
      <c r="G338" s="112">
        <v>34230.21</v>
      </c>
      <c r="H338" s="112"/>
      <c r="I338" s="112"/>
      <c r="J338" s="112" t="s">
        <v>996</v>
      </c>
      <c r="K338" s="112" t="s">
        <v>996</v>
      </c>
      <c r="L338" s="24">
        <v>0.9</v>
      </c>
      <c r="M338" s="112" t="s">
        <v>46</v>
      </c>
    </row>
    <row r="339" spans="1:13" x14ac:dyDescent="0.3">
      <c r="A339" s="89">
        <v>46024</v>
      </c>
      <c r="B339" s="90" t="s">
        <v>1428</v>
      </c>
      <c r="C339" s="90" t="s">
        <v>1005</v>
      </c>
      <c r="D339" s="89">
        <v>46024</v>
      </c>
      <c r="E339" s="90">
        <v>70</v>
      </c>
      <c r="F339" s="90">
        <v>0</v>
      </c>
      <c r="G339" s="90">
        <v>34160.21</v>
      </c>
      <c r="H339" s="90" t="s">
        <v>1429</v>
      </c>
      <c r="I339" s="90"/>
      <c r="J339" s="90" t="s">
        <v>975</v>
      </c>
      <c r="K339" s="90" t="s">
        <v>91</v>
      </c>
      <c r="L339" s="39">
        <v>0.55000000000000004</v>
      </c>
      <c r="M339" s="90" t="s">
        <v>46</v>
      </c>
    </row>
    <row r="340" spans="1:13" x14ac:dyDescent="0.3">
      <c r="A340" s="89">
        <v>46024</v>
      </c>
      <c r="B340" s="90" t="s">
        <v>1430</v>
      </c>
      <c r="C340" s="90" t="s">
        <v>1005</v>
      </c>
      <c r="D340" s="89">
        <v>46024</v>
      </c>
      <c r="E340" s="90">
        <v>4334</v>
      </c>
      <c r="F340" s="90">
        <v>0</v>
      </c>
      <c r="G340" s="90">
        <v>29826.21</v>
      </c>
      <c r="H340" s="90" t="s">
        <v>1431</v>
      </c>
      <c r="I340" s="90"/>
      <c r="J340" s="90" t="s">
        <v>975</v>
      </c>
      <c r="K340" s="90" t="s">
        <v>91</v>
      </c>
      <c r="L340" s="39">
        <v>0.55000000000000004</v>
      </c>
      <c r="M340" s="90" t="s">
        <v>46</v>
      </c>
    </row>
    <row r="341" spans="1:13" x14ac:dyDescent="0.3">
      <c r="A341" s="89">
        <v>46024</v>
      </c>
      <c r="B341" s="90" t="s">
        <v>1432</v>
      </c>
      <c r="C341" s="90" t="s">
        <v>1005</v>
      </c>
      <c r="D341" s="89">
        <v>46024</v>
      </c>
      <c r="E341" s="90">
        <v>80</v>
      </c>
      <c r="F341" s="90">
        <v>0</v>
      </c>
      <c r="G341" s="90">
        <v>29746.21</v>
      </c>
      <c r="H341" s="90" t="s">
        <v>1433</v>
      </c>
      <c r="I341" s="90"/>
      <c r="J341" s="90" t="s">
        <v>975</v>
      </c>
      <c r="K341" s="90" t="s">
        <v>91</v>
      </c>
      <c r="L341" s="39">
        <v>0.55000000000000004</v>
      </c>
      <c r="M341" s="90" t="s">
        <v>46</v>
      </c>
    </row>
    <row r="342" spans="1:13" x14ac:dyDescent="0.3">
      <c r="A342" s="89">
        <v>46024</v>
      </c>
      <c r="B342" s="90" t="s">
        <v>1434</v>
      </c>
      <c r="C342" s="90" t="s">
        <v>1005</v>
      </c>
      <c r="D342" s="89">
        <v>46024</v>
      </c>
      <c r="E342" s="90">
        <v>40</v>
      </c>
      <c r="F342" s="90">
        <v>0</v>
      </c>
      <c r="G342" s="90">
        <v>29706.21</v>
      </c>
      <c r="H342" s="90" t="s">
        <v>1435</v>
      </c>
      <c r="I342" s="90"/>
      <c r="J342" s="90" t="s">
        <v>975</v>
      </c>
      <c r="K342" s="90" t="s">
        <v>91</v>
      </c>
      <c r="L342" s="39">
        <v>0.55000000000000004</v>
      </c>
      <c r="M342" s="90" t="s">
        <v>46</v>
      </c>
    </row>
    <row r="343" spans="1:13" x14ac:dyDescent="0.3">
      <c r="A343" s="89">
        <v>46024</v>
      </c>
      <c r="B343" s="90" t="s">
        <v>1436</v>
      </c>
      <c r="C343" s="90" t="s">
        <v>1005</v>
      </c>
      <c r="D343" s="89">
        <v>46024</v>
      </c>
      <c r="E343" s="90">
        <v>140</v>
      </c>
      <c r="F343" s="90">
        <v>0</v>
      </c>
      <c r="G343" s="90">
        <v>29566.21</v>
      </c>
      <c r="H343" s="90" t="s">
        <v>1437</v>
      </c>
      <c r="I343" s="90"/>
      <c r="J343" s="90" t="s">
        <v>975</v>
      </c>
      <c r="K343" s="90" t="s">
        <v>91</v>
      </c>
      <c r="L343" s="39">
        <v>0.55000000000000004</v>
      </c>
      <c r="M343" s="90" t="s">
        <v>46</v>
      </c>
    </row>
    <row r="344" spans="1:13" x14ac:dyDescent="0.3">
      <c r="A344" s="101">
        <v>46025</v>
      </c>
      <c r="B344" s="102" t="s">
        <v>1438</v>
      </c>
      <c r="C344" s="102" t="s">
        <v>1005</v>
      </c>
      <c r="D344" s="101">
        <v>46025</v>
      </c>
      <c r="E344" s="102">
        <v>1500</v>
      </c>
      <c r="F344" s="102">
        <v>0</v>
      </c>
      <c r="G344" s="102">
        <v>28066.21</v>
      </c>
      <c r="H344" s="102"/>
      <c r="I344" s="102"/>
      <c r="J344" s="102" t="s">
        <v>976</v>
      </c>
      <c r="K344" s="102" t="s">
        <v>1028</v>
      </c>
      <c r="L344" s="24">
        <v>0.85</v>
      </c>
      <c r="M344" s="102" t="s">
        <v>46</v>
      </c>
    </row>
    <row r="345" spans="1:13" x14ac:dyDescent="0.3">
      <c r="A345" s="89">
        <v>46025</v>
      </c>
      <c r="B345" s="90" t="s">
        <v>1439</v>
      </c>
      <c r="C345" s="90" t="s">
        <v>1005</v>
      </c>
      <c r="D345" s="89">
        <v>46025</v>
      </c>
      <c r="E345" s="90">
        <v>200</v>
      </c>
      <c r="F345" s="90">
        <v>0</v>
      </c>
      <c r="G345" s="90">
        <v>27866.21</v>
      </c>
      <c r="H345" s="90" t="s">
        <v>1440</v>
      </c>
      <c r="I345" s="90"/>
      <c r="J345" s="90" t="s">
        <v>975</v>
      </c>
      <c r="K345" s="90" t="s">
        <v>91</v>
      </c>
      <c r="L345" s="39">
        <v>0.55000000000000004</v>
      </c>
      <c r="M345" s="90" t="s">
        <v>46</v>
      </c>
    </row>
    <row r="346" spans="1:13" x14ac:dyDescent="0.3">
      <c r="A346" s="89">
        <v>46025</v>
      </c>
      <c r="B346" s="90" t="s">
        <v>1441</v>
      </c>
      <c r="C346" s="90" t="s">
        <v>1005</v>
      </c>
      <c r="D346" s="89">
        <v>46025</v>
      </c>
      <c r="E346" s="90">
        <v>40</v>
      </c>
      <c r="F346" s="90">
        <v>0</v>
      </c>
      <c r="G346" s="90">
        <v>27826.21</v>
      </c>
      <c r="H346" s="90" t="s">
        <v>1442</v>
      </c>
      <c r="I346" s="90"/>
      <c r="J346" s="90" t="s">
        <v>975</v>
      </c>
      <c r="K346" s="90" t="s">
        <v>91</v>
      </c>
      <c r="L346" s="39">
        <v>0.55000000000000004</v>
      </c>
      <c r="M346" s="90" t="s">
        <v>46</v>
      </c>
    </row>
    <row r="347" spans="1:13" x14ac:dyDescent="0.3">
      <c r="A347" s="89">
        <v>46025</v>
      </c>
      <c r="B347" s="90" t="s">
        <v>1443</v>
      </c>
      <c r="C347" s="90" t="s">
        <v>1005</v>
      </c>
      <c r="D347" s="89">
        <v>46025</v>
      </c>
      <c r="E347" s="90">
        <v>20</v>
      </c>
      <c r="F347" s="90">
        <v>0</v>
      </c>
      <c r="G347" s="90">
        <v>27806.21</v>
      </c>
      <c r="H347" s="90" t="s">
        <v>1444</v>
      </c>
      <c r="I347" s="90"/>
      <c r="J347" s="90" t="s">
        <v>975</v>
      </c>
      <c r="K347" s="90" t="s">
        <v>91</v>
      </c>
      <c r="L347" s="39">
        <v>0.55000000000000004</v>
      </c>
      <c r="M347" s="90" t="s">
        <v>46</v>
      </c>
    </row>
    <row r="348" spans="1:13" x14ac:dyDescent="0.3">
      <c r="A348" s="89">
        <v>46025</v>
      </c>
      <c r="B348" s="90" t="s">
        <v>1445</v>
      </c>
      <c r="C348" s="90" t="s">
        <v>1005</v>
      </c>
      <c r="D348" s="89">
        <v>46025</v>
      </c>
      <c r="E348" s="90">
        <v>55</v>
      </c>
      <c r="F348" s="90">
        <v>0</v>
      </c>
      <c r="G348" s="90">
        <v>27751.21</v>
      </c>
      <c r="H348" s="90" t="s">
        <v>1446</v>
      </c>
      <c r="I348" s="90"/>
      <c r="J348" s="90" t="s">
        <v>975</v>
      </c>
      <c r="K348" s="90" t="s">
        <v>91</v>
      </c>
      <c r="L348" s="39">
        <v>0.55000000000000004</v>
      </c>
      <c r="M348" s="90" t="s">
        <v>46</v>
      </c>
    </row>
    <row r="349" spans="1:13" x14ac:dyDescent="0.3">
      <c r="A349" s="89">
        <v>46025</v>
      </c>
      <c r="B349" s="90" t="s">
        <v>1447</v>
      </c>
      <c r="C349" s="90" t="s">
        <v>1005</v>
      </c>
      <c r="D349" s="89">
        <v>46025</v>
      </c>
      <c r="E349" s="90">
        <v>50</v>
      </c>
      <c r="F349" s="90">
        <v>0</v>
      </c>
      <c r="G349" s="90">
        <v>27701.21</v>
      </c>
      <c r="H349" s="90" t="s">
        <v>1448</v>
      </c>
      <c r="I349" s="90"/>
      <c r="J349" s="90" t="s">
        <v>975</v>
      </c>
      <c r="K349" s="90" t="s">
        <v>91</v>
      </c>
      <c r="L349" s="39">
        <v>0.55000000000000004</v>
      </c>
      <c r="M349" s="90" t="s">
        <v>46</v>
      </c>
    </row>
    <row r="350" spans="1:13" x14ac:dyDescent="0.3">
      <c r="A350" s="89">
        <v>46025</v>
      </c>
      <c r="B350" s="90" t="s">
        <v>1449</v>
      </c>
      <c r="C350" s="90" t="s">
        <v>1005</v>
      </c>
      <c r="D350" s="89">
        <v>46025</v>
      </c>
      <c r="E350" s="90">
        <v>15</v>
      </c>
      <c r="F350" s="90">
        <v>0</v>
      </c>
      <c r="G350" s="90">
        <v>27686.21</v>
      </c>
      <c r="H350" s="90" t="s">
        <v>1433</v>
      </c>
      <c r="I350" s="90"/>
      <c r="J350" s="90" t="s">
        <v>975</v>
      </c>
      <c r="K350" s="90" t="s">
        <v>91</v>
      </c>
      <c r="L350" s="39">
        <v>0.55000000000000004</v>
      </c>
      <c r="M350" s="90" t="s">
        <v>46</v>
      </c>
    </row>
    <row r="351" spans="1:13" x14ac:dyDescent="0.3">
      <c r="A351" s="89">
        <v>46025</v>
      </c>
      <c r="B351" s="90" t="s">
        <v>1450</v>
      </c>
      <c r="C351" s="90" t="s">
        <v>1005</v>
      </c>
      <c r="D351" s="89">
        <v>46025</v>
      </c>
      <c r="E351" s="90">
        <v>46</v>
      </c>
      <c r="F351" s="90">
        <v>0</v>
      </c>
      <c r="G351" s="90">
        <v>27640.21</v>
      </c>
      <c r="H351" s="90" t="s">
        <v>1451</v>
      </c>
      <c r="I351" s="90"/>
      <c r="J351" s="90" t="s">
        <v>975</v>
      </c>
      <c r="K351" s="90" t="s">
        <v>91</v>
      </c>
      <c r="L351" s="39">
        <v>0.55000000000000004</v>
      </c>
      <c r="M351" s="90" t="s">
        <v>46</v>
      </c>
    </row>
    <row r="352" spans="1:13" x14ac:dyDescent="0.3">
      <c r="A352" s="89">
        <v>46025</v>
      </c>
      <c r="B352" s="90" t="s">
        <v>1452</v>
      </c>
      <c r="C352" s="90" t="s">
        <v>1005</v>
      </c>
      <c r="D352" s="89">
        <v>46025</v>
      </c>
      <c r="E352" s="90">
        <v>110</v>
      </c>
      <c r="F352" s="90">
        <v>0</v>
      </c>
      <c r="G352" s="90">
        <v>27530.21</v>
      </c>
      <c r="H352" s="90" t="s">
        <v>1453</v>
      </c>
      <c r="I352" s="90"/>
      <c r="J352" s="90" t="s">
        <v>975</v>
      </c>
      <c r="K352" s="90" t="s">
        <v>91</v>
      </c>
      <c r="L352" s="39">
        <v>0.55000000000000004</v>
      </c>
      <c r="M352" s="90" t="s">
        <v>46</v>
      </c>
    </row>
    <row r="353" spans="1:13" x14ac:dyDescent="0.3">
      <c r="A353" s="89">
        <v>46025</v>
      </c>
      <c r="B353" s="90" t="s">
        <v>1454</v>
      </c>
      <c r="C353" s="90" t="s">
        <v>1005</v>
      </c>
      <c r="D353" s="89">
        <v>46025</v>
      </c>
      <c r="E353" s="90">
        <v>80</v>
      </c>
      <c r="F353" s="90">
        <v>0</v>
      </c>
      <c r="G353" s="90">
        <v>27450.21</v>
      </c>
      <c r="H353" s="90" t="s">
        <v>1437</v>
      </c>
      <c r="I353" s="90"/>
      <c r="J353" s="90" t="s">
        <v>975</v>
      </c>
      <c r="K353" s="90" t="s">
        <v>91</v>
      </c>
      <c r="L353" s="39">
        <v>0.55000000000000004</v>
      </c>
      <c r="M353" s="90" t="s">
        <v>46</v>
      </c>
    </row>
    <row r="354" spans="1:13" x14ac:dyDescent="0.3">
      <c r="A354" s="89">
        <v>46025</v>
      </c>
      <c r="B354" s="90" t="s">
        <v>1455</v>
      </c>
      <c r="C354" s="90" t="s">
        <v>1005</v>
      </c>
      <c r="D354" s="89">
        <v>46025</v>
      </c>
      <c r="E354" s="90">
        <v>30</v>
      </c>
      <c r="F354" s="90">
        <v>0</v>
      </c>
      <c r="G354" s="90">
        <v>27420.21</v>
      </c>
      <c r="H354" s="90" t="s">
        <v>1456</v>
      </c>
      <c r="I354" s="90"/>
      <c r="J354" s="90" t="s">
        <v>975</v>
      </c>
      <c r="K354" s="90" t="s">
        <v>91</v>
      </c>
      <c r="L354" s="39">
        <v>0.55000000000000004</v>
      </c>
      <c r="M354" s="90" t="s">
        <v>46</v>
      </c>
    </row>
    <row r="355" spans="1:13" x14ac:dyDescent="0.3">
      <c r="A355" s="89">
        <v>46025</v>
      </c>
      <c r="B355" s="90" t="s">
        <v>1457</v>
      </c>
      <c r="C355" s="90" t="s">
        <v>1005</v>
      </c>
      <c r="D355" s="89">
        <v>46025</v>
      </c>
      <c r="E355" s="90">
        <v>70.3</v>
      </c>
      <c r="F355" s="90">
        <v>0</v>
      </c>
      <c r="G355" s="90">
        <v>27349.91</v>
      </c>
      <c r="H355" s="90" t="s">
        <v>1458</v>
      </c>
      <c r="I355" s="90"/>
      <c r="J355" s="90" t="s">
        <v>975</v>
      </c>
      <c r="K355" s="90" t="s">
        <v>91</v>
      </c>
      <c r="L355" s="39">
        <v>0.55000000000000004</v>
      </c>
      <c r="M355" s="90" t="s">
        <v>46</v>
      </c>
    </row>
    <row r="356" spans="1:13" x14ac:dyDescent="0.3">
      <c r="A356" s="83">
        <v>46025</v>
      </c>
      <c r="B356" s="84" t="s">
        <v>1459</v>
      </c>
      <c r="C356" s="84" t="s">
        <v>1005</v>
      </c>
      <c r="D356" s="83">
        <v>46025</v>
      </c>
      <c r="E356" s="84">
        <v>0</v>
      </c>
      <c r="F356" s="84">
        <v>1000</v>
      </c>
      <c r="G356" s="84">
        <v>28349.91</v>
      </c>
      <c r="H356" s="84"/>
      <c r="I356" s="84"/>
      <c r="J356" s="84" t="s">
        <v>973</v>
      </c>
      <c r="K356" s="84" t="s">
        <v>1014</v>
      </c>
      <c r="L356" s="24">
        <v>0.88</v>
      </c>
      <c r="M356" s="84" t="s">
        <v>46</v>
      </c>
    </row>
    <row r="357" spans="1:13" x14ac:dyDescent="0.3">
      <c r="A357" s="97">
        <v>46025</v>
      </c>
      <c r="B357" s="98" t="s">
        <v>1460</v>
      </c>
      <c r="C357" s="98" t="s">
        <v>1005</v>
      </c>
      <c r="D357" s="97">
        <v>46025</v>
      </c>
      <c r="E357" s="98">
        <v>0</v>
      </c>
      <c r="F357" s="98">
        <v>100</v>
      </c>
      <c r="G357" s="98">
        <v>28449.91</v>
      </c>
      <c r="H357" s="98"/>
      <c r="I357" s="98"/>
      <c r="J357" s="98" t="s">
        <v>977</v>
      </c>
      <c r="K357" s="98" t="s">
        <v>1031</v>
      </c>
      <c r="L357" s="24">
        <v>0.85</v>
      </c>
      <c r="M357" s="98" t="s">
        <v>46</v>
      </c>
    </row>
    <row r="358" spans="1:13" x14ac:dyDescent="0.3">
      <c r="A358" s="97">
        <v>46025</v>
      </c>
      <c r="B358" s="98" t="s">
        <v>1461</v>
      </c>
      <c r="C358" s="98" t="s">
        <v>1005</v>
      </c>
      <c r="D358" s="97">
        <v>46025</v>
      </c>
      <c r="E358" s="98">
        <v>0</v>
      </c>
      <c r="F358" s="98">
        <v>11900</v>
      </c>
      <c r="G358" s="98">
        <v>40349.910000000003</v>
      </c>
      <c r="H358" s="98"/>
      <c r="I358" s="98"/>
      <c r="J358" s="98" t="s">
        <v>977</v>
      </c>
      <c r="K358" s="98" t="s">
        <v>1031</v>
      </c>
      <c r="L358" s="24">
        <v>0.85</v>
      </c>
      <c r="M358" s="98" t="s">
        <v>46</v>
      </c>
    </row>
    <row r="359" spans="1:13" x14ac:dyDescent="0.3">
      <c r="A359" s="101">
        <v>46026</v>
      </c>
      <c r="B359" s="102" t="s">
        <v>1462</v>
      </c>
      <c r="C359" s="102" t="s">
        <v>1005</v>
      </c>
      <c r="D359" s="101">
        <v>46026</v>
      </c>
      <c r="E359" s="102">
        <v>1500</v>
      </c>
      <c r="F359" s="102">
        <v>0</v>
      </c>
      <c r="G359" s="102">
        <v>38849.910000000003</v>
      </c>
      <c r="H359" s="102"/>
      <c r="I359" s="102"/>
      <c r="J359" s="102" t="s">
        <v>976</v>
      </c>
      <c r="K359" s="102" t="s">
        <v>1028</v>
      </c>
      <c r="L359" s="24">
        <v>0.85</v>
      </c>
      <c r="M359" s="102" t="s">
        <v>46</v>
      </c>
    </row>
    <row r="360" spans="1:13" x14ac:dyDescent="0.3">
      <c r="A360" s="89">
        <v>46026</v>
      </c>
      <c r="B360" s="90" t="s">
        <v>1463</v>
      </c>
      <c r="C360" s="90" t="s">
        <v>1005</v>
      </c>
      <c r="D360" s="89">
        <v>46026</v>
      </c>
      <c r="E360" s="90">
        <v>75</v>
      </c>
      <c r="F360" s="90">
        <v>0</v>
      </c>
      <c r="G360" s="90">
        <v>38774.910000000003</v>
      </c>
      <c r="H360" s="90" t="s">
        <v>1464</v>
      </c>
      <c r="I360" s="90"/>
      <c r="J360" s="90" t="s">
        <v>975</v>
      </c>
      <c r="K360" s="90" t="s">
        <v>91</v>
      </c>
      <c r="L360" s="39">
        <v>0.55000000000000004</v>
      </c>
      <c r="M360" s="90" t="s">
        <v>46</v>
      </c>
    </row>
    <row r="361" spans="1:13" x14ac:dyDescent="0.3">
      <c r="A361" s="89">
        <v>46026</v>
      </c>
      <c r="B361" s="90" t="s">
        <v>1465</v>
      </c>
      <c r="C361" s="90" t="s">
        <v>1005</v>
      </c>
      <c r="D361" s="89">
        <v>46026</v>
      </c>
      <c r="E361" s="90">
        <v>85</v>
      </c>
      <c r="F361" s="90">
        <v>0</v>
      </c>
      <c r="G361" s="90">
        <v>38689.910000000003</v>
      </c>
      <c r="H361" s="90" t="s">
        <v>1440</v>
      </c>
      <c r="I361" s="90"/>
      <c r="J361" s="90" t="s">
        <v>975</v>
      </c>
      <c r="K361" s="90" t="s">
        <v>91</v>
      </c>
      <c r="L361" s="39">
        <v>0.55000000000000004</v>
      </c>
      <c r="M361" s="90" t="s">
        <v>46</v>
      </c>
    </row>
    <row r="362" spans="1:13" x14ac:dyDescent="0.3">
      <c r="A362" s="89">
        <v>46026</v>
      </c>
      <c r="B362" s="90" t="s">
        <v>1466</v>
      </c>
      <c r="C362" s="90" t="s">
        <v>1005</v>
      </c>
      <c r="D362" s="89">
        <v>46026</v>
      </c>
      <c r="E362" s="90">
        <v>40</v>
      </c>
      <c r="F362" s="90">
        <v>0</v>
      </c>
      <c r="G362" s="90">
        <v>38649.910000000003</v>
      </c>
      <c r="H362" s="90" t="s">
        <v>1467</v>
      </c>
      <c r="I362" s="90"/>
      <c r="J362" s="90" t="s">
        <v>975</v>
      </c>
      <c r="K362" s="90" t="s">
        <v>91</v>
      </c>
      <c r="L362" s="39">
        <v>0.55000000000000004</v>
      </c>
      <c r="M362" s="90" t="s">
        <v>46</v>
      </c>
    </row>
    <row r="363" spans="1:13" x14ac:dyDescent="0.3">
      <c r="A363" s="101">
        <v>46026</v>
      </c>
      <c r="B363" s="102" t="s">
        <v>1468</v>
      </c>
      <c r="C363" s="102" t="s">
        <v>1005</v>
      </c>
      <c r="D363" s="101">
        <v>46026</v>
      </c>
      <c r="E363" s="102">
        <v>1500</v>
      </c>
      <c r="F363" s="102">
        <v>0</v>
      </c>
      <c r="G363" s="102">
        <v>37149.910000000003</v>
      </c>
      <c r="H363" s="102"/>
      <c r="I363" s="102"/>
      <c r="J363" s="102" t="s">
        <v>976</v>
      </c>
      <c r="K363" s="102" t="s">
        <v>1028</v>
      </c>
      <c r="L363" s="24">
        <v>0.85</v>
      </c>
      <c r="M363" s="102" t="s">
        <v>46</v>
      </c>
    </row>
    <row r="364" spans="1:13" x14ac:dyDescent="0.3">
      <c r="A364" s="113">
        <v>46027</v>
      </c>
      <c r="B364" s="114" t="s">
        <v>1469</v>
      </c>
      <c r="C364" s="114" t="s">
        <v>1005</v>
      </c>
      <c r="D364" s="113">
        <v>46027</v>
      </c>
      <c r="E364" s="114">
        <v>0</v>
      </c>
      <c r="F364" s="114">
        <v>32000</v>
      </c>
      <c r="G364" s="114">
        <v>69149.91</v>
      </c>
      <c r="H364" s="114"/>
      <c r="I364" s="114"/>
      <c r="J364" s="114" t="s">
        <v>998</v>
      </c>
      <c r="K364" s="114" t="s">
        <v>996</v>
      </c>
      <c r="L364" s="24">
        <v>0.9</v>
      </c>
      <c r="M364" s="114" t="s">
        <v>46</v>
      </c>
    </row>
    <row r="365" spans="1:13" x14ac:dyDescent="0.3">
      <c r="A365" s="89">
        <v>46027</v>
      </c>
      <c r="B365" s="90" t="s">
        <v>1470</v>
      </c>
      <c r="C365" s="90" t="s">
        <v>1005</v>
      </c>
      <c r="D365" s="89">
        <v>46027</v>
      </c>
      <c r="E365" s="90">
        <v>40</v>
      </c>
      <c r="F365" s="90">
        <v>0</v>
      </c>
      <c r="G365" s="90">
        <v>69109.91</v>
      </c>
      <c r="H365" s="90" t="s">
        <v>1471</v>
      </c>
      <c r="I365" s="90"/>
      <c r="J365" s="90" t="s">
        <v>975</v>
      </c>
      <c r="K365" s="90" t="s">
        <v>91</v>
      </c>
      <c r="L365" s="39">
        <v>0.55000000000000004</v>
      </c>
      <c r="M365" s="90" t="s">
        <v>46</v>
      </c>
    </row>
    <row r="366" spans="1:13" x14ac:dyDescent="0.3">
      <c r="A366" s="101">
        <v>46028</v>
      </c>
      <c r="B366" s="102" t="s">
        <v>1472</v>
      </c>
      <c r="C366" s="102" t="s">
        <v>1005</v>
      </c>
      <c r="D366" s="101">
        <v>46028</v>
      </c>
      <c r="E366" s="102">
        <v>1309.24</v>
      </c>
      <c r="F366" s="102">
        <v>0</v>
      </c>
      <c r="G366" s="102">
        <v>67800.67</v>
      </c>
      <c r="H366" s="102"/>
      <c r="I366" s="102"/>
      <c r="J366" s="102" t="s">
        <v>976</v>
      </c>
      <c r="K366" s="102" t="s">
        <v>1028</v>
      </c>
      <c r="L366" s="24">
        <v>0.85</v>
      </c>
      <c r="M366" s="102" t="s">
        <v>46</v>
      </c>
    </row>
    <row r="367" spans="1:13" x14ac:dyDescent="0.3">
      <c r="A367" s="89">
        <v>46028</v>
      </c>
      <c r="B367" s="90" t="s">
        <v>1473</v>
      </c>
      <c r="C367" s="90" t="s">
        <v>1005</v>
      </c>
      <c r="D367" s="89">
        <v>46028</v>
      </c>
      <c r="E367" s="90">
        <v>50</v>
      </c>
      <c r="F367" s="90">
        <v>0</v>
      </c>
      <c r="G367" s="90">
        <v>67750.67</v>
      </c>
      <c r="H367" s="90" t="s">
        <v>1474</v>
      </c>
      <c r="I367" s="90"/>
      <c r="J367" s="90" t="s">
        <v>975</v>
      </c>
      <c r="K367" s="90" t="s">
        <v>91</v>
      </c>
      <c r="L367" s="39">
        <v>0.55000000000000004</v>
      </c>
      <c r="M367" s="90" t="s">
        <v>46</v>
      </c>
    </row>
    <row r="368" spans="1:13" x14ac:dyDescent="0.3">
      <c r="A368" s="89">
        <v>46028</v>
      </c>
      <c r="B368" s="90" t="s">
        <v>1475</v>
      </c>
      <c r="C368" s="90" t="s">
        <v>1005</v>
      </c>
      <c r="D368" s="89">
        <v>46028</v>
      </c>
      <c r="E368" s="90">
        <v>120</v>
      </c>
      <c r="F368" s="90">
        <v>0</v>
      </c>
      <c r="G368" s="90">
        <v>67630.67</v>
      </c>
      <c r="H368" s="90" t="s">
        <v>1476</v>
      </c>
      <c r="I368" s="90"/>
      <c r="J368" s="90" t="s">
        <v>975</v>
      </c>
      <c r="K368" s="90" t="s">
        <v>91</v>
      </c>
      <c r="L368" s="39">
        <v>0.55000000000000004</v>
      </c>
      <c r="M368" s="90" t="s">
        <v>46</v>
      </c>
    </row>
    <row r="369" spans="1:13" x14ac:dyDescent="0.3">
      <c r="A369" s="89">
        <v>46028</v>
      </c>
      <c r="B369" s="90" t="s">
        <v>1477</v>
      </c>
      <c r="C369" s="90" t="s">
        <v>1005</v>
      </c>
      <c r="D369" s="89">
        <v>46028</v>
      </c>
      <c r="E369" s="90">
        <v>50</v>
      </c>
      <c r="F369" s="90">
        <v>0</v>
      </c>
      <c r="G369" s="90">
        <v>67580.67</v>
      </c>
      <c r="H369" s="90" t="s">
        <v>1478</v>
      </c>
      <c r="I369" s="90"/>
      <c r="J369" s="90" t="s">
        <v>975</v>
      </c>
      <c r="K369" s="90" t="s">
        <v>91</v>
      </c>
      <c r="L369" s="39">
        <v>0.55000000000000004</v>
      </c>
      <c r="M369" s="90" t="s">
        <v>46</v>
      </c>
    </row>
    <row r="370" spans="1:13" x14ac:dyDescent="0.3">
      <c r="A370" s="115">
        <v>46029</v>
      </c>
      <c r="B370" s="116" t="s">
        <v>1479</v>
      </c>
      <c r="C370" s="116" t="s">
        <v>1005</v>
      </c>
      <c r="D370" s="115">
        <v>46029</v>
      </c>
      <c r="E370" s="116">
        <v>20</v>
      </c>
      <c r="F370" s="116">
        <v>0</v>
      </c>
      <c r="G370" s="116">
        <v>67560.67</v>
      </c>
      <c r="H370" s="116"/>
      <c r="I370" s="116"/>
      <c r="J370" s="116" t="s">
        <v>999</v>
      </c>
      <c r="K370" s="116" t="s">
        <v>91</v>
      </c>
      <c r="L370" s="40">
        <v>0.65</v>
      </c>
      <c r="M370" s="116" t="s">
        <v>46</v>
      </c>
    </row>
    <row r="371" spans="1:13" x14ac:dyDescent="0.3">
      <c r="A371" s="83">
        <v>46031</v>
      </c>
      <c r="B371" s="84" t="s">
        <v>1480</v>
      </c>
      <c r="C371" s="84" t="s">
        <v>1005</v>
      </c>
      <c r="D371" s="83">
        <v>46031</v>
      </c>
      <c r="E371" s="84">
        <v>3813.6</v>
      </c>
      <c r="F371" s="84">
        <v>0</v>
      </c>
      <c r="G371" s="84">
        <v>63747.07</v>
      </c>
      <c r="H371" s="84"/>
      <c r="I371" s="84"/>
      <c r="J371" s="84" t="s">
        <v>973</v>
      </c>
      <c r="K371" s="84" t="s">
        <v>1014</v>
      </c>
      <c r="L371" s="24">
        <v>0.88</v>
      </c>
      <c r="M371" s="84" t="s">
        <v>46</v>
      </c>
    </row>
    <row r="372" spans="1:13" x14ac:dyDescent="0.3">
      <c r="A372" s="89">
        <v>46031</v>
      </c>
      <c r="B372" s="90" t="s">
        <v>1481</v>
      </c>
      <c r="C372" s="90" t="s">
        <v>1005</v>
      </c>
      <c r="D372" s="89">
        <v>46031</v>
      </c>
      <c r="E372" s="90">
        <v>15</v>
      </c>
      <c r="F372" s="90">
        <v>0</v>
      </c>
      <c r="G372" s="90">
        <v>63732.07</v>
      </c>
      <c r="H372" s="90" t="s">
        <v>1482</v>
      </c>
      <c r="I372" s="90"/>
      <c r="J372" s="90" t="s">
        <v>975</v>
      </c>
      <c r="K372" s="90" t="s">
        <v>91</v>
      </c>
      <c r="L372" s="39">
        <v>0.55000000000000004</v>
      </c>
      <c r="M372" s="90" t="s">
        <v>46</v>
      </c>
    </row>
    <row r="373" spans="1:13" x14ac:dyDescent="0.3">
      <c r="A373" s="89">
        <v>46033</v>
      </c>
      <c r="B373" s="90" t="s">
        <v>1483</v>
      </c>
      <c r="C373" s="90" t="s">
        <v>1005</v>
      </c>
      <c r="D373" s="89">
        <v>46033</v>
      </c>
      <c r="E373" s="90">
        <v>100</v>
      </c>
      <c r="F373" s="90">
        <v>0</v>
      </c>
      <c r="G373" s="90">
        <v>63632.07</v>
      </c>
      <c r="H373" s="90" t="s">
        <v>1484</v>
      </c>
      <c r="I373" s="90"/>
      <c r="J373" s="90" t="s">
        <v>975</v>
      </c>
      <c r="K373" s="90" t="s">
        <v>91</v>
      </c>
      <c r="L373" s="39">
        <v>0.55000000000000004</v>
      </c>
      <c r="M373" s="90" t="s">
        <v>46</v>
      </c>
    </row>
    <row r="374" spans="1:13" x14ac:dyDescent="0.3">
      <c r="A374" s="89">
        <v>46033</v>
      </c>
      <c r="B374" s="90" t="s">
        <v>1485</v>
      </c>
      <c r="C374" s="90" t="s">
        <v>1005</v>
      </c>
      <c r="D374" s="89">
        <v>46033</v>
      </c>
      <c r="E374" s="90">
        <v>20</v>
      </c>
      <c r="F374" s="90">
        <v>0</v>
      </c>
      <c r="G374" s="90">
        <v>63612.07</v>
      </c>
      <c r="H374" s="90" t="s">
        <v>1486</v>
      </c>
      <c r="I374" s="90"/>
      <c r="J374" s="90" t="s">
        <v>975</v>
      </c>
      <c r="K374" s="90" t="s">
        <v>91</v>
      </c>
      <c r="L374" s="39">
        <v>0.55000000000000004</v>
      </c>
      <c r="M374" s="90" t="s">
        <v>46</v>
      </c>
    </row>
    <row r="375" spans="1:13" x14ac:dyDescent="0.3">
      <c r="A375" s="89">
        <v>46033</v>
      </c>
      <c r="B375" s="90" t="s">
        <v>1487</v>
      </c>
      <c r="C375" s="90" t="s">
        <v>1005</v>
      </c>
      <c r="D375" s="89">
        <v>46033</v>
      </c>
      <c r="E375" s="90">
        <v>50</v>
      </c>
      <c r="F375" s="90">
        <v>0</v>
      </c>
      <c r="G375" s="90">
        <v>63562.07</v>
      </c>
      <c r="H375" s="90" t="s">
        <v>1488</v>
      </c>
      <c r="I375" s="90"/>
      <c r="J375" s="90" t="s">
        <v>975</v>
      </c>
      <c r="K375" s="90" t="s">
        <v>91</v>
      </c>
      <c r="L375" s="39">
        <v>0.55000000000000004</v>
      </c>
      <c r="M375" s="90" t="s">
        <v>46</v>
      </c>
    </row>
    <row r="376" spans="1:13" x14ac:dyDescent="0.3">
      <c r="A376" s="89">
        <v>46033</v>
      </c>
      <c r="B376" s="90" t="s">
        <v>1489</v>
      </c>
      <c r="C376" s="90" t="s">
        <v>1005</v>
      </c>
      <c r="D376" s="89">
        <v>46033</v>
      </c>
      <c r="E376" s="90">
        <v>90</v>
      </c>
      <c r="F376" s="90">
        <v>0</v>
      </c>
      <c r="G376" s="90">
        <v>63472.07</v>
      </c>
      <c r="H376" s="90" t="s">
        <v>1490</v>
      </c>
      <c r="I376" s="90"/>
      <c r="J376" s="90" t="s">
        <v>975</v>
      </c>
      <c r="K376" s="90" t="s">
        <v>91</v>
      </c>
      <c r="L376" s="39">
        <v>0.55000000000000004</v>
      </c>
      <c r="M376" s="90" t="s">
        <v>46</v>
      </c>
    </row>
    <row r="377" spans="1:13" x14ac:dyDescent="0.3">
      <c r="A377" s="89">
        <v>46033</v>
      </c>
      <c r="B377" s="90" t="s">
        <v>1491</v>
      </c>
      <c r="C377" s="90" t="s">
        <v>1005</v>
      </c>
      <c r="D377" s="89">
        <v>46033</v>
      </c>
      <c r="E377" s="90">
        <v>160</v>
      </c>
      <c r="F377" s="90">
        <v>0</v>
      </c>
      <c r="G377" s="90">
        <v>63312.07</v>
      </c>
      <c r="H377" s="90" t="s">
        <v>1429</v>
      </c>
      <c r="I377" s="90"/>
      <c r="J377" s="90" t="s">
        <v>975</v>
      </c>
      <c r="K377" s="90" t="s">
        <v>91</v>
      </c>
      <c r="L377" s="39">
        <v>0.55000000000000004</v>
      </c>
      <c r="M377" s="90" t="s">
        <v>46</v>
      </c>
    </row>
    <row r="378" spans="1:13" x14ac:dyDescent="0.3">
      <c r="A378" s="89">
        <v>46033</v>
      </c>
      <c r="B378" s="90" t="s">
        <v>1492</v>
      </c>
      <c r="C378" s="90" t="s">
        <v>1005</v>
      </c>
      <c r="D378" s="89">
        <v>46033</v>
      </c>
      <c r="E378" s="90">
        <v>190</v>
      </c>
      <c r="F378" s="90">
        <v>0</v>
      </c>
      <c r="G378" s="90">
        <v>63122.07</v>
      </c>
      <c r="H378" s="90" t="s">
        <v>1493</v>
      </c>
      <c r="I378" s="90"/>
      <c r="J378" s="90" t="s">
        <v>975</v>
      </c>
      <c r="K378" s="90" t="s">
        <v>91</v>
      </c>
      <c r="L378" s="39">
        <v>0.55000000000000004</v>
      </c>
      <c r="M378" s="90" t="s">
        <v>46</v>
      </c>
    </row>
    <row r="379" spans="1:13" x14ac:dyDescent="0.3">
      <c r="A379" s="89">
        <v>46033</v>
      </c>
      <c r="B379" s="90" t="s">
        <v>1494</v>
      </c>
      <c r="C379" s="90" t="s">
        <v>1005</v>
      </c>
      <c r="D379" s="89">
        <v>46033</v>
      </c>
      <c r="E379" s="90">
        <v>20</v>
      </c>
      <c r="F379" s="90">
        <v>0</v>
      </c>
      <c r="G379" s="90">
        <v>63102.07</v>
      </c>
      <c r="H379" s="90" t="s">
        <v>1495</v>
      </c>
      <c r="I379" s="90"/>
      <c r="J379" s="90" t="s">
        <v>975</v>
      </c>
      <c r="K379" s="90" t="s">
        <v>91</v>
      </c>
      <c r="L379" s="39">
        <v>0.55000000000000004</v>
      </c>
      <c r="M379" s="90" t="s">
        <v>46</v>
      </c>
    </row>
    <row r="380" spans="1:13" x14ac:dyDescent="0.3">
      <c r="A380" s="89">
        <v>46034</v>
      </c>
      <c r="B380" s="90" t="s">
        <v>1496</v>
      </c>
      <c r="C380" s="90" t="s">
        <v>1005</v>
      </c>
      <c r="D380" s="89">
        <v>46034</v>
      </c>
      <c r="E380" s="90">
        <v>410.26</v>
      </c>
      <c r="F380" s="90">
        <v>0</v>
      </c>
      <c r="G380" s="90">
        <v>62691.81</v>
      </c>
      <c r="H380" s="90"/>
      <c r="I380" s="90"/>
      <c r="J380" s="90" t="s">
        <v>992</v>
      </c>
      <c r="K380" s="90" t="s">
        <v>91</v>
      </c>
      <c r="L380" s="40">
        <v>0.75</v>
      </c>
      <c r="M380" s="90" t="s">
        <v>46</v>
      </c>
    </row>
    <row r="381" spans="1:13" x14ac:dyDescent="0.3">
      <c r="A381" s="89">
        <v>46034</v>
      </c>
      <c r="B381" s="90" t="s">
        <v>1497</v>
      </c>
      <c r="C381" s="90" t="s">
        <v>1005</v>
      </c>
      <c r="D381" s="89">
        <v>46034</v>
      </c>
      <c r="E381" s="90">
        <v>30</v>
      </c>
      <c r="F381" s="90">
        <v>0</v>
      </c>
      <c r="G381" s="90">
        <v>62661.81</v>
      </c>
      <c r="H381" s="90" t="s">
        <v>1446</v>
      </c>
      <c r="I381" s="90"/>
      <c r="J381" s="90" t="s">
        <v>975</v>
      </c>
      <c r="K381" s="90" t="s">
        <v>91</v>
      </c>
      <c r="L381" s="39">
        <v>0.55000000000000004</v>
      </c>
      <c r="M381" s="90" t="s">
        <v>46</v>
      </c>
    </row>
    <row r="382" spans="1:13" x14ac:dyDescent="0.3">
      <c r="A382" s="89">
        <v>46034</v>
      </c>
      <c r="B382" s="90" t="s">
        <v>1498</v>
      </c>
      <c r="C382" s="90" t="s">
        <v>1005</v>
      </c>
      <c r="D382" s="89">
        <v>46034</v>
      </c>
      <c r="E382" s="90">
        <v>72</v>
      </c>
      <c r="F382" s="90">
        <v>0</v>
      </c>
      <c r="G382" s="90">
        <v>62589.81</v>
      </c>
      <c r="H382" s="90" t="s">
        <v>1499</v>
      </c>
      <c r="I382" s="90"/>
      <c r="J382" s="90" t="s">
        <v>975</v>
      </c>
      <c r="K382" s="90" t="s">
        <v>91</v>
      </c>
      <c r="L382" s="39">
        <v>0.55000000000000004</v>
      </c>
      <c r="M382" s="90" t="s">
        <v>46</v>
      </c>
    </row>
    <row r="383" spans="1:13" x14ac:dyDescent="0.3">
      <c r="A383" s="89">
        <v>46034</v>
      </c>
      <c r="B383" s="90" t="s">
        <v>1500</v>
      </c>
      <c r="C383" s="90" t="s">
        <v>1005</v>
      </c>
      <c r="D383" s="89">
        <v>46034</v>
      </c>
      <c r="E383" s="90">
        <v>121</v>
      </c>
      <c r="F383" s="90">
        <v>0</v>
      </c>
      <c r="G383" s="90">
        <v>62468.81</v>
      </c>
      <c r="H383" s="90" t="s">
        <v>1440</v>
      </c>
      <c r="I383" s="90"/>
      <c r="J383" s="90" t="s">
        <v>975</v>
      </c>
      <c r="K383" s="90" t="s">
        <v>91</v>
      </c>
      <c r="L383" s="39">
        <v>0.55000000000000004</v>
      </c>
      <c r="M383" s="90" t="s">
        <v>46</v>
      </c>
    </row>
    <row r="384" spans="1:13" x14ac:dyDescent="0.3">
      <c r="A384" s="27">
        <v>46034</v>
      </c>
      <c r="B384" s="28" t="s">
        <v>1501</v>
      </c>
      <c r="C384" s="28" t="s">
        <v>1005</v>
      </c>
      <c r="D384" s="27">
        <v>46034</v>
      </c>
      <c r="E384" s="28">
        <v>39</v>
      </c>
      <c r="F384" s="28">
        <v>0</v>
      </c>
      <c r="G384" s="28">
        <v>62429.81</v>
      </c>
      <c r="H384" s="28"/>
      <c r="I384" s="28"/>
      <c r="J384" s="28" t="s">
        <v>11</v>
      </c>
      <c r="K384" s="28" t="s">
        <v>112</v>
      </c>
      <c r="L384" s="40">
        <v>0.68</v>
      </c>
      <c r="M384" s="28" t="s">
        <v>46</v>
      </c>
    </row>
    <row r="385" spans="1:13" x14ac:dyDescent="0.3">
      <c r="A385" s="85">
        <v>46034</v>
      </c>
      <c r="B385" s="86" t="s">
        <v>1502</v>
      </c>
      <c r="C385" s="86" t="s">
        <v>1005</v>
      </c>
      <c r="D385" s="85">
        <v>46034</v>
      </c>
      <c r="E385" s="86">
        <v>40000</v>
      </c>
      <c r="F385" s="86">
        <v>0</v>
      </c>
      <c r="G385" s="86">
        <v>22429.81</v>
      </c>
      <c r="H385" s="86"/>
      <c r="I385" s="86"/>
      <c r="J385" s="86" t="s">
        <v>974</v>
      </c>
      <c r="K385" s="86" t="s">
        <v>1019</v>
      </c>
      <c r="L385" s="24">
        <v>0.9</v>
      </c>
      <c r="M385" s="86" t="s">
        <v>46</v>
      </c>
    </row>
    <row r="386" spans="1:13" x14ac:dyDescent="0.3">
      <c r="A386" s="89">
        <v>46035</v>
      </c>
      <c r="B386" s="90" t="s">
        <v>1503</v>
      </c>
      <c r="C386" s="90" t="s">
        <v>1005</v>
      </c>
      <c r="D386" s="89">
        <v>46035</v>
      </c>
      <c r="E386" s="90">
        <v>20</v>
      </c>
      <c r="F386" s="90">
        <v>0</v>
      </c>
      <c r="G386" s="90">
        <v>22409.81</v>
      </c>
      <c r="H386" s="90" t="s">
        <v>1504</v>
      </c>
      <c r="I386" s="90"/>
      <c r="J386" s="90" t="s">
        <v>975</v>
      </c>
      <c r="K386" s="90" t="s">
        <v>91</v>
      </c>
      <c r="L386" s="39">
        <v>0.55000000000000004</v>
      </c>
      <c r="M386" s="90" t="s">
        <v>46</v>
      </c>
    </row>
    <row r="387" spans="1:13" x14ac:dyDescent="0.3">
      <c r="A387" s="89">
        <v>46035</v>
      </c>
      <c r="B387" s="90" t="s">
        <v>1505</v>
      </c>
      <c r="C387" s="90" t="s">
        <v>1005</v>
      </c>
      <c r="D387" s="89">
        <v>46035</v>
      </c>
      <c r="E387" s="90">
        <v>20</v>
      </c>
      <c r="F387" s="90">
        <v>0</v>
      </c>
      <c r="G387" s="90">
        <v>22389.81</v>
      </c>
      <c r="H387" s="90" t="s">
        <v>1471</v>
      </c>
      <c r="I387" s="90"/>
      <c r="J387" s="90" t="s">
        <v>975</v>
      </c>
      <c r="K387" s="90" t="s">
        <v>91</v>
      </c>
      <c r="L387" s="39">
        <v>0.55000000000000004</v>
      </c>
      <c r="M387" s="90" t="s">
        <v>46</v>
      </c>
    </row>
    <row r="388" spans="1:13" x14ac:dyDescent="0.3">
      <c r="A388" s="89">
        <v>46037</v>
      </c>
      <c r="B388" s="90" t="s">
        <v>1506</v>
      </c>
      <c r="C388" s="90" t="s">
        <v>1005</v>
      </c>
      <c r="D388" s="89">
        <v>46037</v>
      </c>
      <c r="E388" s="90">
        <v>245</v>
      </c>
      <c r="F388" s="90">
        <v>0</v>
      </c>
      <c r="G388" s="90">
        <v>22144.81</v>
      </c>
      <c r="H388" s="90" t="s">
        <v>1507</v>
      </c>
      <c r="I388" s="90"/>
      <c r="J388" s="90" t="s">
        <v>975</v>
      </c>
      <c r="K388" s="90" t="s">
        <v>91</v>
      </c>
      <c r="L388" s="39">
        <v>0.55000000000000004</v>
      </c>
      <c r="M388" s="90" t="s">
        <v>46</v>
      </c>
    </row>
    <row r="389" spans="1:13" x14ac:dyDescent="0.3">
      <c r="A389" s="89">
        <v>46037</v>
      </c>
      <c r="B389" s="90" t="s">
        <v>1508</v>
      </c>
      <c r="C389" s="90" t="s">
        <v>1005</v>
      </c>
      <c r="D389" s="89">
        <v>46037</v>
      </c>
      <c r="E389" s="90">
        <v>45</v>
      </c>
      <c r="F389" s="90">
        <v>0</v>
      </c>
      <c r="G389" s="90">
        <v>22099.81</v>
      </c>
      <c r="H389" s="90" t="s">
        <v>1509</v>
      </c>
      <c r="I389" s="90"/>
      <c r="J389" s="90" t="s">
        <v>975</v>
      </c>
      <c r="K389" s="90" t="s">
        <v>91</v>
      </c>
      <c r="L389" s="39">
        <v>0.55000000000000004</v>
      </c>
      <c r="M389" s="90" t="s">
        <v>46</v>
      </c>
    </row>
    <row r="390" spans="1:13" x14ac:dyDescent="0.3">
      <c r="A390" s="89">
        <v>46038</v>
      </c>
      <c r="B390" s="90" t="s">
        <v>1510</v>
      </c>
      <c r="C390" s="90" t="s">
        <v>1005</v>
      </c>
      <c r="D390" s="89">
        <v>46038</v>
      </c>
      <c r="E390" s="90">
        <v>125</v>
      </c>
      <c r="F390" s="90">
        <v>0</v>
      </c>
      <c r="G390" s="90">
        <v>21974.81</v>
      </c>
      <c r="H390" s="90" t="s">
        <v>1511</v>
      </c>
      <c r="I390" s="90"/>
      <c r="J390" s="90" t="s">
        <v>975</v>
      </c>
      <c r="K390" s="90" t="s">
        <v>91</v>
      </c>
      <c r="L390" s="39">
        <v>0.55000000000000004</v>
      </c>
      <c r="M390" s="90" t="s">
        <v>46</v>
      </c>
    </row>
    <row r="391" spans="1:13" x14ac:dyDescent="0.3">
      <c r="A391" s="89">
        <v>46039</v>
      </c>
      <c r="B391" s="90" t="s">
        <v>1512</v>
      </c>
      <c r="C391" s="90" t="s">
        <v>1005</v>
      </c>
      <c r="D391" s="89">
        <v>46039</v>
      </c>
      <c r="E391" s="90">
        <v>30</v>
      </c>
      <c r="F391" s="90">
        <v>0</v>
      </c>
      <c r="G391" s="90">
        <v>21944.81</v>
      </c>
      <c r="H391" s="90" t="s">
        <v>1446</v>
      </c>
      <c r="I391" s="90"/>
      <c r="J391" s="90" t="s">
        <v>975</v>
      </c>
      <c r="K391" s="90" t="s">
        <v>91</v>
      </c>
      <c r="L391" s="39">
        <v>0.55000000000000004</v>
      </c>
      <c r="M391" s="90" t="s">
        <v>46</v>
      </c>
    </row>
    <row r="392" spans="1:13" x14ac:dyDescent="0.3">
      <c r="A392" s="113">
        <v>46039</v>
      </c>
      <c r="B392" s="114" t="s">
        <v>1469</v>
      </c>
      <c r="C392" s="114" t="s">
        <v>1005</v>
      </c>
      <c r="D392" s="113">
        <v>46039</v>
      </c>
      <c r="E392" s="114">
        <v>0</v>
      </c>
      <c r="F392" s="114">
        <v>2000</v>
      </c>
      <c r="G392" s="114">
        <v>23944.81</v>
      </c>
      <c r="H392" s="114"/>
      <c r="I392" s="114"/>
      <c r="J392" s="114" t="s">
        <v>998</v>
      </c>
      <c r="K392" s="114" t="s">
        <v>996</v>
      </c>
      <c r="L392" s="24">
        <v>0.9</v>
      </c>
      <c r="M392" s="114" t="s">
        <v>46</v>
      </c>
    </row>
    <row r="393" spans="1:13" x14ac:dyDescent="0.3">
      <c r="A393" s="85">
        <v>46039</v>
      </c>
      <c r="B393" s="86" t="s">
        <v>1513</v>
      </c>
      <c r="C393" s="86" t="s">
        <v>1005</v>
      </c>
      <c r="D393" s="85">
        <v>46039</v>
      </c>
      <c r="E393" s="86">
        <v>12194</v>
      </c>
      <c r="F393" s="86">
        <v>0</v>
      </c>
      <c r="G393" s="86">
        <v>11750.81</v>
      </c>
      <c r="H393" s="86"/>
      <c r="I393" s="86"/>
      <c r="J393" s="86" t="s">
        <v>974</v>
      </c>
      <c r="K393" s="86" t="s">
        <v>1019</v>
      </c>
      <c r="L393" s="24">
        <v>0.9</v>
      </c>
      <c r="M393" s="86" t="s">
        <v>46</v>
      </c>
    </row>
    <row r="394" spans="1:13" x14ac:dyDescent="0.3">
      <c r="A394" s="89">
        <v>46039</v>
      </c>
      <c r="B394" s="90" t="s">
        <v>1514</v>
      </c>
      <c r="C394" s="90" t="s">
        <v>1005</v>
      </c>
      <c r="D394" s="89">
        <v>46039</v>
      </c>
      <c r="E394" s="90">
        <v>90</v>
      </c>
      <c r="F394" s="90">
        <v>0</v>
      </c>
      <c r="G394" s="90">
        <v>11660.81</v>
      </c>
      <c r="H394" s="90" t="s">
        <v>1515</v>
      </c>
      <c r="I394" s="90"/>
      <c r="J394" s="90" t="s">
        <v>975</v>
      </c>
      <c r="K394" s="90" t="s">
        <v>91</v>
      </c>
      <c r="L394" s="39">
        <v>0.55000000000000004</v>
      </c>
      <c r="M394" s="90" t="s">
        <v>46</v>
      </c>
    </row>
    <row r="395" spans="1:13" x14ac:dyDescent="0.3">
      <c r="A395" s="89">
        <v>46039</v>
      </c>
      <c r="B395" s="90" t="s">
        <v>1516</v>
      </c>
      <c r="C395" s="90" t="s">
        <v>1005</v>
      </c>
      <c r="D395" s="89">
        <v>46039</v>
      </c>
      <c r="E395" s="90">
        <v>260</v>
      </c>
      <c r="F395" s="90">
        <v>0</v>
      </c>
      <c r="G395" s="90">
        <v>11400.81</v>
      </c>
      <c r="H395" s="90" t="s">
        <v>1517</v>
      </c>
      <c r="I395" s="90"/>
      <c r="J395" s="90" t="s">
        <v>975</v>
      </c>
      <c r="K395" s="90" t="s">
        <v>91</v>
      </c>
      <c r="L395" s="39">
        <v>0.55000000000000004</v>
      </c>
      <c r="M395" s="90" t="s">
        <v>46</v>
      </c>
    </row>
    <row r="396" spans="1:13" x14ac:dyDescent="0.3">
      <c r="A396" s="89">
        <v>46039</v>
      </c>
      <c r="B396" s="90" t="s">
        <v>1518</v>
      </c>
      <c r="C396" s="90" t="s">
        <v>1005</v>
      </c>
      <c r="D396" s="89">
        <v>46039</v>
      </c>
      <c r="E396" s="90">
        <v>10</v>
      </c>
      <c r="F396" s="90">
        <v>0</v>
      </c>
      <c r="G396" s="90">
        <v>11390.81</v>
      </c>
      <c r="H396" s="90" t="s">
        <v>1519</v>
      </c>
      <c r="I396" s="90"/>
      <c r="J396" s="90" t="s">
        <v>975</v>
      </c>
      <c r="K396" s="90" t="s">
        <v>91</v>
      </c>
      <c r="L396" s="39">
        <v>0.55000000000000004</v>
      </c>
      <c r="M396" s="90" t="s">
        <v>46</v>
      </c>
    </row>
    <row r="397" spans="1:13" x14ac:dyDescent="0.3">
      <c r="A397" s="89">
        <v>46040</v>
      </c>
      <c r="B397" s="90" t="s">
        <v>1520</v>
      </c>
      <c r="C397" s="90" t="s">
        <v>1005</v>
      </c>
      <c r="D397" s="89">
        <v>46040</v>
      </c>
      <c r="E397" s="90">
        <v>239</v>
      </c>
      <c r="F397" s="90">
        <v>0</v>
      </c>
      <c r="G397" s="90">
        <v>11151.81</v>
      </c>
      <c r="H397" s="90"/>
      <c r="I397" s="90"/>
      <c r="J397" s="90" t="s">
        <v>992</v>
      </c>
      <c r="K397" s="90" t="s">
        <v>91</v>
      </c>
      <c r="L397" s="40">
        <v>0.75</v>
      </c>
      <c r="M397" s="90" t="s">
        <v>46</v>
      </c>
    </row>
    <row r="398" spans="1:13" x14ac:dyDescent="0.3">
      <c r="A398" s="41">
        <v>46040</v>
      </c>
      <c r="B398" s="42" t="s">
        <v>1521</v>
      </c>
      <c r="C398" s="42" t="s">
        <v>1005</v>
      </c>
      <c r="D398" s="41">
        <v>46040</v>
      </c>
      <c r="E398" s="42">
        <v>3614.3</v>
      </c>
      <c r="F398" s="42">
        <v>0</v>
      </c>
      <c r="G398" s="42">
        <v>7537.51</v>
      </c>
      <c r="H398" s="42"/>
      <c r="I398" s="42"/>
      <c r="J398" s="42" t="s">
        <v>1000</v>
      </c>
      <c r="K398" s="42" t="s">
        <v>131</v>
      </c>
      <c r="L398" s="24">
        <v>0.88</v>
      </c>
      <c r="M398" s="42" t="s">
        <v>46</v>
      </c>
    </row>
    <row r="399" spans="1:13" x14ac:dyDescent="0.3">
      <c r="A399" s="105">
        <v>46041</v>
      </c>
      <c r="B399" s="106" t="s">
        <v>1522</v>
      </c>
      <c r="C399" s="106" t="s">
        <v>1005</v>
      </c>
      <c r="D399" s="105">
        <v>46041</v>
      </c>
      <c r="E399" s="106">
        <v>2330</v>
      </c>
      <c r="F399" s="106">
        <v>0</v>
      </c>
      <c r="G399" s="106">
        <v>5207.51</v>
      </c>
      <c r="H399" s="106"/>
      <c r="I399" s="106"/>
      <c r="J399" s="106" t="s">
        <v>986</v>
      </c>
      <c r="K399" s="106" t="s">
        <v>1176</v>
      </c>
      <c r="L399" s="24">
        <v>0.85</v>
      </c>
      <c r="M399" s="106" t="s">
        <v>46</v>
      </c>
    </row>
    <row r="400" spans="1:13" x14ac:dyDescent="0.3">
      <c r="A400" s="89">
        <v>46041</v>
      </c>
      <c r="B400" s="90" t="s">
        <v>1523</v>
      </c>
      <c r="C400" s="90" t="s">
        <v>1005</v>
      </c>
      <c r="D400" s="89">
        <v>46041</v>
      </c>
      <c r="E400" s="90">
        <v>195</v>
      </c>
      <c r="F400" s="90">
        <v>0</v>
      </c>
      <c r="G400" s="90">
        <v>5012.51</v>
      </c>
      <c r="H400" s="90" t="s">
        <v>1524</v>
      </c>
      <c r="I400" s="90"/>
      <c r="J400" s="90" t="s">
        <v>975</v>
      </c>
      <c r="K400" s="90" t="s">
        <v>91</v>
      </c>
      <c r="L400" s="39">
        <v>0.55000000000000004</v>
      </c>
      <c r="M400" s="90" t="s">
        <v>46</v>
      </c>
    </row>
    <row r="401" spans="1:13" x14ac:dyDescent="0.3">
      <c r="A401" s="89">
        <v>46041</v>
      </c>
      <c r="B401" s="90" t="s">
        <v>1525</v>
      </c>
      <c r="C401" s="90" t="s">
        <v>1005</v>
      </c>
      <c r="D401" s="89">
        <v>46041</v>
      </c>
      <c r="E401" s="90">
        <v>30</v>
      </c>
      <c r="F401" s="90">
        <v>0</v>
      </c>
      <c r="G401" s="90">
        <v>4982.51</v>
      </c>
      <c r="H401" s="90" t="s">
        <v>1456</v>
      </c>
      <c r="I401" s="90"/>
      <c r="J401" s="90" t="s">
        <v>975</v>
      </c>
      <c r="K401" s="90" t="s">
        <v>91</v>
      </c>
      <c r="L401" s="39">
        <v>0.55000000000000004</v>
      </c>
      <c r="M401" s="90" t="s">
        <v>46</v>
      </c>
    </row>
    <row r="402" spans="1:13" x14ac:dyDescent="0.3">
      <c r="A402" s="89">
        <v>46044</v>
      </c>
      <c r="B402" s="90" t="s">
        <v>1526</v>
      </c>
      <c r="C402" s="90" t="s">
        <v>1005</v>
      </c>
      <c r="D402" s="89">
        <v>46044</v>
      </c>
      <c r="E402" s="90">
        <v>30</v>
      </c>
      <c r="F402" s="90">
        <v>0</v>
      </c>
      <c r="G402" s="90">
        <v>4952.51</v>
      </c>
      <c r="H402" s="90" t="s">
        <v>1446</v>
      </c>
      <c r="I402" s="90"/>
      <c r="J402" s="90" t="s">
        <v>975</v>
      </c>
      <c r="K402" s="90" t="s">
        <v>91</v>
      </c>
      <c r="L402" s="39">
        <v>0.55000000000000004</v>
      </c>
      <c r="M402" s="90" t="s">
        <v>46</v>
      </c>
    </row>
    <row r="403" spans="1:13" x14ac:dyDescent="0.3">
      <c r="A403" s="89">
        <v>46044</v>
      </c>
      <c r="B403" s="90" t="s">
        <v>1527</v>
      </c>
      <c r="C403" s="90" t="s">
        <v>1005</v>
      </c>
      <c r="D403" s="89">
        <v>46044</v>
      </c>
      <c r="E403" s="90">
        <v>20</v>
      </c>
      <c r="F403" s="90">
        <v>0</v>
      </c>
      <c r="G403" s="90">
        <v>4932.51</v>
      </c>
      <c r="H403" s="90" t="s">
        <v>1435</v>
      </c>
      <c r="I403" s="90"/>
      <c r="J403" s="90" t="s">
        <v>975</v>
      </c>
      <c r="K403" s="90" t="s">
        <v>91</v>
      </c>
      <c r="L403" s="39">
        <v>0.55000000000000004</v>
      </c>
      <c r="M403" s="90" t="s">
        <v>46</v>
      </c>
    </row>
    <row r="404" spans="1:13" x14ac:dyDescent="0.3">
      <c r="A404" s="89">
        <v>46046</v>
      </c>
      <c r="B404" s="90" t="s">
        <v>1528</v>
      </c>
      <c r="C404" s="90" t="s">
        <v>1005</v>
      </c>
      <c r="D404" s="89">
        <v>46046</v>
      </c>
      <c r="E404" s="90">
        <v>260</v>
      </c>
      <c r="F404" s="90">
        <v>0</v>
      </c>
      <c r="G404" s="90">
        <v>4672.51</v>
      </c>
      <c r="H404" s="90" t="s">
        <v>1529</v>
      </c>
      <c r="I404" s="90"/>
      <c r="J404" s="90" t="s">
        <v>975</v>
      </c>
      <c r="K404" s="90" t="s">
        <v>91</v>
      </c>
      <c r="L404" s="39">
        <v>0.55000000000000004</v>
      </c>
      <c r="M404" s="90" t="s">
        <v>46</v>
      </c>
    </row>
    <row r="405" spans="1:13" x14ac:dyDescent="0.3">
      <c r="A405" s="89">
        <v>46046</v>
      </c>
      <c r="B405" s="90" t="s">
        <v>1530</v>
      </c>
      <c r="C405" s="90" t="s">
        <v>1005</v>
      </c>
      <c r="D405" s="89">
        <v>46046</v>
      </c>
      <c r="E405" s="90">
        <v>1100</v>
      </c>
      <c r="F405" s="90">
        <v>0</v>
      </c>
      <c r="G405" s="90">
        <v>3572.51</v>
      </c>
      <c r="H405" s="90" t="s">
        <v>1531</v>
      </c>
      <c r="I405" s="90"/>
      <c r="J405" s="90" t="s">
        <v>975</v>
      </c>
      <c r="K405" s="90" t="s">
        <v>91</v>
      </c>
      <c r="L405" s="39">
        <v>0.55000000000000004</v>
      </c>
      <c r="M405" s="90" t="s">
        <v>46</v>
      </c>
    </row>
    <row r="406" spans="1:13" x14ac:dyDescent="0.3">
      <c r="A406" s="89">
        <v>46047</v>
      </c>
      <c r="B406" s="90" t="s">
        <v>1532</v>
      </c>
      <c r="C406" s="90" t="s">
        <v>1005</v>
      </c>
      <c r="D406" s="89">
        <v>46047</v>
      </c>
      <c r="E406" s="90">
        <v>30</v>
      </c>
      <c r="F406" s="90">
        <v>0</v>
      </c>
      <c r="G406" s="90">
        <v>3542.51</v>
      </c>
      <c r="H406" s="90" t="s">
        <v>1533</v>
      </c>
      <c r="I406" s="90"/>
      <c r="J406" s="90" t="s">
        <v>975</v>
      </c>
      <c r="K406" s="90" t="s">
        <v>91</v>
      </c>
      <c r="L406" s="39">
        <v>0.55000000000000004</v>
      </c>
      <c r="M406" s="90" t="s">
        <v>46</v>
      </c>
    </row>
    <row r="407" spans="1:13" x14ac:dyDescent="0.3">
      <c r="A407" s="89">
        <v>46047</v>
      </c>
      <c r="B407" s="90" t="s">
        <v>1534</v>
      </c>
      <c r="C407" s="90" t="s">
        <v>1005</v>
      </c>
      <c r="D407" s="89">
        <v>46047</v>
      </c>
      <c r="E407" s="90">
        <v>250</v>
      </c>
      <c r="F407" s="90">
        <v>0</v>
      </c>
      <c r="G407" s="90">
        <v>3292.51</v>
      </c>
      <c r="H407" s="90" t="s">
        <v>1535</v>
      </c>
      <c r="I407" s="90"/>
      <c r="J407" s="90" t="s">
        <v>975</v>
      </c>
      <c r="K407" s="90" t="s">
        <v>91</v>
      </c>
      <c r="L407" s="39">
        <v>0.55000000000000004</v>
      </c>
      <c r="M407" s="90" t="s">
        <v>46</v>
      </c>
    </row>
    <row r="408" spans="1:13" x14ac:dyDescent="0.3">
      <c r="A408" s="89">
        <v>46047</v>
      </c>
      <c r="B408" s="90" t="s">
        <v>1536</v>
      </c>
      <c r="C408" s="90" t="s">
        <v>1005</v>
      </c>
      <c r="D408" s="89">
        <v>46047</v>
      </c>
      <c r="E408" s="90">
        <v>120</v>
      </c>
      <c r="F408" s="90">
        <v>0</v>
      </c>
      <c r="G408" s="90">
        <v>3172.51</v>
      </c>
      <c r="H408" s="90" t="s">
        <v>1476</v>
      </c>
      <c r="I408" s="90"/>
      <c r="J408" s="90" t="s">
        <v>975</v>
      </c>
      <c r="K408" s="90" t="s">
        <v>91</v>
      </c>
      <c r="L408" s="39">
        <v>0.55000000000000004</v>
      </c>
      <c r="M408" s="90" t="s">
        <v>46</v>
      </c>
    </row>
    <row r="409" spans="1:13" x14ac:dyDescent="0.3">
      <c r="A409" s="37">
        <v>46048</v>
      </c>
      <c r="B409" s="38" t="s">
        <v>1537</v>
      </c>
      <c r="C409" s="38" t="s">
        <v>1005</v>
      </c>
      <c r="D409" s="37">
        <v>46048</v>
      </c>
      <c r="E409" s="38">
        <v>0</v>
      </c>
      <c r="F409" s="38">
        <v>1100</v>
      </c>
      <c r="G409" s="38">
        <v>4272.51</v>
      </c>
      <c r="H409" s="38"/>
      <c r="I409" s="38"/>
      <c r="J409" s="38" t="s">
        <v>1001</v>
      </c>
      <c r="K409" s="38" t="s">
        <v>91</v>
      </c>
      <c r="L409" s="39">
        <v>0.55000000000000004</v>
      </c>
      <c r="M409" s="38" t="s">
        <v>46</v>
      </c>
    </row>
    <row r="410" spans="1:13" x14ac:dyDescent="0.3">
      <c r="A410" s="97">
        <v>46050</v>
      </c>
      <c r="B410" s="98" t="s">
        <v>1538</v>
      </c>
      <c r="C410" s="98" t="s">
        <v>1005</v>
      </c>
      <c r="D410" s="97">
        <v>46050</v>
      </c>
      <c r="E410" s="98">
        <v>1100</v>
      </c>
      <c r="F410" s="98">
        <v>0</v>
      </c>
      <c r="G410" s="98">
        <v>3172.51</v>
      </c>
      <c r="H410" s="98"/>
      <c r="I410" s="98"/>
      <c r="J410" s="98" t="s">
        <v>978</v>
      </c>
      <c r="K410" s="98" t="s">
        <v>1031</v>
      </c>
      <c r="L410" s="24">
        <v>0.85</v>
      </c>
      <c r="M410" s="98" t="s">
        <v>46</v>
      </c>
    </row>
    <row r="411" spans="1:13" x14ac:dyDescent="0.3">
      <c r="A411" s="89">
        <v>46052</v>
      </c>
      <c r="B411" s="90" t="s">
        <v>1539</v>
      </c>
      <c r="C411" s="90" t="s">
        <v>1005</v>
      </c>
      <c r="D411" s="89">
        <v>46052</v>
      </c>
      <c r="E411" s="90">
        <v>50</v>
      </c>
      <c r="F411" s="90">
        <v>0</v>
      </c>
      <c r="G411" s="90">
        <v>3122.51</v>
      </c>
      <c r="H411" s="90" t="s">
        <v>1451</v>
      </c>
      <c r="I411" s="90"/>
      <c r="J411" s="90" t="s">
        <v>975</v>
      </c>
      <c r="K411" s="90" t="s">
        <v>91</v>
      </c>
      <c r="L411" s="39">
        <v>0.55000000000000004</v>
      </c>
      <c r="M411" s="90" t="s">
        <v>46</v>
      </c>
    </row>
    <row r="412" spans="1:13" x14ac:dyDescent="0.3">
      <c r="A412" s="89">
        <v>46053</v>
      </c>
      <c r="B412" s="90" t="s">
        <v>1540</v>
      </c>
      <c r="C412" s="90" t="s">
        <v>1005</v>
      </c>
      <c r="D412" s="89">
        <v>46053</v>
      </c>
      <c r="E412" s="90">
        <v>30</v>
      </c>
      <c r="F412" s="90">
        <v>0</v>
      </c>
      <c r="G412" s="90">
        <v>3092.51</v>
      </c>
      <c r="H412" s="90" t="s">
        <v>1109</v>
      </c>
      <c r="I412" s="90"/>
      <c r="J412" s="90" t="s">
        <v>975</v>
      </c>
      <c r="K412" s="90" t="s">
        <v>91</v>
      </c>
      <c r="L412" s="39">
        <v>0.55000000000000004</v>
      </c>
      <c r="M412" s="90" t="s">
        <v>46</v>
      </c>
    </row>
    <row r="413" spans="1:13" x14ac:dyDescent="0.3">
      <c r="A413" s="89">
        <v>46054</v>
      </c>
      <c r="B413" s="90" t="s">
        <v>1541</v>
      </c>
      <c r="C413" s="90" t="s">
        <v>1005</v>
      </c>
      <c r="D413" s="89">
        <v>46054</v>
      </c>
      <c r="E413" s="90">
        <v>3000</v>
      </c>
      <c r="F413" s="90">
        <v>0</v>
      </c>
      <c r="G413" s="90">
        <v>92.51</v>
      </c>
      <c r="H413" s="90" t="s">
        <v>1542</v>
      </c>
      <c r="I413" s="90"/>
      <c r="J413" s="90" t="s">
        <v>975</v>
      </c>
      <c r="K413" s="90" t="s">
        <v>91</v>
      </c>
      <c r="L413" s="40">
        <v>0.75</v>
      </c>
      <c r="M413" s="90" t="s">
        <v>46</v>
      </c>
    </row>
    <row r="414" spans="1:13" x14ac:dyDescent="0.3">
      <c r="A414" s="78">
        <v>46055</v>
      </c>
      <c r="B414" s="79" t="s">
        <v>1543</v>
      </c>
      <c r="C414" s="79" t="s">
        <v>1005</v>
      </c>
      <c r="D414" s="78">
        <v>46055</v>
      </c>
      <c r="E414" s="79">
        <v>0</v>
      </c>
      <c r="F414" s="79">
        <v>96231</v>
      </c>
      <c r="G414" s="79">
        <v>96323.51</v>
      </c>
      <c r="H414" s="79"/>
      <c r="I414" s="79"/>
      <c r="J414" s="79" t="s">
        <v>972</v>
      </c>
      <c r="K414" s="79" t="s">
        <v>972</v>
      </c>
      <c r="L414" s="24">
        <v>0.97</v>
      </c>
      <c r="M414" s="79" t="s">
        <v>46</v>
      </c>
    </row>
    <row r="415" spans="1:13" x14ac:dyDescent="0.3">
      <c r="A415" s="27">
        <v>46055</v>
      </c>
      <c r="B415" s="28" t="s">
        <v>1544</v>
      </c>
      <c r="C415" s="28" t="s">
        <v>1005</v>
      </c>
      <c r="D415" s="27">
        <v>46055</v>
      </c>
      <c r="E415" s="28">
        <v>6469.6</v>
      </c>
      <c r="F415" s="28">
        <v>0</v>
      </c>
      <c r="G415" s="28">
        <v>89853.91</v>
      </c>
      <c r="H415" s="28"/>
      <c r="I415" s="28"/>
      <c r="J415" s="28" t="s">
        <v>30</v>
      </c>
      <c r="K415" s="28" t="s">
        <v>837</v>
      </c>
      <c r="L415" s="24">
        <v>0.9</v>
      </c>
      <c r="M415" s="28" t="s">
        <v>46</v>
      </c>
    </row>
    <row r="416" spans="1:13" x14ac:dyDescent="0.3">
      <c r="A416" s="85">
        <v>46055</v>
      </c>
      <c r="B416" s="86" t="s">
        <v>1545</v>
      </c>
      <c r="C416" s="86" t="s">
        <v>1005</v>
      </c>
      <c r="D416" s="85">
        <v>46055</v>
      </c>
      <c r="E416" s="86">
        <v>9169.3700000000008</v>
      </c>
      <c r="F416" s="86">
        <v>0</v>
      </c>
      <c r="G416" s="86">
        <v>80684.539999999994</v>
      </c>
      <c r="H416" s="86"/>
      <c r="I416" s="86"/>
      <c r="J416" s="86" t="s">
        <v>974</v>
      </c>
      <c r="K416" s="86" t="s">
        <v>1019</v>
      </c>
      <c r="L416" s="24">
        <v>0.9</v>
      </c>
      <c r="M416" s="86" t="s">
        <v>46</v>
      </c>
    </row>
    <row r="417" spans="1:13" x14ac:dyDescent="0.3">
      <c r="A417" s="101">
        <v>46055</v>
      </c>
      <c r="B417" s="102" t="s">
        <v>1546</v>
      </c>
      <c r="C417" s="102" t="s">
        <v>1005</v>
      </c>
      <c r="D417" s="101">
        <v>46055</v>
      </c>
      <c r="E417" s="102">
        <v>3000</v>
      </c>
      <c r="F417" s="102">
        <v>0</v>
      </c>
      <c r="G417" s="102">
        <v>77684.539999999994</v>
      </c>
      <c r="H417" s="102"/>
      <c r="I417" s="102"/>
      <c r="J417" s="102" t="s">
        <v>976</v>
      </c>
      <c r="K417" s="102" t="s">
        <v>1028</v>
      </c>
      <c r="L417" s="24">
        <v>0.85</v>
      </c>
      <c r="M417" s="102" t="s">
        <v>46</v>
      </c>
    </row>
    <row r="418" spans="1:13" x14ac:dyDescent="0.3">
      <c r="A418" s="95">
        <v>46055</v>
      </c>
      <c r="B418" s="96" t="s">
        <v>1547</v>
      </c>
      <c r="C418" s="96" t="s">
        <v>1005</v>
      </c>
      <c r="D418" s="95">
        <v>46055</v>
      </c>
      <c r="E418" s="96">
        <v>26500</v>
      </c>
      <c r="F418" s="96">
        <v>0</v>
      </c>
      <c r="G418" s="96">
        <v>51184.54</v>
      </c>
      <c r="H418" s="96"/>
      <c r="I418" s="96"/>
      <c r="J418" s="96" t="s">
        <v>990</v>
      </c>
      <c r="K418" s="96" t="s">
        <v>990</v>
      </c>
      <c r="L418" s="24">
        <v>0.9</v>
      </c>
      <c r="M418" s="96" t="s">
        <v>46</v>
      </c>
    </row>
    <row r="419" spans="1:13" x14ac:dyDescent="0.3">
      <c r="A419" s="101">
        <v>46056</v>
      </c>
      <c r="B419" s="102" t="s">
        <v>1548</v>
      </c>
      <c r="C419" s="102" t="s">
        <v>1005</v>
      </c>
      <c r="D419" s="101">
        <v>46056</v>
      </c>
      <c r="E419" s="102">
        <v>3000</v>
      </c>
      <c r="F419" s="102">
        <v>0</v>
      </c>
      <c r="G419" s="102">
        <v>48184.54</v>
      </c>
      <c r="H419" s="102"/>
      <c r="I419" s="102"/>
      <c r="J419" s="102" t="s">
        <v>976</v>
      </c>
      <c r="K419" s="102" t="s">
        <v>1028</v>
      </c>
      <c r="L419" s="24">
        <v>0.85</v>
      </c>
      <c r="M419" s="102" t="s">
        <v>46</v>
      </c>
    </row>
    <row r="420" spans="1:13" x14ac:dyDescent="0.3">
      <c r="A420" s="83">
        <v>46056</v>
      </c>
      <c r="B420" s="84" t="s">
        <v>1549</v>
      </c>
      <c r="C420" s="84" t="s">
        <v>1005</v>
      </c>
      <c r="D420" s="83">
        <v>46056</v>
      </c>
      <c r="E420" s="84">
        <v>137.25</v>
      </c>
      <c r="F420" s="84">
        <v>0</v>
      </c>
      <c r="G420" s="84">
        <v>48047.29</v>
      </c>
      <c r="H420" s="84"/>
      <c r="I420" s="84"/>
      <c r="J420" s="84" t="s">
        <v>973</v>
      </c>
      <c r="K420" s="84" t="s">
        <v>1014</v>
      </c>
      <c r="L420" s="40">
        <v>0.68</v>
      </c>
      <c r="M420" s="84" t="s">
        <v>46</v>
      </c>
    </row>
    <row r="421" spans="1:13" x14ac:dyDescent="0.3">
      <c r="A421" s="89">
        <v>46056</v>
      </c>
      <c r="B421" s="90" t="s">
        <v>1550</v>
      </c>
      <c r="C421" s="90" t="s">
        <v>1005</v>
      </c>
      <c r="D421" s="89">
        <v>46056</v>
      </c>
      <c r="E421" s="90">
        <v>260</v>
      </c>
      <c r="F421" s="90">
        <v>0</v>
      </c>
      <c r="G421" s="90">
        <v>47787.29</v>
      </c>
      <c r="H421" s="90" t="s">
        <v>1551</v>
      </c>
      <c r="I421" s="90"/>
      <c r="J421" s="90" t="s">
        <v>975</v>
      </c>
      <c r="K421" s="90" t="s">
        <v>91</v>
      </c>
      <c r="L421" s="39">
        <v>0.55000000000000004</v>
      </c>
      <c r="M421" s="90" t="s">
        <v>46</v>
      </c>
    </row>
    <row r="422" spans="1:13" x14ac:dyDescent="0.3">
      <c r="A422" s="51">
        <v>46056</v>
      </c>
      <c r="B422" s="52" t="s">
        <v>1552</v>
      </c>
      <c r="C422" s="52" t="s">
        <v>1005</v>
      </c>
      <c r="D422" s="51">
        <v>46056</v>
      </c>
      <c r="E422" s="52">
        <v>0</v>
      </c>
      <c r="F422" s="52">
        <v>101</v>
      </c>
      <c r="G422" s="52">
        <v>47888.29</v>
      </c>
      <c r="H422" s="52"/>
      <c r="I422" s="52"/>
      <c r="J422" s="52" t="s">
        <v>20</v>
      </c>
      <c r="K422" s="52" t="s">
        <v>181</v>
      </c>
      <c r="L422" s="24">
        <v>0.85</v>
      </c>
      <c r="M422" s="52" t="s">
        <v>46</v>
      </c>
    </row>
    <row r="423" spans="1:13" x14ac:dyDescent="0.3">
      <c r="A423" s="101">
        <v>46057</v>
      </c>
      <c r="B423" s="102" t="s">
        <v>1553</v>
      </c>
      <c r="C423" s="102" t="s">
        <v>1005</v>
      </c>
      <c r="D423" s="101">
        <v>46057</v>
      </c>
      <c r="E423" s="102">
        <v>3000</v>
      </c>
      <c r="F423" s="102">
        <v>0</v>
      </c>
      <c r="G423" s="102">
        <v>44888.29</v>
      </c>
      <c r="H423" s="102"/>
      <c r="I423" s="102"/>
      <c r="J423" s="102" t="s">
        <v>976</v>
      </c>
      <c r="K423" s="102" t="s">
        <v>1028</v>
      </c>
      <c r="L423" s="24">
        <v>0.85</v>
      </c>
      <c r="M423" s="102" t="s">
        <v>46</v>
      </c>
    </row>
    <row r="424" spans="1:13" x14ac:dyDescent="0.3">
      <c r="A424" s="89">
        <v>46057</v>
      </c>
      <c r="B424" s="90" t="s">
        <v>1554</v>
      </c>
      <c r="C424" s="90" t="s">
        <v>1005</v>
      </c>
      <c r="D424" s="89">
        <v>46057</v>
      </c>
      <c r="E424" s="90">
        <v>40</v>
      </c>
      <c r="F424" s="90">
        <v>0</v>
      </c>
      <c r="G424" s="90">
        <v>44848.29</v>
      </c>
      <c r="H424" s="90" t="s">
        <v>1555</v>
      </c>
      <c r="I424" s="90"/>
      <c r="J424" s="90" t="s">
        <v>975</v>
      </c>
      <c r="K424" s="90" t="s">
        <v>91</v>
      </c>
      <c r="L424" s="39">
        <v>0.55000000000000004</v>
      </c>
      <c r="M424" s="90" t="s">
        <v>46</v>
      </c>
    </row>
    <row r="425" spans="1:13" x14ac:dyDescent="0.3">
      <c r="A425" s="101">
        <v>46058</v>
      </c>
      <c r="B425" s="102" t="s">
        <v>1556</v>
      </c>
      <c r="C425" s="102" t="s">
        <v>1005</v>
      </c>
      <c r="D425" s="101">
        <v>46058</v>
      </c>
      <c r="E425" s="102">
        <v>3000</v>
      </c>
      <c r="F425" s="102">
        <v>0</v>
      </c>
      <c r="G425" s="102">
        <v>41848.29</v>
      </c>
      <c r="H425" s="102"/>
      <c r="I425" s="102"/>
      <c r="J425" s="102" t="s">
        <v>976</v>
      </c>
      <c r="K425" s="102" t="s">
        <v>1028</v>
      </c>
      <c r="L425" s="24">
        <v>0.85</v>
      </c>
      <c r="M425" s="102" t="s">
        <v>46</v>
      </c>
    </row>
    <row r="426" spans="1:13" x14ac:dyDescent="0.3">
      <c r="A426" s="89">
        <v>46058</v>
      </c>
      <c r="B426" s="90" t="s">
        <v>1557</v>
      </c>
      <c r="C426" s="90" t="s">
        <v>1005</v>
      </c>
      <c r="D426" s="89">
        <v>46058</v>
      </c>
      <c r="E426" s="90">
        <v>20</v>
      </c>
      <c r="F426" s="90">
        <v>0</v>
      </c>
      <c r="G426" s="90">
        <v>41828.29</v>
      </c>
      <c r="H426" s="90" t="s">
        <v>1555</v>
      </c>
      <c r="I426" s="90"/>
      <c r="J426" s="90" t="s">
        <v>975</v>
      </c>
      <c r="K426" s="90" t="s">
        <v>91</v>
      </c>
      <c r="L426" s="39">
        <v>0.55000000000000004</v>
      </c>
      <c r="M426" s="90" t="s">
        <v>46</v>
      </c>
    </row>
    <row r="427" spans="1:13" x14ac:dyDescent="0.3">
      <c r="A427" s="101">
        <v>46059</v>
      </c>
      <c r="B427" s="102" t="s">
        <v>1558</v>
      </c>
      <c r="C427" s="102" t="s">
        <v>1005</v>
      </c>
      <c r="D427" s="101">
        <v>46059</v>
      </c>
      <c r="E427" s="102">
        <v>2096.85</v>
      </c>
      <c r="F427" s="102">
        <v>0</v>
      </c>
      <c r="G427" s="102">
        <v>39731.440000000002</v>
      </c>
      <c r="H427" s="102"/>
      <c r="I427" s="102"/>
      <c r="J427" s="102" t="s">
        <v>976</v>
      </c>
      <c r="K427" s="102" t="s">
        <v>1028</v>
      </c>
      <c r="L427" s="24">
        <v>0.85</v>
      </c>
      <c r="M427" s="102" t="s">
        <v>46</v>
      </c>
    </row>
    <row r="428" spans="1:13" x14ac:dyDescent="0.3">
      <c r="A428" s="89">
        <v>46060</v>
      </c>
      <c r="B428" s="90" t="s">
        <v>1559</v>
      </c>
      <c r="C428" s="90" t="s">
        <v>1005</v>
      </c>
      <c r="D428" s="89">
        <v>46060</v>
      </c>
      <c r="E428" s="90">
        <v>20</v>
      </c>
      <c r="F428" s="90">
        <v>0</v>
      </c>
      <c r="G428" s="90">
        <v>39711.440000000002</v>
      </c>
      <c r="H428" s="90" t="s">
        <v>1555</v>
      </c>
      <c r="I428" s="90"/>
      <c r="J428" s="90" t="s">
        <v>975</v>
      </c>
      <c r="K428" s="90" t="s">
        <v>91</v>
      </c>
      <c r="L428" s="39">
        <v>0.55000000000000004</v>
      </c>
      <c r="M428" s="90" t="s">
        <v>46</v>
      </c>
    </row>
    <row r="429" spans="1:13" x14ac:dyDescent="0.3">
      <c r="A429" s="89">
        <v>46065</v>
      </c>
      <c r="B429" s="90" t="s">
        <v>1560</v>
      </c>
      <c r="C429" s="90" t="s">
        <v>1005</v>
      </c>
      <c r="D429" s="89">
        <v>46065</v>
      </c>
      <c r="E429" s="90">
        <v>40</v>
      </c>
      <c r="F429" s="90">
        <v>0</v>
      </c>
      <c r="G429" s="90">
        <v>39671.440000000002</v>
      </c>
      <c r="H429" s="90" t="s">
        <v>1555</v>
      </c>
      <c r="I429" s="90"/>
      <c r="J429" s="90" t="s">
        <v>975</v>
      </c>
      <c r="K429" s="90" t="s">
        <v>91</v>
      </c>
      <c r="L429" s="39">
        <v>0.55000000000000004</v>
      </c>
      <c r="M429" s="90" t="s">
        <v>46</v>
      </c>
    </row>
    <row r="430" spans="1:13" x14ac:dyDescent="0.3">
      <c r="A430" s="89">
        <v>46065</v>
      </c>
      <c r="B430" s="90" t="s">
        <v>1561</v>
      </c>
      <c r="C430" s="90" t="s">
        <v>1005</v>
      </c>
      <c r="D430" s="89">
        <v>46065</v>
      </c>
      <c r="E430" s="90">
        <v>297</v>
      </c>
      <c r="F430" s="90">
        <v>0</v>
      </c>
      <c r="G430" s="90">
        <v>39374.44</v>
      </c>
      <c r="H430" s="90"/>
      <c r="I430" s="90"/>
      <c r="J430" s="90" t="s">
        <v>992</v>
      </c>
      <c r="K430" s="90" t="s">
        <v>91</v>
      </c>
      <c r="L430" s="40">
        <v>0.75</v>
      </c>
      <c r="M430" s="90" t="s">
        <v>46</v>
      </c>
    </row>
    <row r="431" spans="1:13" x14ac:dyDescent="0.3">
      <c r="A431" s="89">
        <v>46067</v>
      </c>
      <c r="B431" s="90" t="s">
        <v>1562</v>
      </c>
      <c r="C431" s="90" t="s">
        <v>1005</v>
      </c>
      <c r="D431" s="89">
        <v>46067</v>
      </c>
      <c r="E431" s="90">
        <v>105</v>
      </c>
      <c r="F431" s="90">
        <v>0</v>
      </c>
      <c r="G431" s="90">
        <v>39269.440000000002</v>
      </c>
      <c r="H431" s="90" t="s">
        <v>1563</v>
      </c>
      <c r="I431" s="90"/>
      <c r="J431" s="90" t="s">
        <v>975</v>
      </c>
      <c r="K431" s="90" t="s">
        <v>91</v>
      </c>
      <c r="L431" s="39">
        <v>0.55000000000000004</v>
      </c>
      <c r="M431" s="90" t="s">
        <v>46</v>
      </c>
    </row>
    <row r="432" spans="1:13" x14ac:dyDescent="0.3">
      <c r="A432" s="89">
        <v>46068</v>
      </c>
      <c r="B432" s="90" t="s">
        <v>1564</v>
      </c>
      <c r="C432" s="90" t="s">
        <v>1005</v>
      </c>
      <c r="D432" s="89">
        <v>46068</v>
      </c>
      <c r="E432" s="90">
        <v>90</v>
      </c>
      <c r="F432" s="90">
        <v>0</v>
      </c>
      <c r="G432" s="90">
        <v>39179.440000000002</v>
      </c>
      <c r="H432" s="90" t="s">
        <v>1565</v>
      </c>
      <c r="I432" s="90"/>
      <c r="J432" s="90" t="s">
        <v>975</v>
      </c>
      <c r="K432" s="90" t="s">
        <v>91</v>
      </c>
      <c r="L432" s="39">
        <v>0.55000000000000004</v>
      </c>
      <c r="M432" s="90" t="s">
        <v>46</v>
      </c>
    </row>
    <row r="433" spans="1:13" x14ac:dyDescent="0.3">
      <c r="A433" s="89">
        <v>46070</v>
      </c>
      <c r="B433" s="90" t="s">
        <v>1566</v>
      </c>
      <c r="C433" s="90" t="s">
        <v>1005</v>
      </c>
      <c r="D433" s="89">
        <v>46070</v>
      </c>
      <c r="E433" s="90">
        <v>130</v>
      </c>
      <c r="F433" s="90">
        <v>0</v>
      </c>
      <c r="G433" s="90">
        <v>39049.440000000002</v>
      </c>
      <c r="H433" s="90" t="s">
        <v>1567</v>
      </c>
      <c r="I433" s="90"/>
      <c r="J433" s="90" t="s">
        <v>975</v>
      </c>
      <c r="K433" s="90" t="s">
        <v>91</v>
      </c>
      <c r="L433" s="39">
        <v>0.55000000000000004</v>
      </c>
      <c r="M433" s="90" t="s">
        <v>46</v>
      </c>
    </row>
    <row r="434" spans="1:13" x14ac:dyDescent="0.3">
      <c r="A434" s="89">
        <v>46071</v>
      </c>
      <c r="B434" s="90" t="s">
        <v>1568</v>
      </c>
      <c r="C434" s="90" t="s">
        <v>1005</v>
      </c>
      <c r="D434" s="89">
        <v>46071</v>
      </c>
      <c r="E434" s="90">
        <v>5</v>
      </c>
      <c r="F434" s="90">
        <v>0</v>
      </c>
      <c r="G434" s="90">
        <v>39044.44</v>
      </c>
      <c r="H434" s="90" t="s">
        <v>1569</v>
      </c>
      <c r="I434" s="90"/>
      <c r="J434" s="90" t="s">
        <v>975</v>
      </c>
      <c r="K434" s="90" t="s">
        <v>91</v>
      </c>
      <c r="L434" s="39">
        <v>0.55000000000000004</v>
      </c>
      <c r="M434" s="90" t="s">
        <v>46</v>
      </c>
    </row>
    <row r="435" spans="1:13" x14ac:dyDescent="0.3">
      <c r="A435" s="101">
        <v>46074</v>
      </c>
      <c r="B435" s="102" t="s">
        <v>1570</v>
      </c>
      <c r="C435" s="102" t="s">
        <v>1005</v>
      </c>
      <c r="D435" s="101">
        <v>46074</v>
      </c>
      <c r="E435" s="102">
        <v>1000</v>
      </c>
      <c r="F435" s="102">
        <v>0</v>
      </c>
      <c r="G435" s="102">
        <v>38044.44</v>
      </c>
      <c r="H435" s="102"/>
      <c r="I435" s="102"/>
      <c r="J435" s="102" t="s">
        <v>976</v>
      </c>
      <c r="K435" s="102" t="s">
        <v>1028</v>
      </c>
      <c r="L435" s="24">
        <v>0.85</v>
      </c>
      <c r="M435" s="102" t="s">
        <v>46</v>
      </c>
    </row>
    <row r="436" spans="1:13" x14ac:dyDescent="0.3">
      <c r="A436" s="101">
        <v>46075</v>
      </c>
      <c r="B436" s="102" t="s">
        <v>1571</v>
      </c>
      <c r="C436" s="102" t="s">
        <v>1005</v>
      </c>
      <c r="D436" s="101">
        <v>46075</v>
      </c>
      <c r="E436" s="102">
        <v>1010</v>
      </c>
      <c r="F436" s="102">
        <v>0</v>
      </c>
      <c r="G436" s="102">
        <v>37034.44</v>
      </c>
      <c r="H436" s="102"/>
      <c r="I436" s="102"/>
      <c r="J436" s="102" t="s">
        <v>976</v>
      </c>
      <c r="K436" s="102" t="s">
        <v>1028</v>
      </c>
      <c r="L436" s="24">
        <v>0.85</v>
      </c>
      <c r="M436" s="102" t="s">
        <v>46</v>
      </c>
    </row>
    <row r="437" spans="1:13" x14ac:dyDescent="0.3">
      <c r="A437" s="89">
        <v>46075</v>
      </c>
      <c r="B437" s="90" t="s">
        <v>1572</v>
      </c>
      <c r="C437" s="90" t="s">
        <v>1005</v>
      </c>
      <c r="D437" s="89">
        <v>46075</v>
      </c>
      <c r="E437" s="90">
        <v>400</v>
      </c>
      <c r="F437" s="90">
        <v>0</v>
      </c>
      <c r="G437" s="90">
        <v>36634.44</v>
      </c>
      <c r="H437" s="90" t="s">
        <v>1573</v>
      </c>
      <c r="I437" s="90"/>
      <c r="J437" s="90" t="s">
        <v>975</v>
      </c>
      <c r="K437" s="90" t="s">
        <v>91</v>
      </c>
      <c r="L437" s="39">
        <v>0.55000000000000004</v>
      </c>
      <c r="M437" s="90" t="s">
        <v>46</v>
      </c>
    </row>
    <row r="438" spans="1:13" x14ac:dyDescent="0.3">
      <c r="A438" s="89">
        <v>46075</v>
      </c>
      <c r="B438" s="90" t="s">
        <v>1574</v>
      </c>
      <c r="C438" s="90" t="s">
        <v>1005</v>
      </c>
      <c r="D438" s="89">
        <v>46075</v>
      </c>
      <c r="E438" s="90">
        <v>35</v>
      </c>
      <c r="F438" s="90">
        <v>0</v>
      </c>
      <c r="G438" s="90">
        <v>36599.440000000002</v>
      </c>
      <c r="H438" s="90" t="s">
        <v>1575</v>
      </c>
      <c r="I438" s="90"/>
      <c r="J438" s="90" t="s">
        <v>975</v>
      </c>
      <c r="K438" s="90" t="s">
        <v>91</v>
      </c>
      <c r="L438" s="39">
        <v>0.55000000000000004</v>
      </c>
      <c r="M438" s="90" t="s">
        <v>46</v>
      </c>
    </row>
    <row r="439" spans="1:13" x14ac:dyDescent="0.3">
      <c r="A439" s="89">
        <v>46076</v>
      </c>
      <c r="B439" s="90" t="s">
        <v>1576</v>
      </c>
      <c r="C439" s="90" t="s">
        <v>1005</v>
      </c>
      <c r="D439" s="89">
        <v>46076</v>
      </c>
      <c r="E439" s="90">
        <v>192</v>
      </c>
      <c r="F439" s="90">
        <v>0</v>
      </c>
      <c r="G439" s="90">
        <v>36407.440000000002</v>
      </c>
      <c r="H439" s="90" t="s">
        <v>1577</v>
      </c>
      <c r="I439" s="90"/>
      <c r="J439" s="90" t="s">
        <v>975</v>
      </c>
      <c r="K439" s="90" t="s">
        <v>91</v>
      </c>
      <c r="L439" s="39">
        <v>0.55000000000000004</v>
      </c>
      <c r="M439" s="90" t="s">
        <v>46</v>
      </c>
    </row>
    <row r="440" spans="1:13" x14ac:dyDescent="0.3">
      <c r="A440" s="101">
        <v>46076</v>
      </c>
      <c r="B440" s="102" t="s">
        <v>1578</v>
      </c>
      <c r="C440" s="102" t="s">
        <v>1005</v>
      </c>
      <c r="D440" s="101">
        <v>46076</v>
      </c>
      <c r="E440" s="102">
        <v>1000</v>
      </c>
      <c r="F440" s="102">
        <v>0</v>
      </c>
      <c r="G440" s="102">
        <v>35407.440000000002</v>
      </c>
      <c r="H440" s="102"/>
      <c r="I440" s="102"/>
      <c r="J440" s="102" t="s">
        <v>976</v>
      </c>
      <c r="K440" s="102" t="s">
        <v>1028</v>
      </c>
      <c r="L440" s="24">
        <v>0.85</v>
      </c>
      <c r="M440" s="102" t="s">
        <v>46</v>
      </c>
    </row>
    <row r="441" spans="1:13" x14ac:dyDescent="0.3">
      <c r="A441" s="89">
        <v>46076</v>
      </c>
      <c r="B441" s="90" t="s">
        <v>1579</v>
      </c>
      <c r="C441" s="90" t="s">
        <v>1005</v>
      </c>
      <c r="D441" s="89">
        <v>46076</v>
      </c>
      <c r="E441" s="90">
        <v>181</v>
      </c>
      <c r="F441" s="90">
        <v>0</v>
      </c>
      <c r="G441" s="90">
        <v>35226.44</v>
      </c>
      <c r="H441" s="90" t="s">
        <v>1580</v>
      </c>
      <c r="I441" s="90"/>
      <c r="J441" s="90" t="s">
        <v>975</v>
      </c>
      <c r="K441" s="90" t="s">
        <v>91</v>
      </c>
      <c r="L441" s="39">
        <v>0.55000000000000004</v>
      </c>
      <c r="M441" s="90" t="s">
        <v>46</v>
      </c>
    </row>
    <row r="442" spans="1:13" x14ac:dyDescent="0.3">
      <c r="A442" s="41">
        <v>46076</v>
      </c>
      <c r="B442" s="42" t="s">
        <v>1581</v>
      </c>
      <c r="C442" s="42" t="s">
        <v>1005</v>
      </c>
      <c r="D442" s="41">
        <v>46076</v>
      </c>
      <c r="E442" s="42">
        <v>158</v>
      </c>
      <c r="F442" s="42">
        <v>0</v>
      </c>
      <c r="G442" s="42">
        <v>35068.44</v>
      </c>
      <c r="H442" s="42"/>
      <c r="I442" s="42"/>
      <c r="J442" s="42" t="s">
        <v>997</v>
      </c>
      <c r="K442" s="42" t="s">
        <v>131</v>
      </c>
      <c r="L442" s="40">
        <v>0.68</v>
      </c>
      <c r="M442" s="42" t="s">
        <v>46</v>
      </c>
    </row>
    <row r="443" spans="1:13" x14ac:dyDescent="0.3">
      <c r="A443" s="89">
        <v>46076</v>
      </c>
      <c r="B443" s="90" t="s">
        <v>1582</v>
      </c>
      <c r="C443" s="90" t="s">
        <v>1005</v>
      </c>
      <c r="D443" s="89">
        <v>46076</v>
      </c>
      <c r="E443" s="90">
        <v>103</v>
      </c>
      <c r="F443" s="90">
        <v>0</v>
      </c>
      <c r="G443" s="90">
        <v>34965.440000000002</v>
      </c>
      <c r="H443" s="90" t="s">
        <v>1583</v>
      </c>
      <c r="I443" s="90"/>
      <c r="J443" s="90" t="s">
        <v>975</v>
      </c>
      <c r="K443" s="90" t="s">
        <v>91</v>
      </c>
      <c r="L443" s="39">
        <v>0.55000000000000004</v>
      </c>
      <c r="M443" s="90" t="s">
        <v>46</v>
      </c>
    </row>
    <row r="444" spans="1:13" x14ac:dyDescent="0.3">
      <c r="A444" s="101">
        <v>46077</v>
      </c>
      <c r="B444" s="102" t="s">
        <v>1584</v>
      </c>
      <c r="C444" s="102" t="s">
        <v>1005</v>
      </c>
      <c r="D444" s="101">
        <v>46077</v>
      </c>
      <c r="E444" s="102">
        <v>1000</v>
      </c>
      <c r="F444" s="102">
        <v>0</v>
      </c>
      <c r="G444" s="102">
        <v>33965.440000000002</v>
      </c>
      <c r="H444" s="102"/>
      <c r="I444" s="102"/>
      <c r="J444" s="102" t="s">
        <v>976</v>
      </c>
      <c r="K444" s="102" t="s">
        <v>1028</v>
      </c>
      <c r="L444" s="24">
        <v>0.85</v>
      </c>
      <c r="M444" s="102" t="s">
        <v>46</v>
      </c>
    </row>
    <row r="445" spans="1:13" x14ac:dyDescent="0.3">
      <c r="A445" s="89">
        <v>46077</v>
      </c>
      <c r="B445" s="90" t="s">
        <v>1585</v>
      </c>
      <c r="C445" s="90" t="s">
        <v>1005</v>
      </c>
      <c r="D445" s="89">
        <v>46077</v>
      </c>
      <c r="E445" s="90">
        <v>106</v>
      </c>
      <c r="F445" s="90">
        <v>0</v>
      </c>
      <c r="G445" s="90">
        <v>33859.440000000002</v>
      </c>
      <c r="H445" s="90" t="s">
        <v>1586</v>
      </c>
      <c r="I445" s="90"/>
      <c r="J445" s="90" t="s">
        <v>975</v>
      </c>
      <c r="K445" s="90" t="s">
        <v>91</v>
      </c>
      <c r="L445" s="39">
        <v>0.55000000000000004</v>
      </c>
      <c r="M445" s="90" t="s">
        <v>46</v>
      </c>
    </row>
    <row r="446" spans="1:13" x14ac:dyDescent="0.3">
      <c r="A446" s="89">
        <v>46077</v>
      </c>
      <c r="B446" s="90" t="s">
        <v>1587</v>
      </c>
      <c r="C446" s="90" t="s">
        <v>1005</v>
      </c>
      <c r="D446" s="89">
        <v>46077</v>
      </c>
      <c r="E446" s="90">
        <v>49</v>
      </c>
      <c r="F446" s="90">
        <v>0</v>
      </c>
      <c r="G446" s="90">
        <v>33810.44</v>
      </c>
      <c r="H446" s="90" t="s">
        <v>1588</v>
      </c>
      <c r="I446" s="90"/>
      <c r="J446" s="90" t="s">
        <v>975</v>
      </c>
      <c r="K446" s="90" t="s">
        <v>91</v>
      </c>
      <c r="L446" s="39">
        <v>0.55000000000000004</v>
      </c>
      <c r="M446" s="90" t="s">
        <v>46</v>
      </c>
    </row>
    <row r="447" spans="1:13" x14ac:dyDescent="0.3">
      <c r="A447" s="89">
        <v>46077</v>
      </c>
      <c r="B447" s="90" t="s">
        <v>1589</v>
      </c>
      <c r="C447" s="90" t="s">
        <v>1005</v>
      </c>
      <c r="D447" s="89">
        <v>46077</v>
      </c>
      <c r="E447" s="90">
        <v>64</v>
      </c>
      <c r="F447" s="90">
        <v>0</v>
      </c>
      <c r="G447" s="90">
        <v>33746.44</v>
      </c>
      <c r="H447" s="90" t="s">
        <v>1590</v>
      </c>
      <c r="I447" s="90"/>
      <c r="J447" s="90" t="s">
        <v>975</v>
      </c>
      <c r="K447" s="90" t="s">
        <v>91</v>
      </c>
      <c r="L447" s="39">
        <v>0.55000000000000004</v>
      </c>
      <c r="M447" s="90" t="s">
        <v>46</v>
      </c>
    </row>
    <row r="448" spans="1:13" x14ac:dyDescent="0.3">
      <c r="A448" s="101">
        <v>46078</v>
      </c>
      <c r="B448" s="102" t="s">
        <v>1591</v>
      </c>
      <c r="C448" s="102" t="s">
        <v>1005</v>
      </c>
      <c r="D448" s="101">
        <v>46078</v>
      </c>
      <c r="E448" s="102">
        <v>1000</v>
      </c>
      <c r="F448" s="102">
        <v>0</v>
      </c>
      <c r="G448" s="102">
        <v>32746.44</v>
      </c>
      <c r="H448" s="102"/>
      <c r="I448" s="102"/>
      <c r="J448" s="102" t="s">
        <v>976</v>
      </c>
      <c r="K448" s="102" t="s">
        <v>1028</v>
      </c>
      <c r="L448" s="24">
        <v>0.85</v>
      </c>
      <c r="M448" s="102" t="s">
        <v>46</v>
      </c>
    </row>
    <row r="449" spans="1:13" x14ac:dyDescent="0.3">
      <c r="A449" s="101">
        <v>46079</v>
      </c>
      <c r="B449" s="102" t="s">
        <v>1592</v>
      </c>
      <c r="C449" s="102" t="s">
        <v>1005</v>
      </c>
      <c r="D449" s="101">
        <v>46079</v>
      </c>
      <c r="E449" s="102">
        <v>1000</v>
      </c>
      <c r="F449" s="102">
        <v>0</v>
      </c>
      <c r="G449" s="102">
        <v>31746.44</v>
      </c>
      <c r="H449" s="102"/>
      <c r="I449" s="102"/>
      <c r="J449" s="102" t="s">
        <v>976</v>
      </c>
      <c r="K449" s="102" t="s">
        <v>1028</v>
      </c>
      <c r="L449" s="24">
        <v>0.85</v>
      </c>
      <c r="M449" s="102" t="s">
        <v>46</v>
      </c>
    </row>
    <row r="450" spans="1:13" x14ac:dyDescent="0.3">
      <c r="A450" s="101">
        <v>46080</v>
      </c>
      <c r="B450" s="102" t="s">
        <v>1593</v>
      </c>
      <c r="C450" s="102" t="s">
        <v>1005</v>
      </c>
      <c r="D450" s="101">
        <v>46080</v>
      </c>
      <c r="E450" s="102">
        <v>1000</v>
      </c>
      <c r="F450" s="102">
        <v>0</v>
      </c>
      <c r="G450" s="102">
        <v>30746.44</v>
      </c>
      <c r="H450" s="102"/>
      <c r="I450" s="102"/>
      <c r="J450" s="102" t="s">
        <v>976</v>
      </c>
      <c r="K450" s="102" t="s">
        <v>1028</v>
      </c>
      <c r="L450" s="24">
        <v>0.85</v>
      </c>
      <c r="M450" s="102" t="s">
        <v>46</v>
      </c>
    </row>
    <row r="451" spans="1:13" x14ac:dyDescent="0.3">
      <c r="A451" s="101">
        <v>46081</v>
      </c>
      <c r="B451" s="102" t="s">
        <v>1594</v>
      </c>
      <c r="C451" s="102" t="s">
        <v>1005</v>
      </c>
      <c r="D451" s="101">
        <v>46081</v>
      </c>
      <c r="E451" s="102">
        <v>1000</v>
      </c>
      <c r="F451" s="102">
        <v>0</v>
      </c>
      <c r="G451" s="102">
        <v>29746.44</v>
      </c>
      <c r="H451" s="102"/>
      <c r="I451" s="102"/>
      <c r="J451" s="102" t="s">
        <v>976</v>
      </c>
      <c r="K451" s="102" t="s">
        <v>1028</v>
      </c>
      <c r="L451" s="24">
        <v>0.85</v>
      </c>
      <c r="M451" s="102" t="s">
        <v>46</v>
      </c>
    </row>
    <row r="452" spans="1:13" x14ac:dyDescent="0.3">
      <c r="A452" s="97">
        <v>46081</v>
      </c>
      <c r="B452" s="98" t="s">
        <v>1595</v>
      </c>
      <c r="C452" s="98" t="s">
        <v>1005</v>
      </c>
      <c r="D452" s="97">
        <v>46081</v>
      </c>
      <c r="E452" s="98">
        <v>10000</v>
      </c>
      <c r="F452" s="98">
        <v>0</v>
      </c>
      <c r="G452" s="98">
        <v>19746.439999999999</v>
      </c>
      <c r="H452" s="98"/>
      <c r="I452" s="98"/>
      <c r="J452" s="98" t="s">
        <v>978</v>
      </c>
      <c r="K452" s="98" t="s">
        <v>1031</v>
      </c>
      <c r="L452" s="24">
        <v>0.85</v>
      </c>
      <c r="M452" s="98" t="s">
        <v>46</v>
      </c>
    </row>
    <row r="453" spans="1:13" x14ac:dyDescent="0.3">
      <c r="A453" s="101">
        <v>46082</v>
      </c>
      <c r="B453" s="102" t="s">
        <v>1596</v>
      </c>
      <c r="C453" s="102" t="s">
        <v>1005</v>
      </c>
      <c r="D453" s="101">
        <v>46082</v>
      </c>
      <c r="E453" s="102">
        <v>1000</v>
      </c>
      <c r="F453" s="102">
        <v>0</v>
      </c>
      <c r="G453" s="102">
        <v>18746.439999999999</v>
      </c>
      <c r="H453" s="102"/>
      <c r="I453" s="102"/>
      <c r="J453" s="102" t="s">
        <v>976</v>
      </c>
      <c r="K453" s="102" t="s">
        <v>1028</v>
      </c>
      <c r="L453" s="24">
        <v>0.85</v>
      </c>
      <c r="M453" s="102" t="s">
        <v>46</v>
      </c>
    </row>
    <row r="454" spans="1:13" x14ac:dyDescent="0.3">
      <c r="A454" s="85">
        <v>46082</v>
      </c>
      <c r="B454" s="86" t="s">
        <v>1597</v>
      </c>
      <c r="C454" s="86" t="s">
        <v>1005</v>
      </c>
      <c r="D454" s="85">
        <v>46082</v>
      </c>
      <c r="E454" s="86">
        <v>5000</v>
      </c>
      <c r="F454" s="86">
        <v>0</v>
      </c>
      <c r="G454" s="86">
        <v>13746.44</v>
      </c>
      <c r="H454" s="86"/>
      <c r="I454" s="86"/>
      <c r="J454" s="86" t="s">
        <v>974</v>
      </c>
      <c r="K454" s="86" t="s">
        <v>1019</v>
      </c>
      <c r="L454" s="24">
        <v>0.9</v>
      </c>
      <c r="M454" s="86" t="s">
        <v>46</v>
      </c>
    </row>
    <row r="455" spans="1:13" x14ac:dyDescent="0.3">
      <c r="A455" s="101">
        <v>46083</v>
      </c>
      <c r="B455" s="102" t="s">
        <v>1598</v>
      </c>
      <c r="C455" s="102" t="s">
        <v>1005</v>
      </c>
      <c r="D455" s="101">
        <v>46083</v>
      </c>
      <c r="E455" s="102">
        <v>1000</v>
      </c>
      <c r="F455" s="102">
        <v>0</v>
      </c>
      <c r="G455" s="102">
        <v>12746.44</v>
      </c>
      <c r="H455" s="102"/>
      <c r="I455" s="102"/>
      <c r="J455" s="102" t="s">
        <v>976</v>
      </c>
      <c r="K455" s="102" t="s">
        <v>1028</v>
      </c>
      <c r="L455" s="24">
        <v>0.85</v>
      </c>
      <c r="M455" s="102" t="s">
        <v>46</v>
      </c>
    </row>
    <row r="456" spans="1:13" x14ac:dyDescent="0.3">
      <c r="A456" s="78">
        <v>46083</v>
      </c>
      <c r="B456" s="79" t="s">
        <v>1599</v>
      </c>
      <c r="C456" s="79" t="s">
        <v>1005</v>
      </c>
      <c r="D456" s="78">
        <v>46083</v>
      </c>
      <c r="E456" s="79">
        <v>0</v>
      </c>
      <c r="F456" s="79">
        <v>101580</v>
      </c>
      <c r="G456" s="79">
        <v>114326.44</v>
      </c>
      <c r="H456" s="79"/>
      <c r="I456" s="79"/>
      <c r="J456" s="79" t="s">
        <v>972</v>
      </c>
      <c r="K456" s="79" t="s">
        <v>972</v>
      </c>
      <c r="L456" s="24">
        <v>0.97</v>
      </c>
      <c r="M456" s="79" t="s">
        <v>46</v>
      </c>
    </row>
    <row r="457" spans="1:13" x14ac:dyDescent="0.3">
      <c r="A457" s="89">
        <v>46083</v>
      </c>
      <c r="B457" s="90" t="s">
        <v>1600</v>
      </c>
      <c r="C457" s="90" t="s">
        <v>1005</v>
      </c>
      <c r="D457" s="89">
        <v>46083</v>
      </c>
      <c r="E457" s="90">
        <v>22053</v>
      </c>
      <c r="F457" s="90">
        <v>0</v>
      </c>
      <c r="G457" s="90">
        <v>92273.44</v>
      </c>
      <c r="H457" s="90"/>
      <c r="I457" s="90"/>
      <c r="J457" s="90" t="s">
        <v>992</v>
      </c>
      <c r="K457" s="90" t="s">
        <v>91</v>
      </c>
      <c r="L457" s="40">
        <v>0.75</v>
      </c>
      <c r="M457" s="90" t="s">
        <v>46</v>
      </c>
    </row>
    <row r="458" spans="1:13" x14ac:dyDescent="0.3">
      <c r="A458" s="101">
        <v>46084</v>
      </c>
      <c r="B458" s="102" t="s">
        <v>1601</v>
      </c>
      <c r="C458" s="102" t="s">
        <v>1005</v>
      </c>
      <c r="D458" s="101">
        <v>46084</v>
      </c>
      <c r="E458" s="102">
        <v>1534.59</v>
      </c>
      <c r="F458" s="102">
        <v>0</v>
      </c>
      <c r="G458" s="102">
        <v>90738.85</v>
      </c>
      <c r="H458" s="102"/>
      <c r="I458" s="102"/>
      <c r="J458" s="102" t="s">
        <v>976</v>
      </c>
      <c r="K458" s="102" t="s">
        <v>1028</v>
      </c>
      <c r="L458" s="24">
        <v>0.85</v>
      </c>
      <c r="M458" s="102" t="s">
        <v>46</v>
      </c>
    </row>
    <row r="459" spans="1:13" x14ac:dyDescent="0.3">
      <c r="A459" s="95">
        <v>46084</v>
      </c>
      <c r="B459" s="96" t="s">
        <v>1602</v>
      </c>
      <c r="C459" s="96" t="s">
        <v>1005</v>
      </c>
      <c r="D459" s="95">
        <v>46084</v>
      </c>
      <c r="E459" s="96">
        <v>26500</v>
      </c>
      <c r="F459" s="96">
        <v>0</v>
      </c>
      <c r="G459" s="96">
        <v>64238.85</v>
      </c>
      <c r="H459" s="96"/>
      <c r="I459" s="96"/>
      <c r="J459" s="96" t="s">
        <v>990</v>
      </c>
      <c r="K459" s="96" t="s">
        <v>990</v>
      </c>
      <c r="L459" s="24">
        <v>0.9</v>
      </c>
      <c r="M459" s="96" t="s">
        <v>46</v>
      </c>
    </row>
    <row r="460" spans="1:13" x14ac:dyDescent="0.3">
      <c r="A460" s="89">
        <v>46087</v>
      </c>
      <c r="B460" s="90" t="s">
        <v>1603</v>
      </c>
      <c r="C460" s="90" t="s">
        <v>1005</v>
      </c>
      <c r="D460" s="89">
        <v>46087</v>
      </c>
      <c r="E460" s="90">
        <v>20</v>
      </c>
      <c r="F460" s="90">
        <v>0</v>
      </c>
      <c r="G460" s="90">
        <v>64218.85</v>
      </c>
      <c r="H460" s="90" t="s">
        <v>1555</v>
      </c>
      <c r="I460" s="90"/>
      <c r="J460" s="90" t="s">
        <v>975</v>
      </c>
      <c r="K460" s="90" t="s">
        <v>91</v>
      </c>
      <c r="L460" s="39">
        <v>0.55000000000000004</v>
      </c>
      <c r="M460" s="90" t="s">
        <v>46</v>
      </c>
    </row>
    <row r="461" spans="1:13" x14ac:dyDescent="0.3">
      <c r="A461" s="89">
        <v>46088</v>
      </c>
      <c r="B461" s="90" t="s">
        <v>1604</v>
      </c>
      <c r="C461" s="90" t="s">
        <v>1005</v>
      </c>
      <c r="D461" s="89">
        <v>46088</v>
      </c>
      <c r="E461" s="90">
        <v>30</v>
      </c>
      <c r="F461" s="90">
        <v>0</v>
      </c>
      <c r="G461" s="90">
        <v>64188.85</v>
      </c>
      <c r="H461" s="90" t="s">
        <v>1605</v>
      </c>
      <c r="I461" s="90"/>
      <c r="J461" s="90" t="s">
        <v>975</v>
      </c>
      <c r="K461" s="90" t="s">
        <v>91</v>
      </c>
      <c r="L461" s="39">
        <v>0.55000000000000004</v>
      </c>
      <c r="M461" s="90" t="s">
        <v>46</v>
      </c>
    </row>
    <row r="462" spans="1:13" x14ac:dyDescent="0.3">
      <c r="A462" s="85">
        <v>46090</v>
      </c>
      <c r="B462" s="86" t="s">
        <v>1606</v>
      </c>
      <c r="C462" s="86" t="s">
        <v>1005</v>
      </c>
      <c r="D462" s="85">
        <v>46090</v>
      </c>
      <c r="E462" s="86">
        <v>10000</v>
      </c>
      <c r="F462" s="86">
        <v>0</v>
      </c>
      <c r="G462" s="86">
        <v>54188.85</v>
      </c>
      <c r="H462" s="86"/>
      <c r="I462" s="86"/>
      <c r="J462" s="86" t="s">
        <v>974</v>
      </c>
      <c r="K462" s="86" t="s">
        <v>1019</v>
      </c>
      <c r="L462" s="24">
        <v>0.9</v>
      </c>
      <c r="M462" s="86" t="s">
        <v>46</v>
      </c>
    </row>
    <row r="463" spans="1:13" x14ac:dyDescent="0.3">
      <c r="A463" s="89">
        <v>46091</v>
      </c>
      <c r="B463" s="90" t="s">
        <v>1607</v>
      </c>
      <c r="C463" s="90" t="s">
        <v>1005</v>
      </c>
      <c r="D463" s="89">
        <v>46091</v>
      </c>
      <c r="E463" s="90">
        <v>110</v>
      </c>
      <c r="F463" s="90">
        <v>0</v>
      </c>
      <c r="G463" s="90">
        <v>54078.85</v>
      </c>
      <c r="H463" s="90" t="s">
        <v>1551</v>
      </c>
      <c r="I463" s="90"/>
      <c r="J463" s="90" t="s">
        <v>975</v>
      </c>
      <c r="K463" s="90" t="s">
        <v>91</v>
      </c>
      <c r="L463" s="39">
        <v>0.55000000000000004</v>
      </c>
      <c r="M463" s="90" t="s">
        <v>46</v>
      </c>
    </row>
    <row r="464" spans="1:13" x14ac:dyDescent="0.3">
      <c r="A464" s="89">
        <v>46091</v>
      </c>
      <c r="B464" s="90" t="s">
        <v>1608</v>
      </c>
      <c r="C464" s="90" t="s">
        <v>1005</v>
      </c>
      <c r="D464" s="89">
        <v>46091</v>
      </c>
      <c r="E464" s="90">
        <v>35</v>
      </c>
      <c r="F464" s="90">
        <v>0</v>
      </c>
      <c r="G464" s="90">
        <v>54043.85</v>
      </c>
      <c r="H464" s="90" t="s">
        <v>1609</v>
      </c>
      <c r="I464" s="90"/>
      <c r="J464" s="90" t="s">
        <v>975</v>
      </c>
      <c r="K464" s="90" t="s">
        <v>91</v>
      </c>
      <c r="L464" s="39">
        <v>0.55000000000000004</v>
      </c>
      <c r="M464" s="90" t="s">
        <v>46</v>
      </c>
    </row>
    <row r="465" spans="1:13" x14ac:dyDescent="0.3">
      <c r="A465" s="89">
        <v>46091</v>
      </c>
      <c r="B465" s="90" t="s">
        <v>1610</v>
      </c>
      <c r="C465" s="90" t="s">
        <v>1005</v>
      </c>
      <c r="D465" s="89">
        <v>46091</v>
      </c>
      <c r="E465" s="90">
        <v>50</v>
      </c>
      <c r="F465" s="90">
        <v>0</v>
      </c>
      <c r="G465" s="90">
        <v>53993.85</v>
      </c>
      <c r="H465" s="90" t="s">
        <v>1611</v>
      </c>
      <c r="I465" s="90"/>
      <c r="J465" s="90" t="s">
        <v>975</v>
      </c>
      <c r="K465" s="90" t="s">
        <v>91</v>
      </c>
      <c r="L465" s="39">
        <v>0.55000000000000004</v>
      </c>
      <c r="M465" s="90" t="s">
        <v>46</v>
      </c>
    </row>
    <row r="466" spans="1:13" x14ac:dyDescent="0.3">
      <c r="A466" s="89">
        <v>46091</v>
      </c>
      <c r="B466" s="90" t="s">
        <v>1612</v>
      </c>
      <c r="C466" s="90" t="s">
        <v>1005</v>
      </c>
      <c r="D466" s="89">
        <v>46091</v>
      </c>
      <c r="E466" s="90">
        <v>27</v>
      </c>
      <c r="F466" s="90">
        <v>0</v>
      </c>
      <c r="G466" s="90">
        <v>53966.85</v>
      </c>
      <c r="H466" s="90" t="s">
        <v>1613</v>
      </c>
      <c r="I466" s="90"/>
      <c r="J466" s="90" t="s">
        <v>975</v>
      </c>
      <c r="K466" s="90" t="s">
        <v>91</v>
      </c>
      <c r="L466" s="39">
        <v>0.55000000000000004</v>
      </c>
      <c r="M466" s="90" t="s">
        <v>46</v>
      </c>
    </row>
    <row r="467" spans="1:13" x14ac:dyDescent="0.3">
      <c r="A467" s="89">
        <v>46091</v>
      </c>
      <c r="B467" s="90" t="s">
        <v>1614</v>
      </c>
      <c r="C467" s="90" t="s">
        <v>1005</v>
      </c>
      <c r="D467" s="89">
        <v>46091</v>
      </c>
      <c r="E467" s="90">
        <v>20</v>
      </c>
      <c r="F467" s="90">
        <v>0</v>
      </c>
      <c r="G467" s="90">
        <v>53946.85</v>
      </c>
      <c r="H467" s="90" t="s">
        <v>1555</v>
      </c>
      <c r="I467" s="90"/>
      <c r="J467" s="90" t="s">
        <v>975</v>
      </c>
      <c r="K467" s="90" t="s">
        <v>91</v>
      </c>
      <c r="L467" s="39">
        <v>0.55000000000000004</v>
      </c>
      <c r="M467" s="90" t="s">
        <v>46</v>
      </c>
    </row>
    <row r="468" spans="1:13" x14ac:dyDescent="0.3">
      <c r="A468" s="117">
        <v>46094</v>
      </c>
      <c r="B468" s="118" t="s">
        <v>1615</v>
      </c>
      <c r="C468" s="118" t="s">
        <v>1005</v>
      </c>
      <c r="D468" s="117">
        <v>46094</v>
      </c>
      <c r="E468" s="118">
        <v>15409</v>
      </c>
      <c r="F468" s="118">
        <v>0</v>
      </c>
      <c r="G468" s="118">
        <v>38537.85</v>
      </c>
      <c r="H468" s="118"/>
      <c r="I468" s="118"/>
      <c r="J468" s="118" t="s">
        <v>1002</v>
      </c>
      <c r="K468" s="118" t="s">
        <v>112</v>
      </c>
      <c r="L468" s="40">
        <v>0.68</v>
      </c>
      <c r="M468" s="118" t="s">
        <v>46</v>
      </c>
    </row>
    <row r="469" spans="1:13" x14ac:dyDescent="0.3">
      <c r="A469" s="89">
        <v>46094</v>
      </c>
      <c r="B469" s="90" t="s">
        <v>1616</v>
      </c>
      <c r="C469" s="90" t="s">
        <v>1005</v>
      </c>
      <c r="D469" s="89">
        <v>46094</v>
      </c>
      <c r="E469" s="90">
        <v>30</v>
      </c>
      <c r="F469" s="90">
        <v>0</v>
      </c>
      <c r="G469" s="90">
        <v>38507.85</v>
      </c>
      <c r="H469" s="90" t="s">
        <v>1605</v>
      </c>
      <c r="I469" s="90"/>
      <c r="J469" s="90" t="s">
        <v>975</v>
      </c>
      <c r="K469" s="90" t="s">
        <v>91</v>
      </c>
      <c r="L469" s="39">
        <v>0.55000000000000004</v>
      </c>
      <c r="M469" s="90" t="s">
        <v>46</v>
      </c>
    </row>
    <row r="470" spans="1:13" x14ac:dyDescent="0.3">
      <c r="A470" s="57">
        <v>46094</v>
      </c>
      <c r="B470" s="58" t="s">
        <v>1617</v>
      </c>
      <c r="C470" s="58" t="s">
        <v>1005</v>
      </c>
      <c r="D470" s="57">
        <v>46094</v>
      </c>
      <c r="E470" s="58">
        <v>22000</v>
      </c>
      <c r="F470" s="58">
        <v>0</v>
      </c>
      <c r="G470" s="58">
        <v>16507.849999999999</v>
      </c>
      <c r="H470" s="58"/>
      <c r="I470" s="58"/>
      <c r="J470" s="58" t="s">
        <v>995</v>
      </c>
      <c r="K470" s="58" t="s">
        <v>1363</v>
      </c>
      <c r="L470" s="24">
        <v>0.85</v>
      </c>
      <c r="M470" s="58" t="s">
        <v>46</v>
      </c>
    </row>
    <row r="471" spans="1:13" x14ac:dyDescent="0.3">
      <c r="A471" s="89">
        <v>46101</v>
      </c>
      <c r="B471" s="90" t="s">
        <v>1618</v>
      </c>
      <c r="C471" s="90" t="s">
        <v>1005</v>
      </c>
      <c r="D471" s="89">
        <v>46101</v>
      </c>
      <c r="E471" s="90">
        <v>500</v>
      </c>
      <c r="F471" s="90">
        <v>0</v>
      </c>
      <c r="G471" s="90">
        <v>16007.85</v>
      </c>
      <c r="H471" s="90" t="s">
        <v>1173</v>
      </c>
      <c r="I471" s="90"/>
      <c r="J471" s="90" t="s">
        <v>975</v>
      </c>
      <c r="K471" s="90" t="s">
        <v>91</v>
      </c>
      <c r="L471" s="39">
        <v>0.55000000000000004</v>
      </c>
      <c r="M471" s="90" t="s">
        <v>46</v>
      </c>
    </row>
    <row r="472" spans="1:13" x14ac:dyDescent="0.3">
      <c r="A472" s="89">
        <v>46101</v>
      </c>
      <c r="B472" s="90" t="s">
        <v>1619</v>
      </c>
      <c r="C472" s="90" t="s">
        <v>1005</v>
      </c>
      <c r="D472" s="89">
        <v>46101</v>
      </c>
      <c r="E472" s="90">
        <v>100</v>
      </c>
      <c r="F472" s="90">
        <v>0</v>
      </c>
      <c r="G472" s="90">
        <v>15907.85</v>
      </c>
      <c r="H472" s="90" t="s">
        <v>1433</v>
      </c>
      <c r="I472" s="90"/>
      <c r="J472" s="90" t="s">
        <v>975</v>
      </c>
      <c r="K472" s="90" t="s">
        <v>91</v>
      </c>
      <c r="L472" s="39">
        <v>0.55000000000000004</v>
      </c>
      <c r="M472" s="90" t="s">
        <v>46</v>
      </c>
    </row>
    <row r="473" spans="1:13" x14ac:dyDescent="0.3">
      <c r="A473" s="89">
        <v>46101</v>
      </c>
      <c r="B473" s="90" t="s">
        <v>1620</v>
      </c>
      <c r="C473" s="90" t="s">
        <v>1005</v>
      </c>
      <c r="D473" s="89">
        <v>46101</v>
      </c>
      <c r="E473" s="90">
        <v>20</v>
      </c>
      <c r="F473" s="90">
        <v>0</v>
      </c>
      <c r="G473" s="90">
        <v>15887.85</v>
      </c>
      <c r="H473" s="90" t="s">
        <v>1555</v>
      </c>
      <c r="I473" s="90"/>
      <c r="J473" s="90" t="s">
        <v>975</v>
      </c>
      <c r="K473" s="90" t="s">
        <v>91</v>
      </c>
      <c r="L473" s="39">
        <v>0.55000000000000004</v>
      </c>
      <c r="M473" s="90" t="s">
        <v>46</v>
      </c>
    </row>
    <row r="474" spans="1:13" x14ac:dyDescent="0.3">
      <c r="A474" s="89">
        <v>46101</v>
      </c>
      <c r="B474" s="90" t="s">
        <v>1621</v>
      </c>
      <c r="C474" s="90" t="s">
        <v>1005</v>
      </c>
      <c r="D474" s="89">
        <v>46101</v>
      </c>
      <c r="E474" s="90">
        <v>27</v>
      </c>
      <c r="F474" s="90">
        <v>0</v>
      </c>
      <c r="G474" s="90">
        <v>15860.85</v>
      </c>
      <c r="H474" s="90" t="s">
        <v>1622</v>
      </c>
      <c r="I474" s="90"/>
      <c r="J474" s="90" t="s">
        <v>975</v>
      </c>
      <c r="K474" s="90" t="s">
        <v>91</v>
      </c>
      <c r="L474" s="39">
        <v>0.55000000000000004</v>
      </c>
      <c r="M474" s="90" t="s">
        <v>46</v>
      </c>
    </row>
    <row r="475" spans="1:13" x14ac:dyDescent="0.3">
      <c r="A475" s="101">
        <v>46103</v>
      </c>
      <c r="B475" s="102" t="s">
        <v>1623</v>
      </c>
      <c r="C475" s="102" t="s">
        <v>1005</v>
      </c>
      <c r="D475" s="101">
        <v>46103</v>
      </c>
      <c r="E475" s="102">
        <v>1001</v>
      </c>
      <c r="F475" s="102">
        <v>0</v>
      </c>
      <c r="G475" s="102">
        <v>14859.85</v>
      </c>
      <c r="H475" s="102"/>
      <c r="I475" s="102"/>
      <c r="J475" s="102" t="s">
        <v>976</v>
      </c>
      <c r="K475" s="102" t="s">
        <v>1028</v>
      </c>
      <c r="L475" s="24">
        <v>0.85</v>
      </c>
      <c r="M475" s="102" t="s">
        <v>46</v>
      </c>
    </row>
    <row r="476" spans="1:13" x14ac:dyDescent="0.3">
      <c r="A476" s="101">
        <v>46104</v>
      </c>
      <c r="B476" s="102" t="s">
        <v>1624</v>
      </c>
      <c r="C476" s="102" t="s">
        <v>1005</v>
      </c>
      <c r="D476" s="101">
        <v>46104</v>
      </c>
      <c r="E476" s="102">
        <v>1000</v>
      </c>
      <c r="F476" s="102">
        <v>0</v>
      </c>
      <c r="G476" s="102">
        <v>13859.85</v>
      </c>
      <c r="H476" s="102"/>
      <c r="I476" s="102"/>
      <c r="J476" s="102" t="s">
        <v>976</v>
      </c>
      <c r="K476" s="102" t="s">
        <v>1028</v>
      </c>
      <c r="L476" s="24">
        <v>0.85</v>
      </c>
      <c r="M476" s="102" t="s">
        <v>46</v>
      </c>
    </row>
    <row r="477" spans="1:13" x14ac:dyDescent="0.3">
      <c r="A477" s="97">
        <v>46104</v>
      </c>
      <c r="B477" s="98" t="s">
        <v>1625</v>
      </c>
      <c r="C477" s="98" t="s">
        <v>1005</v>
      </c>
      <c r="D477" s="97">
        <v>46104</v>
      </c>
      <c r="E477" s="98">
        <v>0</v>
      </c>
      <c r="F477" s="98">
        <v>1000</v>
      </c>
      <c r="G477" s="98">
        <v>14859.85</v>
      </c>
      <c r="H477" s="98"/>
      <c r="I477" s="98"/>
      <c r="J477" s="98" t="s">
        <v>977</v>
      </c>
      <c r="K477" s="98" t="s">
        <v>1031</v>
      </c>
      <c r="L477" s="24">
        <v>0.85</v>
      </c>
      <c r="M477" s="98" t="s">
        <v>46</v>
      </c>
    </row>
    <row r="478" spans="1:13" x14ac:dyDescent="0.3">
      <c r="A478" s="101">
        <v>46105</v>
      </c>
      <c r="B478" s="102" t="s">
        <v>1626</v>
      </c>
      <c r="C478" s="102" t="s">
        <v>1005</v>
      </c>
      <c r="D478" s="101">
        <v>46105</v>
      </c>
      <c r="E478" s="102">
        <v>1000</v>
      </c>
      <c r="F478" s="102">
        <v>0</v>
      </c>
      <c r="G478" s="102">
        <v>13859.85</v>
      </c>
      <c r="H478" s="102"/>
      <c r="I478" s="102"/>
      <c r="J478" s="102" t="s">
        <v>976</v>
      </c>
      <c r="K478" s="102" t="s">
        <v>1028</v>
      </c>
      <c r="L478" s="24">
        <v>0.85</v>
      </c>
      <c r="M478" s="102" t="s">
        <v>46</v>
      </c>
    </row>
    <row r="479" spans="1:13" x14ac:dyDescent="0.3">
      <c r="A479" s="89">
        <v>46105</v>
      </c>
      <c r="B479" s="90" t="s">
        <v>1627</v>
      </c>
      <c r="C479" s="90" t="s">
        <v>1005</v>
      </c>
      <c r="D479" s="89">
        <v>46105</v>
      </c>
      <c r="E479" s="90">
        <v>70</v>
      </c>
      <c r="F479" s="90">
        <v>0</v>
      </c>
      <c r="G479" s="90">
        <v>13789.85</v>
      </c>
      <c r="H479" s="90" t="s">
        <v>1092</v>
      </c>
      <c r="I479" s="90"/>
      <c r="J479" s="90" t="s">
        <v>975</v>
      </c>
      <c r="K479" s="90" t="s">
        <v>91</v>
      </c>
      <c r="L479" s="39">
        <v>0.55000000000000004</v>
      </c>
      <c r="M479" s="90" t="s">
        <v>46</v>
      </c>
    </row>
    <row r="480" spans="1:13" x14ac:dyDescent="0.3">
      <c r="A480" s="101">
        <v>46106</v>
      </c>
      <c r="B480" s="102" t="s">
        <v>1628</v>
      </c>
      <c r="C480" s="102" t="s">
        <v>1005</v>
      </c>
      <c r="D480" s="101">
        <v>46106</v>
      </c>
      <c r="E480" s="102">
        <v>1000</v>
      </c>
      <c r="F480" s="102">
        <v>0</v>
      </c>
      <c r="G480" s="102">
        <v>12789.85</v>
      </c>
      <c r="H480" s="102"/>
      <c r="I480" s="102"/>
      <c r="J480" s="102" t="s">
        <v>976</v>
      </c>
      <c r="K480" s="102" t="s">
        <v>1028</v>
      </c>
      <c r="L480" s="24">
        <v>0.85</v>
      </c>
      <c r="M480" s="102" t="s">
        <v>46</v>
      </c>
    </row>
    <row r="481" spans="1:13" x14ac:dyDescent="0.3">
      <c r="A481" s="89">
        <v>46106</v>
      </c>
      <c r="B481" s="90" t="s">
        <v>1629</v>
      </c>
      <c r="C481" s="90" t="s">
        <v>1005</v>
      </c>
      <c r="D481" s="89">
        <v>46106</v>
      </c>
      <c r="E481" s="90">
        <v>30</v>
      </c>
      <c r="F481" s="90">
        <v>0</v>
      </c>
      <c r="G481" s="90">
        <v>12759.85</v>
      </c>
      <c r="H481" s="90" t="s">
        <v>1605</v>
      </c>
      <c r="I481" s="90"/>
      <c r="J481" s="90" t="s">
        <v>975</v>
      </c>
      <c r="K481" s="90" t="s">
        <v>91</v>
      </c>
      <c r="L481" s="39">
        <v>0.55000000000000004</v>
      </c>
      <c r="M481" s="90" t="s">
        <v>46</v>
      </c>
    </row>
    <row r="482" spans="1:13" x14ac:dyDescent="0.3">
      <c r="A482" s="89">
        <v>46106</v>
      </c>
      <c r="B482" s="90" t="s">
        <v>1630</v>
      </c>
      <c r="C482" s="90" t="s">
        <v>1005</v>
      </c>
      <c r="D482" s="89">
        <v>46106</v>
      </c>
      <c r="E482" s="90">
        <v>10</v>
      </c>
      <c r="F482" s="90">
        <v>0</v>
      </c>
      <c r="G482" s="90">
        <v>12749.85</v>
      </c>
      <c r="H482" s="90" t="s">
        <v>1451</v>
      </c>
      <c r="I482" s="90"/>
      <c r="J482" s="90" t="s">
        <v>975</v>
      </c>
      <c r="K482" s="90" t="s">
        <v>91</v>
      </c>
      <c r="L482" s="39">
        <v>0.55000000000000004</v>
      </c>
      <c r="M482" s="90" t="s">
        <v>46</v>
      </c>
    </row>
    <row r="483" spans="1:13" x14ac:dyDescent="0.3">
      <c r="A483" s="101">
        <v>46107</v>
      </c>
      <c r="B483" s="102" t="s">
        <v>1631</v>
      </c>
      <c r="C483" s="102" t="s">
        <v>1005</v>
      </c>
      <c r="D483" s="101">
        <v>46107</v>
      </c>
      <c r="E483" s="102">
        <v>1000</v>
      </c>
      <c r="F483" s="102">
        <v>0</v>
      </c>
      <c r="G483" s="102">
        <v>11749.85</v>
      </c>
      <c r="H483" s="102"/>
      <c r="I483" s="102"/>
      <c r="J483" s="102" t="s">
        <v>976</v>
      </c>
      <c r="K483" s="102" t="s">
        <v>1028</v>
      </c>
      <c r="L483" s="24">
        <v>0.85</v>
      </c>
      <c r="M483" s="102" t="s">
        <v>46</v>
      </c>
    </row>
    <row r="484" spans="1:13" x14ac:dyDescent="0.3">
      <c r="A484" s="101">
        <v>46108</v>
      </c>
      <c r="B484" s="102" t="s">
        <v>1632</v>
      </c>
      <c r="C484" s="102" t="s">
        <v>1005</v>
      </c>
      <c r="D484" s="101">
        <v>46108</v>
      </c>
      <c r="E484" s="102">
        <v>1000</v>
      </c>
      <c r="F484" s="102">
        <v>0</v>
      </c>
      <c r="G484" s="102">
        <v>10749.85</v>
      </c>
      <c r="H484" s="102"/>
      <c r="I484" s="102"/>
      <c r="J484" s="102" t="s">
        <v>976</v>
      </c>
      <c r="K484" s="102" t="s">
        <v>1028</v>
      </c>
      <c r="L484" s="24">
        <v>0.85</v>
      </c>
      <c r="M484" s="102" t="s">
        <v>46</v>
      </c>
    </row>
    <row r="485" spans="1:13" x14ac:dyDescent="0.3">
      <c r="A485" s="89">
        <v>46108</v>
      </c>
      <c r="B485" s="90" t="s">
        <v>1633</v>
      </c>
      <c r="C485" s="90" t="s">
        <v>1005</v>
      </c>
      <c r="D485" s="89">
        <v>46108</v>
      </c>
      <c r="E485" s="90">
        <v>178.5</v>
      </c>
      <c r="F485" s="90">
        <v>0</v>
      </c>
      <c r="G485" s="90">
        <v>10571.35</v>
      </c>
      <c r="H485" s="90" t="s">
        <v>1634</v>
      </c>
      <c r="I485" s="90"/>
      <c r="J485" s="90" t="s">
        <v>975</v>
      </c>
      <c r="K485" s="90" t="s">
        <v>91</v>
      </c>
      <c r="L485" s="39">
        <v>0.55000000000000004</v>
      </c>
      <c r="M485" s="90" t="s">
        <v>46</v>
      </c>
    </row>
    <row r="486" spans="1:13" x14ac:dyDescent="0.3">
      <c r="A486" s="89">
        <v>46108</v>
      </c>
      <c r="B486" s="90" t="s">
        <v>1635</v>
      </c>
      <c r="C486" s="90" t="s">
        <v>1005</v>
      </c>
      <c r="D486" s="89">
        <v>46108</v>
      </c>
      <c r="E486" s="90">
        <v>90</v>
      </c>
      <c r="F486" s="90">
        <v>0</v>
      </c>
      <c r="G486" s="90">
        <v>10481.35</v>
      </c>
      <c r="H486" s="90" t="s">
        <v>1433</v>
      </c>
      <c r="I486" s="90"/>
      <c r="J486" s="90" t="s">
        <v>975</v>
      </c>
      <c r="K486" s="90" t="s">
        <v>91</v>
      </c>
      <c r="L486" s="39">
        <v>0.55000000000000004</v>
      </c>
      <c r="M486" s="90" t="s">
        <v>46</v>
      </c>
    </row>
    <row r="487" spans="1:13" x14ac:dyDescent="0.3">
      <c r="A487" s="101">
        <v>46109</v>
      </c>
      <c r="B487" s="102" t="s">
        <v>1636</v>
      </c>
      <c r="C487" s="102" t="s">
        <v>1005</v>
      </c>
      <c r="D487" s="101">
        <v>46109</v>
      </c>
      <c r="E487" s="102">
        <v>1000</v>
      </c>
      <c r="F487" s="102">
        <v>0</v>
      </c>
      <c r="G487" s="102">
        <v>9481.35</v>
      </c>
      <c r="H487" s="102"/>
      <c r="I487" s="102"/>
      <c r="J487" s="102" t="s">
        <v>976</v>
      </c>
      <c r="K487" s="102" t="s">
        <v>1028</v>
      </c>
      <c r="L487" s="24">
        <v>0.85</v>
      </c>
      <c r="M487" s="102" t="s">
        <v>46</v>
      </c>
    </row>
    <row r="488" spans="1:13" x14ac:dyDescent="0.3">
      <c r="A488" s="89">
        <v>46109</v>
      </c>
      <c r="B488" s="90" t="s">
        <v>1637</v>
      </c>
      <c r="C488" s="90" t="s">
        <v>1005</v>
      </c>
      <c r="D488" s="89">
        <v>46109</v>
      </c>
      <c r="E488" s="90">
        <v>61</v>
      </c>
      <c r="F488" s="90">
        <v>0</v>
      </c>
      <c r="G488" s="90">
        <v>9420.35</v>
      </c>
      <c r="H488" s="90" t="s">
        <v>1638</v>
      </c>
      <c r="I488" s="90"/>
      <c r="J488" s="90" t="s">
        <v>975</v>
      </c>
      <c r="K488" s="90" t="s">
        <v>91</v>
      </c>
      <c r="L488" s="39">
        <v>0.55000000000000004</v>
      </c>
      <c r="M488" s="90" t="s">
        <v>46</v>
      </c>
    </row>
    <row r="489" spans="1:13" x14ac:dyDescent="0.3">
      <c r="A489" s="101">
        <v>46109</v>
      </c>
      <c r="B489" s="102" t="s">
        <v>1639</v>
      </c>
      <c r="C489" s="102" t="s">
        <v>1005</v>
      </c>
      <c r="D489" s="101">
        <v>46109</v>
      </c>
      <c r="E489" s="102">
        <v>1647.78</v>
      </c>
      <c r="F489" s="102">
        <v>0</v>
      </c>
      <c r="G489" s="102">
        <v>7772.57</v>
      </c>
      <c r="H489" s="102"/>
      <c r="I489" s="102"/>
      <c r="J489" s="102" t="s">
        <v>976</v>
      </c>
      <c r="K489" s="102" t="s">
        <v>1028</v>
      </c>
      <c r="L489" s="24">
        <v>0.85</v>
      </c>
      <c r="M489" s="102" t="s">
        <v>46</v>
      </c>
    </row>
    <row r="490" spans="1:13" x14ac:dyDescent="0.3">
      <c r="A490" s="89">
        <v>46109</v>
      </c>
      <c r="B490" s="90" t="s">
        <v>1640</v>
      </c>
      <c r="C490" s="90" t="s">
        <v>1005</v>
      </c>
      <c r="D490" s="89">
        <v>46109</v>
      </c>
      <c r="E490" s="90">
        <v>60</v>
      </c>
      <c r="F490" s="90">
        <v>0</v>
      </c>
      <c r="G490" s="90">
        <v>7712.57</v>
      </c>
      <c r="H490" s="90" t="s">
        <v>1641</v>
      </c>
      <c r="I490" s="90"/>
      <c r="J490" s="90" t="s">
        <v>975</v>
      </c>
      <c r="K490" s="90" t="s">
        <v>91</v>
      </c>
      <c r="L490" s="39">
        <v>0.55000000000000004</v>
      </c>
      <c r="M490" s="90" t="s">
        <v>46</v>
      </c>
    </row>
    <row r="491" spans="1:13" x14ac:dyDescent="0.3">
      <c r="A491" s="89">
        <v>46109</v>
      </c>
      <c r="B491" s="90" t="s">
        <v>1642</v>
      </c>
      <c r="C491" s="90" t="s">
        <v>1005</v>
      </c>
      <c r="D491" s="89">
        <v>46109</v>
      </c>
      <c r="E491" s="90">
        <v>30</v>
      </c>
      <c r="F491" s="90">
        <v>0</v>
      </c>
      <c r="G491" s="90">
        <v>7682.57</v>
      </c>
      <c r="H491" s="90" t="s">
        <v>1643</v>
      </c>
      <c r="I491" s="90"/>
      <c r="J491" s="90" t="s">
        <v>975</v>
      </c>
      <c r="K491" s="90" t="s">
        <v>91</v>
      </c>
      <c r="L491" s="39">
        <v>0.55000000000000004</v>
      </c>
      <c r="M491" s="90" t="s">
        <v>46</v>
      </c>
    </row>
    <row r="492" spans="1:13" x14ac:dyDescent="0.3">
      <c r="A492" s="89">
        <v>46109</v>
      </c>
      <c r="B492" s="90" t="s">
        <v>1644</v>
      </c>
      <c r="C492" s="90" t="s">
        <v>1005</v>
      </c>
      <c r="D492" s="89">
        <v>46109</v>
      </c>
      <c r="E492" s="90">
        <v>50</v>
      </c>
      <c r="F492" s="90">
        <v>0</v>
      </c>
      <c r="G492" s="90">
        <v>7632.57</v>
      </c>
      <c r="H492" s="90" t="s">
        <v>1645</v>
      </c>
      <c r="I492" s="90"/>
      <c r="J492" s="90" t="s">
        <v>975</v>
      </c>
      <c r="K492" s="90" t="s">
        <v>91</v>
      </c>
      <c r="L492" s="39">
        <v>0.55000000000000004</v>
      </c>
      <c r="M492" s="90" t="s">
        <v>46</v>
      </c>
    </row>
    <row r="493" spans="1:13" x14ac:dyDescent="0.3">
      <c r="A493" s="119">
        <v>46109</v>
      </c>
      <c r="B493" s="120" t="s">
        <v>1646</v>
      </c>
      <c r="C493" s="120" t="s">
        <v>1005</v>
      </c>
      <c r="D493" s="119">
        <v>46109</v>
      </c>
      <c r="E493" s="120">
        <v>50</v>
      </c>
      <c r="F493" s="120">
        <v>0</v>
      </c>
      <c r="G493" s="120">
        <v>7582.57</v>
      </c>
      <c r="H493" s="120"/>
      <c r="I493" s="120"/>
      <c r="J493" s="120" t="s">
        <v>1003</v>
      </c>
      <c r="K493" s="120" t="s">
        <v>91</v>
      </c>
      <c r="L493" s="40">
        <v>0.65</v>
      </c>
      <c r="M493" s="120" t="s">
        <v>46</v>
      </c>
    </row>
    <row r="494" spans="1:13" x14ac:dyDescent="0.3">
      <c r="A494" s="89">
        <v>46110</v>
      </c>
      <c r="B494" s="90" t="s">
        <v>1647</v>
      </c>
      <c r="C494" s="90" t="s">
        <v>1005</v>
      </c>
      <c r="D494" s="89">
        <v>46110</v>
      </c>
      <c r="E494" s="90">
        <v>40</v>
      </c>
      <c r="F494" s="90">
        <v>0</v>
      </c>
      <c r="G494" s="90">
        <v>7542.57</v>
      </c>
      <c r="H494" s="90" t="s">
        <v>1648</v>
      </c>
      <c r="I494" s="90"/>
      <c r="J494" s="90" t="s">
        <v>975</v>
      </c>
      <c r="K494" s="90" t="s">
        <v>91</v>
      </c>
      <c r="L494" s="39">
        <v>0.55000000000000004</v>
      </c>
      <c r="M494" s="90" t="s">
        <v>46</v>
      </c>
    </row>
    <row r="495" spans="1:13" x14ac:dyDescent="0.3">
      <c r="A495" s="89">
        <v>46110</v>
      </c>
      <c r="B495" s="90" t="s">
        <v>1649</v>
      </c>
      <c r="C495" s="90" t="s">
        <v>1005</v>
      </c>
      <c r="D495" s="89">
        <v>46110</v>
      </c>
      <c r="E495" s="90">
        <v>15</v>
      </c>
      <c r="F495" s="90">
        <v>0</v>
      </c>
      <c r="G495" s="90">
        <v>7527.57</v>
      </c>
      <c r="H495" s="90" t="s">
        <v>1650</v>
      </c>
      <c r="I495" s="90"/>
      <c r="J495" s="90" t="s">
        <v>975</v>
      </c>
      <c r="K495" s="90" t="s">
        <v>91</v>
      </c>
      <c r="L495" s="39">
        <v>0.55000000000000004</v>
      </c>
      <c r="M495" s="90" t="s">
        <v>46</v>
      </c>
    </row>
    <row r="496" spans="1:13" x14ac:dyDescent="0.3">
      <c r="A496" s="89">
        <v>46111</v>
      </c>
      <c r="B496" s="90" t="s">
        <v>1651</v>
      </c>
      <c r="C496" s="90" t="s">
        <v>1005</v>
      </c>
      <c r="D496" s="89">
        <v>46111</v>
      </c>
      <c r="E496" s="90">
        <v>150</v>
      </c>
      <c r="F496" s="90">
        <v>0</v>
      </c>
      <c r="G496" s="90">
        <v>7377.57</v>
      </c>
      <c r="H496" s="90" t="s">
        <v>1652</v>
      </c>
      <c r="I496" s="90"/>
      <c r="J496" s="90" t="s">
        <v>975</v>
      </c>
      <c r="K496" s="90" t="s">
        <v>91</v>
      </c>
      <c r="L496" s="39">
        <v>0.55000000000000004</v>
      </c>
      <c r="M496" s="90" t="s">
        <v>46</v>
      </c>
    </row>
    <row r="497" spans="1:13" x14ac:dyDescent="0.3">
      <c r="A497" s="97">
        <v>46112</v>
      </c>
      <c r="B497" s="98" t="s">
        <v>1653</v>
      </c>
      <c r="C497" s="98" t="s">
        <v>1005</v>
      </c>
      <c r="D497" s="97">
        <v>46112</v>
      </c>
      <c r="E497" s="98">
        <v>2000</v>
      </c>
      <c r="F497" s="98">
        <v>0</v>
      </c>
      <c r="G497" s="98">
        <v>5377.57</v>
      </c>
      <c r="H497" s="98"/>
      <c r="I497" s="98"/>
      <c r="J497" s="98" t="s">
        <v>978</v>
      </c>
      <c r="K497" s="98" t="s">
        <v>1031</v>
      </c>
      <c r="L497" s="24">
        <v>0.85</v>
      </c>
      <c r="M497" s="98" t="s">
        <v>46</v>
      </c>
    </row>
    <row r="498" spans="1:13" x14ac:dyDescent="0.3">
      <c r="A498" s="55">
        <v>46112</v>
      </c>
      <c r="B498" s="56" t="s">
        <v>1654</v>
      </c>
      <c r="C498" s="56" t="s">
        <v>1005</v>
      </c>
      <c r="D498" s="55">
        <v>46112</v>
      </c>
      <c r="E498" s="56">
        <v>0</v>
      </c>
      <c r="F498" s="56">
        <v>195</v>
      </c>
      <c r="G498" s="56">
        <v>5572.57</v>
      </c>
      <c r="H498" s="56"/>
      <c r="I498" s="56"/>
      <c r="J498" s="56" t="s">
        <v>22</v>
      </c>
      <c r="K498" s="56" t="s">
        <v>22</v>
      </c>
      <c r="L498" s="24">
        <v>0.93</v>
      </c>
      <c r="M498" s="56" t="s">
        <v>46</v>
      </c>
    </row>
  </sheetData>
  <autoFilter ref="A12:M498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9"/>
  <sheetViews>
    <sheetView tabSelected="1" workbookViewId="0">
      <pane ySplit="10" topLeftCell="A11" activePane="bottomLeft" state="frozen"/>
      <selection pane="bottomLeft" activeCell="J14" sqref="J14"/>
    </sheetView>
  </sheetViews>
  <sheetFormatPr defaultRowHeight="14.4" x14ac:dyDescent="0.3"/>
  <cols>
    <col min="1" max="1" width="14" hidden="1" customWidth="1"/>
    <col min="2" max="2" width="60" customWidth="1"/>
    <col min="3" max="3" width="20" hidden="1" customWidth="1"/>
    <col min="4" max="4" width="14" hidden="1" customWidth="1"/>
    <col min="5" max="6" width="12" customWidth="1"/>
    <col min="7" max="7" width="13" hidden="1" customWidth="1"/>
    <col min="8" max="8" width="15" hidden="1" customWidth="1"/>
    <col min="9" max="9" width="19" hidden="1" customWidth="1"/>
    <col min="10" max="10" width="33" customWidth="1"/>
    <col min="11" max="11" width="22" customWidth="1"/>
    <col min="12" max="12" width="14" customWidth="1"/>
    <col min="13" max="13" width="9" customWidth="1"/>
  </cols>
  <sheetData>
    <row r="1" spans="1:13" ht="15.6" x14ac:dyDescent="0.3">
      <c r="B1" s="1" t="s">
        <v>0</v>
      </c>
    </row>
    <row r="2" spans="1:13" x14ac:dyDescent="0.3">
      <c r="B2" s="2" t="s">
        <v>1</v>
      </c>
    </row>
    <row r="3" spans="1:13" x14ac:dyDescent="0.3"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 spans="1:13" x14ac:dyDescent="0.3">
      <c r="B4" s="8" t="s">
        <v>7</v>
      </c>
      <c r="C4" s="4" t="s">
        <v>8</v>
      </c>
      <c r="D4" s="9" t="s">
        <v>9</v>
      </c>
      <c r="E4" s="10" t="s">
        <v>10</v>
      </c>
      <c r="F4" s="5" t="s">
        <v>11</v>
      </c>
    </row>
    <row r="5" spans="1:13" x14ac:dyDescent="0.3">
      <c r="B5" s="10" t="s">
        <v>12</v>
      </c>
      <c r="C5" s="11" t="s">
        <v>13</v>
      </c>
      <c r="D5" s="12" t="s">
        <v>14</v>
      </c>
      <c r="E5" s="13" t="s">
        <v>15</v>
      </c>
      <c r="F5" s="14" t="s">
        <v>16</v>
      </c>
    </row>
    <row r="6" spans="1:13" x14ac:dyDescent="0.3">
      <c r="B6" s="15" t="s">
        <v>17</v>
      </c>
      <c r="C6" s="16" t="s">
        <v>18</v>
      </c>
      <c r="D6" s="13" t="s">
        <v>19</v>
      </c>
      <c r="E6" s="16" t="s">
        <v>20</v>
      </c>
      <c r="F6" s="17" t="s">
        <v>21</v>
      </c>
    </row>
    <row r="7" spans="1:13" x14ac:dyDescent="0.3">
      <c r="B7" s="18" t="s">
        <v>22</v>
      </c>
      <c r="C7" s="4" t="s">
        <v>23</v>
      </c>
      <c r="D7" s="14" t="s">
        <v>24</v>
      </c>
      <c r="E7" s="19" t="s">
        <v>25</v>
      </c>
      <c r="F7" s="5" t="s">
        <v>26</v>
      </c>
    </row>
    <row r="8" spans="1:13" x14ac:dyDescent="0.3">
      <c r="B8" s="10" t="s">
        <v>27</v>
      </c>
      <c r="C8" s="10" t="s">
        <v>28</v>
      </c>
      <c r="D8" s="20" t="s">
        <v>29</v>
      </c>
      <c r="E8" s="5" t="s">
        <v>30</v>
      </c>
    </row>
    <row r="10" spans="1:13" x14ac:dyDescent="0.3">
      <c r="A10" s="21" t="s">
        <v>31</v>
      </c>
      <c r="B10" s="21" t="s">
        <v>32</v>
      </c>
      <c r="C10" s="21" t="s">
        <v>33</v>
      </c>
      <c r="D10" s="21" t="s">
        <v>34</v>
      </c>
      <c r="E10" s="21" t="s">
        <v>35</v>
      </c>
      <c r="F10" s="21" t="s">
        <v>36</v>
      </c>
      <c r="G10" s="21" t="s">
        <v>37</v>
      </c>
      <c r="H10" s="21" t="s">
        <v>38</v>
      </c>
      <c r="I10" s="21" t="s">
        <v>39</v>
      </c>
      <c r="J10" s="21" t="s">
        <v>40</v>
      </c>
      <c r="K10" s="21" t="s">
        <v>41</v>
      </c>
      <c r="L10" s="21" t="s">
        <v>42</v>
      </c>
      <c r="M10" s="21" t="s">
        <v>43</v>
      </c>
    </row>
    <row r="11" spans="1:13" x14ac:dyDescent="0.3">
      <c r="A11" s="22">
        <v>45748</v>
      </c>
      <c r="B11" s="23" t="s">
        <v>44</v>
      </c>
      <c r="C11" s="23" t="s">
        <v>45</v>
      </c>
      <c r="D11" s="22">
        <v>45748</v>
      </c>
      <c r="E11" s="23">
        <v>5000</v>
      </c>
      <c r="F11" s="23">
        <v>0</v>
      </c>
      <c r="G11" s="23">
        <v>24321.48</v>
      </c>
      <c r="H11" s="23"/>
      <c r="I11" s="23"/>
      <c r="J11" s="23" t="s">
        <v>2</v>
      </c>
      <c r="K11" s="23" t="s">
        <v>2</v>
      </c>
      <c r="L11" s="24">
        <v>0.95</v>
      </c>
      <c r="M11" s="23" t="s">
        <v>46</v>
      </c>
    </row>
    <row r="12" spans="1:13" x14ac:dyDescent="0.3">
      <c r="A12" s="25">
        <v>45749</v>
      </c>
      <c r="B12" s="26" t="s">
        <v>47</v>
      </c>
      <c r="C12" s="26" t="s">
        <v>48</v>
      </c>
      <c r="D12" s="25">
        <v>45749</v>
      </c>
      <c r="E12" s="26">
        <v>0</v>
      </c>
      <c r="F12" s="26">
        <v>5239.8500000000004</v>
      </c>
      <c r="G12" s="26">
        <v>29561.33</v>
      </c>
      <c r="H12" s="26"/>
      <c r="I12" s="26"/>
      <c r="J12" s="26" t="s">
        <v>3</v>
      </c>
      <c r="K12" s="26" t="s">
        <v>49</v>
      </c>
      <c r="L12" s="24">
        <v>0.93</v>
      </c>
      <c r="M12" s="26" t="s">
        <v>46</v>
      </c>
    </row>
    <row r="13" spans="1:13" x14ac:dyDescent="0.3">
      <c r="A13" s="27">
        <v>45749</v>
      </c>
      <c r="B13" s="28" t="s">
        <v>50</v>
      </c>
      <c r="C13" s="28" t="s">
        <v>51</v>
      </c>
      <c r="D13" s="27">
        <v>45749</v>
      </c>
      <c r="E13" s="28">
        <v>150.26</v>
      </c>
      <c r="F13" s="28">
        <v>0</v>
      </c>
      <c r="G13" s="28">
        <v>29411.07</v>
      </c>
      <c r="H13" s="28"/>
      <c r="I13" s="28"/>
      <c r="J13" s="28" t="s">
        <v>4</v>
      </c>
      <c r="K13" s="28" t="s">
        <v>49</v>
      </c>
      <c r="L13" s="24">
        <v>0.97</v>
      </c>
      <c r="M13" s="28" t="s">
        <v>46</v>
      </c>
    </row>
    <row r="14" spans="1:13" x14ac:dyDescent="0.3">
      <c r="A14" s="27">
        <v>45749</v>
      </c>
      <c r="B14" s="28" t="s">
        <v>50</v>
      </c>
      <c r="C14" s="28" t="s">
        <v>52</v>
      </c>
      <c r="D14" s="27">
        <v>45749</v>
      </c>
      <c r="E14" s="28">
        <v>9081.73</v>
      </c>
      <c r="F14" s="28">
        <v>0</v>
      </c>
      <c r="G14" s="28">
        <v>20329.34</v>
      </c>
      <c r="H14" s="28"/>
      <c r="I14" s="28"/>
      <c r="J14" s="28" t="s">
        <v>4</v>
      </c>
      <c r="K14" s="28" t="s">
        <v>49</v>
      </c>
      <c r="L14" s="24">
        <v>0.97</v>
      </c>
      <c r="M14" s="28" t="s">
        <v>46</v>
      </c>
    </row>
    <row r="15" spans="1:13" x14ac:dyDescent="0.3">
      <c r="A15" s="25">
        <v>45750</v>
      </c>
      <c r="B15" s="26" t="s">
        <v>53</v>
      </c>
      <c r="C15" s="26" t="s">
        <v>54</v>
      </c>
      <c r="D15" s="25">
        <v>45750</v>
      </c>
      <c r="E15" s="26">
        <v>0</v>
      </c>
      <c r="F15" s="26">
        <v>656.71</v>
      </c>
      <c r="G15" s="26">
        <v>20986.05</v>
      </c>
      <c r="H15" s="26"/>
      <c r="I15" s="26"/>
      <c r="J15" s="26" t="s">
        <v>3</v>
      </c>
      <c r="K15" s="26" t="s">
        <v>49</v>
      </c>
      <c r="L15" s="24">
        <v>0.93</v>
      </c>
      <c r="M15" s="26" t="s">
        <v>46</v>
      </c>
    </row>
    <row r="16" spans="1:13" x14ac:dyDescent="0.3">
      <c r="A16" s="27">
        <v>45750</v>
      </c>
      <c r="B16" s="28" t="s">
        <v>50</v>
      </c>
      <c r="C16" s="28" t="s">
        <v>55</v>
      </c>
      <c r="D16" s="27">
        <v>45750</v>
      </c>
      <c r="E16" s="28">
        <v>134.41</v>
      </c>
      <c r="F16" s="28">
        <v>0</v>
      </c>
      <c r="G16" s="28">
        <v>20851.64</v>
      </c>
      <c r="H16" s="28"/>
      <c r="I16" s="28"/>
      <c r="J16" s="28" t="s">
        <v>4</v>
      </c>
      <c r="K16" s="28" t="s">
        <v>49</v>
      </c>
      <c r="L16" s="24">
        <v>0.97</v>
      </c>
      <c r="M16" s="28" t="s">
        <v>46</v>
      </c>
    </row>
    <row r="17" spans="1:13" x14ac:dyDescent="0.3">
      <c r="A17" s="25">
        <v>45751</v>
      </c>
      <c r="B17" s="26" t="s">
        <v>56</v>
      </c>
      <c r="C17" s="26" t="s">
        <v>57</v>
      </c>
      <c r="D17" s="25">
        <v>45751</v>
      </c>
      <c r="E17" s="26">
        <v>0</v>
      </c>
      <c r="F17" s="26">
        <v>10041.41</v>
      </c>
      <c r="G17" s="26">
        <v>30893.05</v>
      </c>
      <c r="H17" s="26"/>
      <c r="I17" s="26"/>
      <c r="J17" s="26" t="s">
        <v>3</v>
      </c>
      <c r="K17" s="26" t="s">
        <v>49</v>
      </c>
      <c r="L17" s="24">
        <v>0.93</v>
      </c>
      <c r="M17" s="26" t="s">
        <v>46</v>
      </c>
    </row>
    <row r="18" spans="1:13" x14ac:dyDescent="0.3">
      <c r="A18" s="27">
        <v>45751</v>
      </c>
      <c r="B18" s="28" t="s">
        <v>50</v>
      </c>
      <c r="C18" s="28" t="s">
        <v>58</v>
      </c>
      <c r="D18" s="27">
        <v>45751</v>
      </c>
      <c r="E18" s="28">
        <v>115.2</v>
      </c>
      <c r="F18" s="28">
        <v>0</v>
      </c>
      <c r="G18" s="28">
        <v>30777.85</v>
      </c>
      <c r="H18" s="28"/>
      <c r="I18" s="28"/>
      <c r="J18" s="28" t="s">
        <v>4</v>
      </c>
      <c r="K18" s="28" t="s">
        <v>49</v>
      </c>
      <c r="L18" s="24">
        <v>0.97</v>
      </c>
      <c r="M18" s="28" t="s">
        <v>46</v>
      </c>
    </row>
    <row r="19" spans="1:13" x14ac:dyDescent="0.3">
      <c r="A19" s="29">
        <v>45751</v>
      </c>
      <c r="B19" s="30" t="s">
        <v>59</v>
      </c>
      <c r="C19" s="30" t="s">
        <v>60</v>
      </c>
      <c r="D19" s="29">
        <v>45751</v>
      </c>
      <c r="E19" s="30">
        <v>0</v>
      </c>
      <c r="F19" s="30">
        <v>6146.26</v>
      </c>
      <c r="G19" s="30">
        <v>36924.11</v>
      </c>
      <c r="H19" s="30"/>
      <c r="I19" s="30"/>
      <c r="J19" s="30" t="s">
        <v>5</v>
      </c>
      <c r="K19" s="30" t="s">
        <v>49</v>
      </c>
      <c r="L19" s="24">
        <v>0.97</v>
      </c>
      <c r="M19" s="30" t="s">
        <v>46</v>
      </c>
    </row>
    <row r="20" spans="1:13" x14ac:dyDescent="0.3">
      <c r="A20" s="31">
        <v>45754</v>
      </c>
      <c r="B20" s="32" t="s">
        <v>61</v>
      </c>
      <c r="C20" s="32" t="s">
        <v>62</v>
      </c>
      <c r="D20" s="31">
        <v>45754</v>
      </c>
      <c r="E20" s="32">
        <v>0</v>
      </c>
      <c r="F20" s="32">
        <v>1880</v>
      </c>
      <c r="G20" s="32">
        <v>38804.11</v>
      </c>
      <c r="H20" s="32"/>
      <c r="I20" s="32"/>
      <c r="J20" s="32" t="s">
        <v>6</v>
      </c>
      <c r="K20" s="32" t="s">
        <v>63</v>
      </c>
      <c r="L20" s="24">
        <v>0.95</v>
      </c>
      <c r="M20" s="32" t="s">
        <v>46</v>
      </c>
    </row>
    <row r="21" spans="1:13" x14ac:dyDescent="0.3">
      <c r="A21" s="27">
        <v>45754</v>
      </c>
      <c r="B21" s="28" t="s">
        <v>50</v>
      </c>
      <c r="C21" s="28" t="s">
        <v>64</v>
      </c>
      <c r="D21" s="27">
        <v>45754</v>
      </c>
      <c r="E21" s="28">
        <v>323.04000000000002</v>
      </c>
      <c r="F21" s="28">
        <v>0</v>
      </c>
      <c r="G21" s="28">
        <v>38481.07</v>
      </c>
      <c r="H21" s="28"/>
      <c r="I21" s="28"/>
      <c r="J21" s="28" t="s">
        <v>4</v>
      </c>
      <c r="K21" s="28" t="s">
        <v>49</v>
      </c>
      <c r="L21" s="24">
        <v>0.97</v>
      </c>
      <c r="M21" s="28" t="s">
        <v>46</v>
      </c>
    </row>
    <row r="22" spans="1:13" x14ac:dyDescent="0.3">
      <c r="A22" s="27">
        <v>45754</v>
      </c>
      <c r="B22" s="28" t="s">
        <v>50</v>
      </c>
      <c r="C22" s="28" t="s">
        <v>65</v>
      </c>
      <c r="D22" s="27">
        <v>45754</v>
      </c>
      <c r="E22" s="28">
        <v>6242.17</v>
      </c>
      <c r="F22" s="28">
        <v>0</v>
      </c>
      <c r="G22" s="28">
        <v>32238.9</v>
      </c>
      <c r="H22" s="28"/>
      <c r="I22" s="28"/>
      <c r="J22" s="28" t="s">
        <v>4</v>
      </c>
      <c r="K22" s="28" t="s">
        <v>49</v>
      </c>
      <c r="L22" s="24">
        <v>0.97</v>
      </c>
      <c r="M22" s="28" t="s">
        <v>46</v>
      </c>
    </row>
    <row r="23" spans="1:13" x14ac:dyDescent="0.3">
      <c r="A23" s="33">
        <v>45755</v>
      </c>
      <c r="B23" s="34" t="s">
        <v>66</v>
      </c>
      <c r="C23" s="34" t="s">
        <v>67</v>
      </c>
      <c r="D23" s="33">
        <v>45755</v>
      </c>
      <c r="E23" s="34">
        <v>295</v>
      </c>
      <c r="F23" s="34">
        <v>0</v>
      </c>
      <c r="G23" s="34">
        <v>31943.9</v>
      </c>
      <c r="H23" s="34"/>
      <c r="I23" s="34"/>
      <c r="J23" s="34" t="s">
        <v>7</v>
      </c>
      <c r="K23" s="34" t="s">
        <v>7</v>
      </c>
      <c r="L23" s="24">
        <v>0.9</v>
      </c>
      <c r="M23" s="34" t="s">
        <v>46</v>
      </c>
    </row>
    <row r="24" spans="1:13" x14ac:dyDescent="0.3">
      <c r="A24" s="27">
        <v>45755</v>
      </c>
      <c r="B24" s="28" t="s">
        <v>50</v>
      </c>
      <c r="C24" s="28" t="s">
        <v>68</v>
      </c>
      <c r="D24" s="27">
        <v>45755</v>
      </c>
      <c r="E24" s="28">
        <v>92.57</v>
      </c>
      <c r="F24" s="28">
        <v>0</v>
      </c>
      <c r="G24" s="28">
        <v>31851.33</v>
      </c>
      <c r="H24" s="28"/>
      <c r="I24" s="28"/>
      <c r="J24" s="28" t="s">
        <v>4</v>
      </c>
      <c r="K24" s="28" t="s">
        <v>49</v>
      </c>
      <c r="L24" s="24">
        <v>0.97</v>
      </c>
      <c r="M24" s="28" t="s">
        <v>46</v>
      </c>
    </row>
    <row r="25" spans="1:13" x14ac:dyDescent="0.3">
      <c r="A25" s="27">
        <v>45755</v>
      </c>
      <c r="B25" s="28" t="s">
        <v>50</v>
      </c>
      <c r="C25" s="28" t="s">
        <v>69</v>
      </c>
      <c r="D25" s="27">
        <v>45755</v>
      </c>
      <c r="E25" s="28">
        <v>8913.0300000000007</v>
      </c>
      <c r="F25" s="28">
        <v>0</v>
      </c>
      <c r="G25" s="28">
        <v>22938.3</v>
      </c>
      <c r="H25" s="28"/>
      <c r="I25" s="28"/>
      <c r="J25" s="28" t="s">
        <v>4</v>
      </c>
      <c r="K25" s="28" t="s">
        <v>49</v>
      </c>
      <c r="L25" s="24">
        <v>0.97</v>
      </c>
      <c r="M25" s="28" t="s">
        <v>46</v>
      </c>
    </row>
    <row r="26" spans="1:13" x14ac:dyDescent="0.3">
      <c r="A26" s="27">
        <v>45755</v>
      </c>
      <c r="B26" s="28" t="s">
        <v>50</v>
      </c>
      <c r="C26" s="28" t="s">
        <v>70</v>
      </c>
      <c r="D26" s="27">
        <v>45755</v>
      </c>
      <c r="E26" s="28">
        <v>1241.9100000000001</v>
      </c>
      <c r="F26" s="28">
        <v>0</v>
      </c>
      <c r="G26" s="28">
        <v>21696.39</v>
      </c>
      <c r="H26" s="28"/>
      <c r="I26" s="28"/>
      <c r="J26" s="28" t="s">
        <v>4</v>
      </c>
      <c r="K26" s="28" t="s">
        <v>49</v>
      </c>
      <c r="L26" s="24">
        <v>0.97</v>
      </c>
      <c r="M26" s="28" t="s">
        <v>46</v>
      </c>
    </row>
    <row r="27" spans="1:13" x14ac:dyDescent="0.3">
      <c r="A27" s="27">
        <v>45756</v>
      </c>
      <c r="B27" s="28" t="s">
        <v>50</v>
      </c>
      <c r="C27" s="28" t="s">
        <v>71</v>
      </c>
      <c r="D27" s="27">
        <v>45756</v>
      </c>
      <c r="E27" s="28">
        <v>88.96</v>
      </c>
      <c r="F27" s="28">
        <v>0</v>
      </c>
      <c r="G27" s="28">
        <v>21607.43</v>
      </c>
      <c r="H27" s="28"/>
      <c r="I27" s="28"/>
      <c r="J27" s="28" t="s">
        <v>4</v>
      </c>
      <c r="K27" s="28" t="s">
        <v>49</v>
      </c>
      <c r="L27" s="24">
        <v>0.97</v>
      </c>
      <c r="M27" s="28" t="s">
        <v>46</v>
      </c>
    </row>
    <row r="28" spans="1:13" x14ac:dyDescent="0.3">
      <c r="A28" s="27">
        <v>45756</v>
      </c>
      <c r="B28" s="28" t="s">
        <v>50</v>
      </c>
      <c r="C28" s="28" t="s">
        <v>72</v>
      </c>
      <c r="D28" s="27">
        <v>45756</v>
      </c>
      <c r="E28" s="28">
        <v>1969.84</v>
      </c>
      <c r="F28" s="28">
        <v>0</v>
      </c>
      <c r="G28" s="28">
        <v>19637.59</v>
      </c>
      <c r="H28" s="28"/>
      <c r="I28" s="28"/>
      <c r="J28" s="28" t="s">
        <v>4</v>
      </c>
      <c r="K28" s="28" t="s">
        <v>49</v>
      </c>
      <c r="L28" s="24">
        <v>0.97</v>
      </c>
      <c r="M28" s="28" t="s">
        <v>46</v>
      </c>
    </row>
    <row r="29" spans="1:13" x14ac:dyDescent="0.3">
      <c r="A29" s="27">
        <v>45758</v>
      </c>
      <c r="B29" s="28" t="s">
        <v>50</v>
      </c>
      <c r="C29" s="28" t="s">
        <v>73</v>
      </c>
      <c r="D29" s="27">
        <v>45758</v>
      </c>
      <c r="E29" s="28">
        <v>192.16</v>
      </c>
      <c r="F29" s="28">
        <v>0</v>
      </c>
      <c r="G29" s="28">
        <v>19445.43</v>
      </c>
      <c r="H29" s="28"/>
      <c r="I29" s="28"/>
      <c r="J29" s="28" t="s">
        <v>4</v>
      </c>
      <c r="K29" s="28" t="s">
        <v>49</v>
      </c>
      <c r="L29" s="24">
        <v>0.97</v>
      </c>
      <c r="M29" s="28" t="s">
        <v>46</v>
      </c>
    </row>
    <row r="30" spans="1:13" x14ac:dyDescent="0.3">
      <c r="A30" s="25">
        <v>45762</v>
      </c>
      <c r="B30" s="26" t="s">
        <v>74</v>
      </c>
      <c r="C30" s="26" t="s">
        <v>75</v>
      </c>
      <c r="D30" s="25">
        <v>45762</v>
      </c>
      <c r="E30" s="26">
        <v>0</v>
      </c>
      <c r="F30" s="26">
        <v>2697.48</v>
      </c>
      <c r="G30" s="26">
        <v>22142.91</v>
      </c>
      <c r="H30" s="26"/>
      <c r="I30" s="26"/>
      <c r="J30" s="26" t="s">
        <v>3</v>
      </c>
      <c r="K30" s="26" t="s">
        <v>49</v>
      </c>
      <c r="L30" s="24">
        <v>0.93</v>
      </c>
      <c r="M30" s="26" t="s">
        <v>46</v>
      </c>
    </row>
    <row r="31" spans="1:13" x14ac:dyDescent="0.3">
      <c r="A31" s="27">
        <v>45762</v>
      </c>
      <c r="B31" s="28" t="s">
        <v>50</v>
      </c>
      <c r="C31" s="28" t="s">
        <v>76</v>
      </c>
      <c r="D31" s="27">
        <v>45762</v>
      </c>
      <c r="E31" s="28">
        <v>384.32</v>
      </c>
      <c r="F31" s="28">
        <v>0</v>
      </c>
      <c r="G31" s="28">
        <v>21758.59</v>
      </c>
      <c r="H31" s="28"/>
      <c r="I31" s="28"/>
      <c r="J31" s="28" t="s">
        <v>4</v>
      </c>
      <c r="K31" s="28" t="s">
        <v>49</v>
      </c>
      <c r="L31" s="24">
        <v>0.97</v>
      </c>
      <c r="M31" s="28" t="s">
        <v>46</v>
      </c>
    </row>
    <row r="32" spans="1:13" x14ac:dyDescent="0.3">
      <c r="A32" s="25">
        <v>45762</v>
      </c>
      <c r="B32" s="26" t="s">
        <v>77</v>
      </c>
      <c r="C32" s="26" t="s">
        <v>78</v>
      </c>
      <c r="D32" s="25">
        <v>45762</v>
      </c>
      <c r="E32" s="26">
        <v>500</v>
      </c>
      <c r="F32" s="26">
        <v>0</v>
      </c>
      <c r="G32" s="26">
        <v>21258.59</v>
      </c>
      <c r="H32" s="26"/>
      <c r="I32" s="26"/>
      <c r="J32" s="26" t="s">
        <v>8</v>
      </c>
      <c r="K32" s="26" t="s">
        <v>79</v>
      </c>
      <c r="L32" s="24">
        <v>0.92</v>
      </c>
      <c r="M32" s="26" t="s">
        <v>46</v>
      </c>
    </row>
    <row r="33" spans="1:13" x14ac:dyDescent="0.3">
      <c r="A33" s="27">
        <v>45762</v>
      </c>
      <c r="B33" s="28" t="s">
        <v>50</v>
      </c>
      <c r="C33" s="28" t="s">
        <v>80</v>
      </c>
      <c r="D33" s="27">
        <v>45762</v>
      </c>
      <c r="E33" s="28">
        <v>5463.17</v>
      </c>
      <c r="F33" s="28">
        <v>0</v>
      </c>
      <c r="G33" s="28">
        <v>15795.42</v>
      </c>
      <c r="H33" s="28"/>
      <c r="I33" s="28"/>
      <c r="J33" s="28" t="s">
        <v>4</v>
      </c>
      <c r="K33" s="28" t="s">
        <v>49</v>
      </c>
      <c r="L33" s="24">
        <v>0.97</v>
      </c>
      <c r="M33" s="28" t="s">
        <v>46</v>
      </c>
    </row>
    <row r="34" spans="1:13" x14ac:dyDescent="0.3">
      <c r="A34" s="27">
        <v>45763</v>
      </c>
      <c r="B34" s="28" t="s">
        <v>50</v>
      </c>
      <c r="C34" s="28" t="s">
        <v>81</v>
      </c>
      <c r="D34" s="27">
        <v>45763</v>
      </c>
      <c r="E34" s="28">
        <v>95.09</v>
      </c>
      <c r="F34" s="28">
        <v>0</v>
      </c>
      <c r="G34" s="28">
        <v>15700.33</v>
      </c>
      <c r="H34" s="28"/>
      <c r="I34" s="28"/>
      <c r="J34" s="28" t="s">
        <v>4</v>
      </c>
      <c r="K34" s="28" t="s">
        <v>49</v>
      </c>
      <c r="L34" s="24">
        <v>0.97</v>
      </c>
      <c r="M34" s="28" t="s">
        <v>46</v>
      </c>
    </row>
    <row r="35" spans="1:13" x14ac:dyDescent="0.3">
      <c r="A35" s="35">
        <v>45763</v>
      </c>
      <c r="B35" s="36" t="s">
        <v>82</v>
      </c>
      <c r="C35" s="36" t="s">
        <v>83</v>
      </c>
      <c r="D35" s="35">
        <v>45763</v>
      </c>
      <c r="E35" s="36">
        <v>531</v>
      </c>
      <c r="F35" s="36">
        <v>0</v>
      </c>
      <c r="G35" s="36">
        <v>15169.33</v>
      </c>
      <c r="H35" s="36"/>
      <c r="I35" s="36"/>
      <c r="J35" s="36" t="s">
        <v>9</v>
      </c>
      <c r="K35" s="36" t="s">
        <v>9</v>
      </c>
      <c r="L35" s="24">
        <v>0.93</v>
      </c>
      <c r="M35" s="36" t="s">
        <v>46</v>
      </c>
    </row>
    <row r="36" spans="1:13" x14ac:dyDescent="0.3">
      <c r="A36" s="25">
        <v>45764</v>
      </c>
      <c r="B36" s="26" t="s">
        <v>84</v>
      </c>
      <c r="C36" s="26" t="s">
        <v>85</v>
      </c>
      <c r="D36" s="25">
        <v>45764</v>
      </c>
      <c r="E36" s="26">
        <v>0</v>
      </c>
      <c r="F36" s="26">
        <v>21246.959999999999</v>
      </c>
      <c r="G36" s="26">
        <v>36416.29</v>
      </c>
      <c r="H36" s="26"/>
      <c r="I36" s="26"/>
      <c r="J36" s="26" t="s">
        <v>3</v>
      </c>
      <c r="K36" s="26" t="s">
        <v>49</v>
      </c>
      <c r="L36" s="24">
        <v>0.93</v>
      </c>
      <c r="M36" s="26" t="s">
        <v>46</v>
      </c>
    </row>
    <row r="37" spans="1:13" x14ac:dyDescent="0.3">
      <c r="A37" s="25">
        <v>45764</v>
      </c>
      <c r="B37" s="26" t="s">
        <v>86</v>
      </c>
      <c r="C37" s="26" t="s">
        <v>87</v>
      </c>
      <c r="D37" s="25">
        <v>45764</v>
      </c>
      <c r="E37" s="26">
        <v>0</v>
      </c>
      <c r="F37" s="26">
        <v>1686.98</v>
      </c>
      <c r="G37" s="26">
        <v>38103.269999999997</v>
      </c>
      <c r="H37" s="26"/>
      <c r="I37" s="26"/>
      <c r="J37" s="26" t="s">
        <v>3</v>
      </c>
      <c r="K37" s="26" t="s">
        <v>49</v>
      </c>
      <c r="L37" s="24">
        <v>0.93</v>
      </c>
      <c r="M37" s="26" t="s">
        <v>46</v>
      </c>
    </row>
    <row r="38" spans="1:13" x14ac:dyDescent="0.3">
      <c r="A38" s="27">
        <v>45764</v>
      </c>
      <c r="B38" s="28" t="s">
        <v>50</v>
      </c>
      <c r="C38" s="28" t="s">
        <v>88</v>
      </c>
      <c r="D38" s="27">
        <v>45764</v>
      </c>
      <c r="E38" s="28">
        <v>103.29</v>
      </c>
      <c r="F38" s="28">
        <v>0</v>
      </c>
      <c r="G38" s="28">
        <v>37999.980000000003</v>
      </c>
      <c r="H38" s="28"/>
      <c r="I38" s="28"/>
      <c r="J38" s="28" t="s">
        <v>4</v>
      </c>
      <c r="K38" s="28" t="s">
        <v>49</v>
      </c>
      <c r="L38" s="24">
        <v>0.97</v>
      </c>
      <c r="M38" s="28" t="s">
        <v>46</v>
      </c>
    </row>
    <row r="39" spans="1:13" x14ac:dyDescent="0.3">
      <c r="A39" s="37">
        <v>45766</v>
      </c>
      <c r="B39" s="38" t="s">
        <v>89</v>
      </c>
      <c r="C39" s="38" t="s">
        <v>90</v>
      </c>
      <c r="D39" s="37">
        <v>45766</v>
      </c>
      <c r="E39" s="38">
        <v>0</v>
      </c>
      <c r="F39" s="38">
        <v>100</v>
      </c>
      <c r="G39" s="38">
        <v>38099.980000000003</v>
      </c>
      <c r="H39" s="38"/>
      <c r="I39" s="38"/>
      <c r="J39" s="38" t="s">
        <v>10</v>
      </c>
      <c r="K39" s="38" t="s">
        <v>91</v>
      </c>
      <c r="L39" s="39">
        <v>0.55000000000000004</v>
      </c>
      <c r="M39" s="38" t="s">
        <v>46</v>
      </c>
    </row>
    <row r="40" spans="1:13" x14ac:dyDescent="0.3">
      <c r="A40" s="25">
        <v>45768</v>
      </c>
      <c r="B40" s="26" t="s">
        <v>92</v>
      </c>
      <c r="C40" s="26" t="s">
        <v>93</v>
      </c>
      <c r="D40" s="25">
        <v>45768</v>
      </c>
      <c r="E40" s="26">
        <v>0</v>
      </c>
      <c r="F40" s="26">
        <v>175.35</v>
      </c>
      <c r="G40" s="26">
        <v>38275.33</v>
      </c>
      <c r="H40" s="26"/>
      <c r="I40" s="26"/>
      <c r="J40" s="26" t="s">
        <v>3</v>
      </c>
      <c r="K40" s="26" t="s">
        <v>49</v>
      </c>
      <c r="L40" s="24">
        <v>0.93</v>
      </c>
      <c r="M40" s="26" t="s">
        <v>46</v>
      </c>
    </row>
    <row r="41" spans="1:13" x14ac:dyDescent="0.3">
      <c r="A41" s="27">
        <v>45768</v>
      </c>
      <c r="B41" s="28" t="s">
        <v>50</v>
      </c>
      <c r="C41" s="28" t="s">
        <v>94</v>
      </c>
      <c r="D41" s="27">
        <v>45768</v>
      </c>
      <c r="E41" s="28">
        <v>415.56</v>
      </c>
      <c r="F41" s="28">
        <v>0</v>
      </c>
      <c r="G41" s="28">
        <v>37859.769999999997</v>
      </c>
      <c r="H41" s="28"/>
      <c r="I41" s="28"/>
      <c r="J41" s="28" t="s">
        <v>4</v>
      </c>
      <c r="K41" s="28" t="s">
        <v>49</v>
      </c>
      <c r="L41" s="24">
        <v>0.97</v>
      </c>
      <c r="M41" s="28" t="s">
        <v>46</v>
      </c>
    </row>
    <row r="42" spans="1:13" x14ac:dyDescent="0.3">
      <c r="A42" s="25">
        <v>45769</v>
      </c>
      <c r="B42" s="26" t="s">
        <v>95</v>
      </c>
      <c r="C42" s="26" t="s">
        <v>96</v>
      </c>
      <c r="D42" s="25">
        <v>45769</v>
      </c>
      <c r="E42" s="26">
        <v>0</v>
      </c>
      <c r="F42" s="26">
        <v>540.27</v>
      </c>
      <c r="G42" s="26">
        <v>38400.04</v>
      </c>
      <c r="H42" s="26"/>
      <c r="I42" s="26"/>
      <c r="J42" s="26" t="s">
        <v>3</v>
      </c>
      <c r="K42" s="26" t="s">
        <v>49</v>
      </c>
      <c r="L42" s="24">
        <v>0.93</v>
      </c>
      <c r="M42" s="26" t="s">
        <v>46</v>
      </c>
    </row>
    <row r="43" spans="1:13" x14ac:dyDescent="0.3">
      <c r="A43" s="27">
        <v>45769</v>
      </c>
      <c r="B43" s="28" t="s">
        <v>50</v>
      </c>
      <c r="C43" s="28" t="s">
        <v>97</v>
      </c>
      <c r="D43" s="27">
        <v>45769</v>
      </c>
      <c r="E43" s="28">
        <v>103.95</v>
      </c>
      <c r="F43" s="28">
        <v>0</v>
      </c>
      <c r="G43" s="28">
        <v>38296.089999999997</v>
      </c>
      <c r="H43" s="28"/>
      <c r="I43" s="28"/>
      <c r="J43" s="28" t="s">
        <v>4</v>
      </c>
      <c r="K43" s="28" t="s">
        <v>49</v>
      </c>
      <c r="L43" s="24">
        <v>0.97</v>
      </c>
      <c r="M43" s="28" t="s">
        <v>46</v>
      </c>
    </row>
    <row r="44" spans="1:13" x14ac:dyDescent="0.3">
      <c r="A44" s="27">
        <v>45769</v>
      </c>
      <c r="B44" s="28" t="s">
        <v>50</v>
      </c>
      <c r="C44" s="28" t="s">
        <v>98</v>
      </c>
      <c r="D44" s="27">
        <v>45769</v>
      </c>
      <c r="E44" s="28">
        <v>807.96</v>
      </c>
      <c r="F44" s="28">
        <v>0</v>
      </c>
      <c r="G44" s="28">
        <v>37488.129999999997</v>
      </c>
      <c r="H44" s="28"/>
      <c r="I44" s="28"/>
      <c r="J44" s="28" t="s">
        <v>4</v>
      </c>
      <c r="K44" s="28" t="s">
        <v>49</v>
      </c>
      <c r="L44" s="24">
        <v>0.97</v>
      </c>
      <c r="M44" s="28" t="s">
        <v>46</v>
      </c>
    </row>
    <row r="45" spans="1:13" x14ac:dyDescent="0.3">
      <c r="A45" s="27">
        <v>45770</v>
      </c>
      <c r="B45" s="28" t="s">
        <v>50</v>
      </c>
      <c r="C45" s="28" t="s">
        <v>99</v>
      </c>
      <c r="D45" s="27">
        <v>45770</v>
      </c>
      <c r="E45" s="28">
        <v>103.86</v>
      </c>
      <c r="F45" s="28">
        <v>0</v>
      </c>
      <c r="G45" s="28">
        <v>37384.269999999997</v>
      </c>
      <c r="H45" s="28"/>
      <c r="I45" s="28"/>
      <c r="J45" s="28" t="s">
        <v>4</v>
      </c>
      <c r="K45" s="28" t="s">
        <v>49</v>
      </c>
      <c r="L45" s="24">
        <v>0.97</v>
      </c>
      <c r="M45" s="28" t="s">
        <v>46</v>
      </c>
    </row>
    <row r="46" spans="1:13" x14ac:dyDescent="0.3">
      <c r="A46" s="27">
        <v>45770</v>
      </c>
      <c r="B46" s="28" t="s">
        <v>50</v>
      </c>
      <c r="C46" s="28" t="s">
        <v>100</v>
      </c>
      <c r="D46" s="27">
        <v>45770</v>
      </c>
      <c r="E46" s="28">
        <v>11572.21</v>
      </c>
      <c r="F46" s="28">
        <v>0</v>
      </c>
      <c r="G46" s="28">
        <v>25812.06</v>
      </c>
      <c r="H46" s="28"/>
      <c r="I46" s="28"/>
      <c r="J46" s="28" t="s">
        <v>4</v>
      </c>
      <c r="K46" s="28" t="s">
        <v>49</v>
      </c>
      <c r="L46" s="24">
        <v>0.97</v>
      </c>
      <c r="M46" s="28" t="s">
        <v>46</v>
      </c>
    </row>
    <row r="47" spans="1:13" x14ac:dyDescent="0.3">
      <c r="A47" s="25">
        <v>45771</v>
      </c>
      <c r="B47" s="26" t="s">
        <v>101</v>
      </c>
      <c r="C47" s="26" t="s">
        <v>102</v>
      </c>
      <c r="D47" s="25">
        <v>45771</v>
      </c>
      <c r="E47" s="26">
        <v>0</v>
      </c>
      <c r="F47" s="26">
        <v>12869.68</v>
      </c>
      <c r="G47" s="26">
        <v>38681.74</v>
      </c>
      <c r="H47" s="26"/>
      <c r="I47" s="26"/>
      <c r="J47" s="26" t="s">
        <v>3</v>
      </c>
      <c r="K47" s="26" t="s">
        <v>49</v>
      </c>
      <c r="L47" s="24">
        <v>0.93</v>
      </c>
      <c r="M47" s="26" t="s">
        <v>46</v>
      </c>
    </row>
    <row r="48" spans="1:13" x14ac:dyDescent="0.3">
      <c r="A48" s="27">
        <v>45771</v>
      </c>
      <c r="B48" s="28" t="s">
        <v>50</v>
      </c>
      <c r="C48" s="28" t="s">
        <v>103</v>
      </c>
      <c r="D48" s="27">
        <v>45771</v>
      </c>
      <c r="E48" s="28">
        <v>99.74</v>
      </c>
      <c r="F48" s="28">
        <v>0</v>
      </c>
      <c r="G48" s="28">
        <v>38582</v>
      </c>
      <c r="H48" s="28"/>
      <c r="I48" s="28"/>
      <c r="J48" s="28" t="s">
        <v>4</v>
      </c>
      <c r="K48" s="28" t="s">
        <v>49</v>
      </c>
      <c r="L48" s="24">
        <v>0.97</v>
      </c>
      <c r="M48" s="28" t="s">
        <v>46</v>
      </c>
    </row>
    <row r="49" spans="1:13" x14ac:dyDescent="0.3">
      <c r="A49" s="27">
        <v>45771</v>
      </c>
      <c r="B49" s="28" t="s">
        <v>50</v>
      </c>
      <c r="C49" s="28" t="s">
        <v>104</v>
      </c>
      <c r="D49" s="27">
        <v>45771</v>
      </c>
      <c r="E49" s="28">
        <v>326.7</v>
      </c>
      <c r="F49" s="28">
        <v>0</v>
      </c>
      <c r="G49" s="28">
        <v>38255.300000000003</v>
      </c>
      <c r="H49" s="28"/>
      <c r="I49" s="28"/>
      <c r="J49" s="28" t="s">
        <v>4</v>
      </c>
      <c r="K49" s="28" t="s">
        <v>49</v>
      </c>
      <c r="L49" s="24">
        <v>0.97</v>
      </c>
      <c r="M49" s="28" t="s">
        <v>46</v>
      </c>
    </row>
    <row r="50" spans="1:13" x14ac:dyDescent="0.3">
      <c r="A50" s="27">
        <v>45772</v>
      </c>
      <c r="B50" s="28" t="s">
        <v>50</v>
      </c>
      <c r="C50" s="28" t="s">
        <v>105</v>
      </c>
      <c r="D50" s="27">
        <v>45772</v>
      </c>
      <c r="E50" s="28">
        <v>100.48</v>
      </c>
      <c r="F50" s="28">
        <v>0</v>
      </c>
      <c r="G50" s="28">
        <v>38154.82</v>
      </c>
      <c r="H50" s="28"/>
      <c r="I50" s="28"/>
      <c r="J50" s="28" t="s">
        <v>4</v>
      </c>
      <c r="K50" s="28" t="s">
        <v>49</v>
      </c>
      <c r="L50" s="24">
        <v>0.97</v>
      </c>
      <c r="M50" s="28" t="s">
        <v>46</v>
      </c>
    </row>
    <row r="51" spans="1:13" x14ac:dyDescent="0.3">
      <c r="A51" s="27">
        <v>45772</v>
      </c>
      <c r="B51" s="28" t="s">
        <v>50</v>
      </c>
      <c r="C51" s="28" t="s">
        <v>106</v>
      </c>
      <c r="D51" s="27">
        <v>45772</v>
      </c>
      <c r="E51" s="28">
        <v>2592.1999999999998</v>
      </c>
      <c r="F51" s="28">
        <v>0</v>
      </c>
      <c r="G51" s="28">
        <v>35562.620000000003</v>
      </c>
      <c r="H51" s="28"/>
      <c r="I51" s="28"/>
      <c r="J51" s="28" t="s">
        <v>4</v>
      </c>
      <c r="K51" s="28" t="s">
        <v>49</v>
      </c>
      <c r="L51" s="24">
        <v>0.97</v>
      </c>
      <c r="M51" s="28" t="s">
        <v>46</v>
      </c>
    </row>
    <row r="52" spans="1:13" x14ac:dyDescent="0.3">
      <c r="A52" s="22">
        <v>45775</v>
      </c>
      <c r="B52" s="23" t="s">
        <v>107</v>
      </c>
      <c r="C52" s="23" t="s">
        <v>108</v>
      </c>
      <c r="D52" s="22">
        <v>45775</v>
      </c>
      <c r="E52" s="23">
        <v>5000</v>
      </c>
      <c r="F52" s="23">
        <v>0</v>
      </c>
      <c r="G52" s="23">
        <v>30562.62</v>
      </c>
      <c r="H52" s="23"/>
      <c r="I52" s="23"/>
      <c r="J52" s="23" t="s">
        <v>2</v>
      </c>
      <c r="K52" s="23" t="s">
        <v>2</v>
      </c>
      <c r="L52" s="24">
        <v>0.95</v>
      </c>
      <c r="M52" s="23" t="s">
        <v>46</v>
      </c>
    </row>
    <row r="53" spans="1:13" x14ac:dyDescent="0.3">
      <c r="A53" s="27">
        <v>45775</v>
      </c>
      <c r="B53" s="28" t="s">
        <v>50</v>
      </c>
      <c r="C53" s="28" t="s">
        <v>109</v>
      </c>
      <c r="D53" s="27">
        <v>45775</v>
      </c>
      <c r="E53" s="28">
        <v>298.68</v>
      </c>
      <c r="F53" s="28">
        <v>0</v>
      </c>
      <c r="G53" s="28">
        <v>30263.94</v>
      </c>
      <c r="H53" s="28"/>
      <c r="I53" s="28"/>
      <c r="J53" s="28" t="s">
        <v>4</v>
      </c>
      <c r="K53" s="28" t="s">
        <v>49</v>
      </c>
      <c r="L53" s="24">
        <v>0.97</v>
      </c>
      <c r="M53" s="28" t="s">
        <v>46</v>
      </c>
    </row>
    <row r="54" spans="1:13" x14ac:dyDescent="0.3">
      <c r="A54" s="27">
        <v>45775</v>
      </c>
      <c r="B54" s="28" t="s">
        <v>110</v>
      </c>
      <c r="C54" s="28" t="s">
        <v>111</v>
      </c>
      <c r="D54" s="27">
        <v>45775</v>
      </c>
      <c r="E54" s="28">
        <v>856.5</v>
      </c>
      <c r="F54" s="28">
        <v>0</v>
      </c>
      <c r="G54" s="28">
        <v>29407.439999999999</v>
      </c>
      <c r="H54" s="28"/>
      <c r="I54" s="28"/>
      <c r="J54" s="28" t="s">
        <v>11</v>
      </c>
      <c r="K54" s="28" t="s">
        <v>112</v>
      </c>
      <c r="L54" s="40">
        <v>0.68</v>
      </c>
      <c r="M54" s="28" t="s">
        <v>46</v>
      </c>
    </row>
    <row r="55" spans="1:13" x14ac:dyDescent="0.3">
      <c r="A55" s="27">
        <v>45775</v>
      </c>
      <c r="B55" s="28" t="s">
        <v>50</v>
      </c>
      <c r="C55" s="28" t="s">
        <v>113</v>
      </c>
      <c r="D55" s="27">
        <v>45775</v>
      </c>
      <c r="E55" s="28">
        <v>6370.07</v>
      </c>
      <c r="F55" s="28">
        <v>0</v>
      </c>
      <c r="G55" s="28">
        <v>23037.37</v>
      </c>
      <c r="H55" s="28"/>
      <c r="I55" s="28"/>
      <c r="J55" s="28" t="s">
        <v>4</v>
      </c>
      <c r="K55" s="28" t="s">
        <v>49</v>
      </c>
      <c r="L55" s="24">
        <v>0.97</v>
      </c>
      <c r="M55" s="28" t="s">
        <v>46</v>
      </c>
    </row>
    <row r="56" spans="1:13" x14ac:dyDescent="0.3">
      <c r="A56" s="25">
        <v>45776</v>
      </c>
      <c r="B56" s="26" t="s">
        <v>114</v>
      </c>
      <c r="C56" s="26" t="s">
        <v>115</v>
      </c>
      <c r="D56" s="25">
        <v>45776</v>
      </c>
      <c r="E56" s="26">
        <v>0</v>
      </c>
      <c r="F56" s="26">
        <v>22473.439999999999</v>
      </c>
      <c r="G56" s="26">
        <v>45510.81</v>
      </c>
      <c r="H56" s="26"/>
      <c r="I56" s="26"/>
      <c r="J56" s="26" t="s">
        <v>3</v>
      </c>
      <c r="K56" s="26" t="s">
        <v>49</v>
      </c>
      <c r="L56" s="24">
        <v>0.93</v>
      </c>
      <c r="M56" s="26" t="s">
        <v>46</v>
      </c>
    </row>
    <row r="57" spans="1:13" x14ac:dyDescent="0.3">
      <c r="A57" s="25">
        <v>45776</v>
      </c>
      <c r="B57" s="26" t="s">
        <v>116</v>
      </c>
      <c r="C57" s="26" t="s">
        <v>117</v>
      </c>
      <c r="D57" s="25">
        <v>45776</v>
      </c>
      <c r="E57" s="26">
        <v>0</v>
      </c>
      <c r="F57" s="26">
        <v>2398.19</v>
      </c>
      <c r="G57" s="26">
        <v>47909</v>
      </c>
      <c r="H57" s="26"/>
      <c r="I57" s="26"/>
      <c r="J57" s="26" t="s">
        <v>3</v>
      </c>
      <c r="K57" s="26" t="s">
        <v>49</v>
      </c>
      <c r="L57" s="24">
        <v>0.93</v>
      </c>
      <c r="M57" s="26" t="s">
        <v>46</v>
      </c>
    </row>
    <row r="58" spans="1:13" x14ac:dyDescent="0.3">
      <c r="A58" s="27">
        <v>45776</v>
      </c>
      <c r="B58" s="28" t="s">
        <v>50</v>
      </c>
      <c r="C58" s="28" t="s">
        <v>118</v>
      </c>
      <c r="D58" s="27">
        <v>45776</v>
      </c>
      <c r="E58" s="28">
        <v>97.29</v>
      </c>
      <c r="F58" s="28">
        <v>0</v>
      </c>
      <c r="G58" s="28">
        <v>47811.71</v>
      </c>
      <c r="H58" s="28"/>
      <c r="I58" s="28"/>
      <c r="J58" s="28" t="s">
        <v>4</v>
      </c>
      <c r="K58" s="28" t="s">
        <v>49</v>
      </c>
      <c r="L58" s="24">
        <v>0.97</v>
      </c>
      <c r="M58" s="28" t="s">
        <v>46</v>
      </c>
    </row>
    <row r="59" spans="1:13" x14ac:dyDescent="0.3">
      <c r="A59" s="27">
        <v>45776</v>
      </c>
      <c r="B59" s="28" t="s">
        <v>50</v>
      </c>
      <c r="C59" s="28" t="s">
        <v>119</v>
      </c>
      <c r="D59" s="27">
        <v>45776</v>
      </c>
      <c r="E59" s="28">
        <v>15507.42</v>
      </c>
      <c r="F59" s="28">
        <v>0</v>
      </c>
      <c r="G59" s="28">
        <v>32304.29</v>
      </c>
      <c r="H59" s="28"/>
      <c r="I59" s="28"/>
      <c r="J59" s="28" t="s">
        <v>4</v>
      </c>
      <c r="K59" s="28" t="s">
        <v>49</v>
      </c>
      <c r="L59" s="24">
        <v>0.97</v>
      </c>
      <c r="M59" s="28" t="s">
        <v>46</v>
      </c>
    </row>
    <row r="60" spans="1:13" x14ac:dyDescent="0.3">
      <c r="A60" s="37">
        <v>45776</v>
      </c>
      <c r="B60" s="38" t="s">
        <v>120</v>
      </c>
      <c r="C60" s="38" t="s">
        <v>121</v>
      </c>
      <c r="D60" s="37">
        <v>45776</v>
      </c>
      <c r="E60" s="38">
        <v>0</v>
      </c>
      <c r="F60" s="38">
        <v>2100</v>
      </c>
      <c r="G60" s="38">
        <v>34404.29</v>
      </c>
      <c r="H60" s="38"/>
      <c r="I60" s="38"/>
      <c r="J60" s="38" t="s">
        <v>12</v>
      </c>
      <c r="K60" s="38" t="s">
        <v>91</v>
      </c>
      <c r="L60" s="39">
        <v>0.55000000000000004</v>
      </c>
      <c r="M60" s="38" t="s">
        <v>46</v>
      </c>
    </row>
    <row r="61" spans="1:13" x14ac:dyDescent="0.3">
      <c r="A61" s="25">
        <v>45777</v>
      </c>
      <c r="B61" s="26" t="s">
        <v>122</v>
      </c>
      <c r="C61" s="26" t="s">
        <v>123</v>
      </c>
      <c r="D61" s="25">
        <v>45777</v>
      </c>
      <c r="E61" s="26">
        <v>0</v>
      </c>
      <c r="F61" s="26">
        <v>1760.16</v>
      </c>
      <c r="G61" s="26">
        <v>36164.449999999997</v>
      </c>
      <c r="H61" s="26"/>
      <c r="I61" s="26"/>
      <c r="J61" s="26" t="s">
        <v>3</v>
      </c>
      <c r="K61" s="26" t="s">
        <v>49</v>
      </c>
      <c r="L61" s="24">
        <v>0.93</v>
      </c>
      <c r="M61" s="26" t="s">
        <v>46</v>
      </c>
    </row>
    <row r="62" spans="1:13" x14ac:dyDescent="0.3">
      <c r="A62" s="22">
        <v>45777</v>
      </c>
      <c r="B62" s="23" t="s">
        <v>124</v>
      </c>
      <c r="C62" s="23" t="s">
        <v>125</v>
      </c>
      <c r="D62" s="22">
        <v>45777</v>
      </c>
      <c r="E62" s="23">
        <v>5000</v>
      </c>
      <c r="F62" s="23">
        <v>0</v>
      </c>
      <c r="G62" s="23">
        <v>31164.45</v>
      </c>
      <c r="H62" s="23"/>
      <c r="I62" s="23"/>
      <c r="J62" s="23" t="s">
        <v>2</v>
      </c>
      <c r="K62" s="23" t="s">
        <v>2</v>
      </c>
      <c r="L62" s="24">
        <v>0.95</v>
      </c>
      <c r="M62" s="23" t="s">
        <v>46</v>
      </c>
    </row>
    <row r="63" spans="1:13" x14ac:dyDescent="0.3">
      <c r="A63" s="27">
        <v>45777</v>
      </c>
      <c r="B63" s="28" t="s">
        <v>50</v>
      </c>
      <c r="C63" s="28" t="s">
        <v>126</v>
      </c>
      <c r="D63" s="27">
        <v>45777</v>
      </c>
      <c r="E63" s="28">
        <v>78.209999999999994</v>
      </c>
      <c r="F63" s="28">
        <v>0</v>
      </c>
      <c r="G63" s="28">
        <v>31086.240000000002</v>
      </c>
      <c r="H63" s="28"/>
      <c r="I63" s="28"/>
      <c r="J63" s="28" t="s">
        <v>4</v>
      </c>
      <c r="K63" s="28" t="s">
        <v>49</v>
      </c>
      <c r="L63" s="24">
        <v>0.97</v>
      </c>
      <c r="M63" s="28" t="s">
        <v>46</v>
      </c>
    </row>
    <row r="64" spans="1:13" x14ac:dyDescent="0.3">
      <c r="A64" s="27">
        <v>45777</v>
      </c>
      <c r="B64" s="28" t="s">
        <v>50</v>
      </c>
      <c r="C64" s="28" t="s">
        <v>127</v>
      </c>
      <c r="D64" s="27">
        <v>45777</v>
      </c>
      <c r="E64" s="28">
        <v>304.94</v>
      </c>
      <c r="F64" s="28">
        <v>0</v>
      </c>
      <c r="G64" s="28">
        <v>30781.3</v>
      </c>
      <c r="H64" s="28"/>
      <c r="I64" s="28"/>
      <c r="J64" s="28" t="s">
        <v>4</v>
      </c>
      <c r="K64" s="28" t="s">
        <v>49</v>
      </c>
      <c r="L64" s="24">
        <v>0.97</v>
      </c>
      <c r="M64" s="28" t="s">
        <v>46</v>
      </c>
    </row>
    <row r="65" spans="1:13" x14ac:dyDescent="0.3">
      <c r="A65" s="27">
        <v>45779</v>
      </c>
      <c r="B65" s="28" t="s">
        <v>50</v>
      </c>
      <c r="C65" s="28" t="s">
        <v>128</v>
      </c>
      <c r="D65" s="27">
        <v>45779</v>
      </c>
      <c r="E65" s="28">
        <v>139.80000000000001</v>
      </c>
      <c r="F65" s="28">
        <v>0</v>
      </c>
      <c r="G65" s="28">
        <v>30641.5</v>
      </c>
      <c r="H65" s="28"/>
      <c r="I65" s="28"/>
      <c r="J65" s="28" t="s">
        <v>4</v>
      </c>
      <c r="K65" s="28" t="s">
        <v>49</v>
      </c>
      <c r="L65" s="24">
        <v>0.97</v>
      </c>
      <c r="M65" s="28" t="s">
        <v>46</v>
      </c>
    </row>
    <row r="66" spans="1:13" x14ac:dyDescent="0.3">
      <c r="A66" s="41">
        <v>45779</v>
      </c>
      <c r="B66" s="42" t="s">
        <v>129</v>
      </c>
      <c r="C66" s="42" t="s">
        <v>130</v>
      </c>
      <c r="D66" s="41">
        <v>45779</v>
      </c>
      <c r="E66" s="42">
        <v>60</v>
      </c>
      <c r="F66" s="42">
        <v>0</v>
      </c>
      <c r="G66" s="42">
        <v>30581.5</v>
      </c>
      <c r="H66" s="42"/>
      <c r="I66" s="42"/>
      <c r="J66" s="42" t="s">
        <v>13</v>
      </c>
      <c r="K66" s="42" t="s">
        <v>131</v>
      </c>
      <c r="L66" s="40">
        <v>0.82</v>
      </c>
      <c r="M66" s="42" t="s">
        <v>46</v>
      </c>
    </row>
    <row r="67" spans="1:13" x14ac:dyDescent="0.3">
      <c r="A67" s="41">
        <v>45779</v>
      </c>
      <c r="B67" s="42" t="s">
        <v>132</v>
      </c>
      <c r="C67" s="42" t="s">
        <v>133</v>
      </c>
      <c r="D67" s="41">
        <v>45779</v>
      </c>
      <c r="E67" s="42">
        <v>50</v>
      </c>
      <c r="F67" s="42">
        <v>0</v>
      </c>
      <c r="G67" s="42">
        <v>30531.5</v>
      </c>
      <c r="H67" s="42"/>
      <c r="I67" s="42"/>
      <c r="J67" s="42" t="s">
        <v>13</v>
      </c>
      <c r="K67" s="42" t="s">
        <v>131</v>
      </c>
      <c r="L67" s="40">
        <v>0.82</v>
      </c>
      <c r="M67" s="42" t="s">
        <v>46</v>
      </c>
    </row>
    <row r="68" spans="1:13" x14ac:dyDescent="0.3">
      <c r="A68" s="27">
        <v>45779</v>
      </c>
      <c r="B68" s="28" t="s">
        <v>50</v>
      </c>
      <c r="C68" s="28" t="s">
        <v>134</v>
      </c>
      <c r="D68" s="27">
        <v>45779</v>
      </c>
      <c r="E68" s="28">
        <v>10292.040000000001</v>
      </c>
      <c r="F68" s="28">
        <v>0</v>
      </c>
      <c r="G68" s="28">
        <v>20239.46</v>
      </c>
      <c r="H68" s="28"/>
      <c r="I68" s="28"/>
      <c r="J68" s="28" t="s">
        <v>4</v>
      </c>
      <c r="K68" s="28" t="s">
        <v>49</v>
      </c>
      <c r="L68" s="24">
        <v>0.97</v>
      </c>
      <c r="M68" s="28" t="s">
        <v>46</v>
      </c>
    </row>
    <row r="69" spans="1:13" x14ac:dyDescent="0.3">
      <c r="A69" s="43">
        <v>45781</v>
      </c>
      <c r="B69" s="44" t="s">
        <v>135</v>
      </c>
      <c r="C69" s="44" t="s">
        <v>136</v>
      </c>
      <c r="D69" s="43">
        <v>45781</v>
      </c>
      <c r="E69" s="44">
        <v>1099</v>
      </c>
      <c r="F69" s="44">
        <v>0</v>
      </c>
      <c r="G69" s="44">
        <v>19140.46</v>
      </c>
      <c r="H69" s="44"/>
      <c r="I69" s="44"/>
      <c r="J69" s="44" t="s">
        <v>14</v>
      </c>
      <c r="K69" s="44" t="s">
        <v>137</v>
      </c>
      <c r="L69" s="40">
        <v>0.68</v>
      </c>
      <c r="M69" s="44" t="s">
        <v>46</v>
      </c>
    </row>
    <row r="70" spans="1:13" x14ac:dyDescent="0.3">
      <c r="A70" s="27">
        <v>45782</v>
      </c>
      <c r="B70" s="28" t="s">
        <v>50</v>
      </c>
      <c r="C70" s="28" t="s">
        <v>138</v>
      </c>
      <c r="D70" s="27">
        <v>45782</v>
      </c>
      <c r="E70" s="28">
        <v>198.72</v>
      </c>
      <c r="F70" s="28">
        <v>0</v>
      </c>
      <c r="G70" s="28">
        <v>18941.740000000002</v>
      </c>
      <c r="H70" s="28"/>
      <c r="I70" s="28"/>
      <c r="J70" s="28" t="s">
        <v>4</v>
      </c>
      <c r="K70" s="28" t="s">
        <v>49</v>
      </c>
      <c r="L70" s="24">
        <v>0.97</v>
      </c>
      <c r="M70" s="28" t="s">
        <v>46</v>
      </c>
    </row>
    <row r="71" spans="1:13" x14ac:dyDescent="0.3">
      <c r="A71" s="27">
        <v>45782</v>
      </c>
      <c r="B71" s="28" t="s">
        <v>50</v>
      </c>
      <c r="C71" s="28" t="s">
        <v>139</v>
      </c>
      <c r="D71" s="27">
        <v>45782</v>
      </c>
      <c r="E71" s="28">
        <v>198.72</v>
      </c>
      <c r="F71" s="28">
        <v>0</v>
      </c>
      <c r="G71" s="28">
        <v>18743.02</v>
      </c>
      <c r="H71" s="28"/>
      <c r="I71" s="28"/>
      <c r="J71" s="28" t="s">
        <v>4</v>
      </c>
      <c r="K71" s="28" t="s">
        <v>49</v>
      </c>
      <c r="L71" s="24">
        <v>0.97</v>
      </c>
      <c r="M71" s="28" t="s">
        <v>46</v>
      </c>
    </row>
    <row r="72" spans="1:13" x14ac:dyDescent="0.3">
      <c r="A72" s="27">
        <v>45782</v>
      </c>
      <c r="B72" s="28" t="s">
        <v>50</v>
      </c>
      <c r="C72" s="28" t="s">
        <v>140</v>
      </c>
      <c r="D72" s="27">
        <v>45782</v>
      </c>
      <c r="E72" s="28">
        <v>18743.02</v>
      </c>
      <c r="F72" s="28">
        <v>0</v>
      </c>
      <c r="G72" s="28">
        <v>0</v>
      </c>
      <c r="H72" s="28"/>
      <c r="I72" s="28"/>
      <c r="J72" s="28" t="s">
        <v>4</v>
      </c>
      <c r="K72" s="28" t="s">
        <v>49</v>
      </c>
      <c r="L72" s="24">
        <v>0.97</v>
      </c>
      <c r="M72" s="28" t="s">
        <v>46</v>
      </c>
    </row>
    <row r="73" spans="1:13" x14ac:dyDescent="0.3">
      <c r="A73" s="25">
        <v>45783</v>
      </c>
      <c r="B73" s="26" t="s">
        <v>141</v>
      </c>
      <c r="C73" s="26" t="s">
        <v>142</v>
      </c>
      <c r="D73" s="25">
        <v>45783</v>
      </c>
      <c r="E73" s="26">
        <v>0</v>
      </c>
      <c r="F73" s="26">
        <v>67837.59</v>
      </c>
      <c r="G73" s="26">
        <v>67837.59</v>
      </c>
      <c r="H73" s="26"/>
      <c r="I73" s="26"/>
      <c r="J73" s="26" t="s">
        <v>3</v>
      </c>
      <c r="K73" s="26" t="s">
        <v>49</v>
      </c>
      <c r="L73" s="24">
        <v>0.93</v>
      </c>
      <c r="M73" s="26" t="s">
        <v>46</v>
      </c>
    </row>
    <row r="74" spans="1:13" x14ac:dyDescent="0.3">
      <c r="A74" s="27">
        <v>45783</v>
      </c>
      <c r="B74" s="28" t="s">
        <v>50</v>
      </c>
      <c r="C74" s="28" t="s">
        <v>143</v>
      </c>
      <c r="D74" s="27">
        <v>45783</v>
      </c>
      <c r="E74" s="28">
        <v>59.49</v>
      </c>
      <c r="F74" s="28">
        <v>0</v>
      </c>
      <c r="G74" s="28">
        <v>67778.100000000006</v>
      </c>
      <c r="H74" s="28"/>
      <c r="I74" s="28"/>
      <c r="J74" s="28" t="s">
        <v>4</v>
      </c>
      <c r="K74" s="28" t="s">
        <v>49</v>
      </c>
      <c r="L74" s="24">
        <v>0.97</v>
      </c>
      <c r="M74" s="28" t="s">
        <v>46</v>
      </c>
    </row>
    <row r="75" spans="1:13" x14ac:dyDescent="0.3">
      <c r="A75" s="27">
        <v>45783</v>
      </c>
      <c r="B75" s="28" t="s">
        <v>50</v>
      </c>
      <c r="C75" s="28" t="s">
        <v>144</v>
      </c>
      <c r="D75" s="27">
        <v>45783</v>
      </c>
      <c r="E75" s="28">
        <v>29283.09</v>
      </c>
      <c r="F75" s="28">
        <v>0</v>
      </c>
      <c r="G75" s="28">
        <v>38495.01</v>
      </c>
      <c r="H75" s="28"/>
      <c r="I75" s="28"/>
      <c r="J75" s="28" t="s">
        <v>4</v>
      </c>
      <c r="K75" s="28" t="s">
        <v>49</v>
      </c>
      <c r="L75" s="24">
        <v>0.97</v>
      </c>
      <c r="M75" s="28" t="s">
        <v>46</v>
      </c>
    </row>
    <row r="76" spans="1:13" x14ac:dyDescent="0.3">
      <c r="A76" s="31">
        <v>45784</v>
      </c>
      <c r="B76" s="32" t="s">
        <v>145</v>
      </c>
      <c r="C76" s="32" t="s">
        <v>146</v>
      </c>
      <c r="D76" s="31">
        <v>45784</v>
      </c>
      <c r="E76" s="32">
        <v>0</v>
      </c>
      <c r="F76" s="32">
        <v>1880</v>
      </c>
      <c r="G76" s="32">
        <v>40375.01</v>
      </c>
      <c r="H76" s="32"/>
      <c r="I76" s="32"/>
      <c r="J76" s="32" t="s">
        <v>6</v>
      </c>
      <c r="K76" s="32" t="s">
        <v>63</v>
      </c>
      <c r="L76" s="24">
        <v>0.95</v>
      </c>
      <c r="M76" s="32" t="s">
        <v>46</v>
      </c>
    </row>
    <row r="77" spans="1:13" x14ac:dyDescent="0.3">
      <c r="A77" s="45">
        <v>45784</v>
      </c>
      <c r="B77" s="46" t="s">
        <v>147</v>
      </c>
      <c r="C77" s="46" t="s">
        <v>148</v>
      </c>
      <c r="D77" s="45">
        <v>45784</v>
      </c>
      <c r="E77" s="46">
        <v>25000</v>
      </c>
      <c r="F77" s="46">
        <v>0</v>
      </c>
      <c r="G77" s="46">
        <v>15375.01</v>
      </c>
      <c r="H77" s="46"/>
      <c r="I77" s="46"/>
      <c r="J77" s="46" t="s">
        <v>15</v>
      </c>
      <c r="K77" s="46" t="s">
        <v>149</v>
      </c>
      <c r="L77" s="24">
        <v>0.88</v>
      </c>
      <c r="M77" s="46" t="s">
        <v>46</v>
      </c>
    </row>
    <row r="78" spans="1:13" x14ac:dyDescent="0.3">
      <c r="A78" s="27">
        <v>45784</v>
      </c>
      <c r="B78" s="28" t="s">
        <v>50</v>
      </c>
      <c r="C78" s="28" t="s">
        <v>150</v>
      </c>
      <c r="D78" s="27">
        <v>45784</v>
      </c>
      <c r="E78" s="28">
        <v>42.12</v>
      </c>
      <c r="F78" s="28">
        <v>0</v>
      </c>
      <c r="G78" s="28">
        <v>15332.89</v>
      </c>
      <c r="H78" s="28"/>
      <c r="I78" s="28"/>
      <c r="J78" s="28" t="s">
        <v>4</v>
      </c>
      <c r="K78" s="28" t="s">
        <v>49</v>
      </c>
      <c r="L78" s="24">
        <v>0.97</v>
      </c>
      <c r="M78" s="28" t="s">
        <v>46</v>
      </c>
    </row>
    <row r="79" spans="1:13" x14ac:dyDescent="0.3">
      <c r="A79" s="25">
        <v>45785</v>
      </c>
      <c r="B79" s="26" t="s">
        <v>151</v>
      </c>
      <c r="C79" s="26" t="s">
        <v>152</v>
      </c>
      <c r="D79" s="25">
        <v>45785</v>
      </c>
      <c r="E79" s="26">
        <v>0</v>
      </c>
      <c r="F79" s="26">
        <v>3.1</v>
      </c>
      <c r="G79" s="26">
        <v>15335.99</v>
      </c>
      <c r="H79" s="26"/>
      <c r="I79" s="26"/>
      <c r="J79" s="26" t="s">
        <v>3</v>
      </c>
      <c r="K79" s="26" t="s">
        <v>49</v>
      </c>
      <c r="L79" s="24">
        <v>0.93</v>
      </c>
      <c r="M79" s="26" t="s">
        <v>46</v>
      </c>
    </row>
    <row r="80" spans="1:13" x14ac:dyDescent="0.3">
      <c r="A80" s="25">
        <v>45786</v>
      </c>
      <c r="B80" s="26" t="s">
        <v>153</v>
      </c>
      <c r="C80" s="26" t="s">
        <v>154</v>
      </c>
      <c r="D80" s="25">
        <v>45786</v>
      </c>
      <c r="E80" s="26">
        <v>0</v>
      </c>
      <c r="F80" s="26">
        <v>10513.35</v>
      </c>
      <c r="G80" s="26">
        <v>25849.34</v>
      </c>
      <c r="H80" s="26"/>
      <c r="I80" s="26"/>
      <c r="J80" s="26" t="s">
        <v>3</v>
      </c>
      <c r="K80" s="26" t="s">
        <v>49</v>
      </c>
      <c r="L80" s="24">
        <v>0.93</v>
      </c>
      <c r="M80" s="26" t="s">
        <v>46</v>
      </c>
    </row>
    <row r="81" spans="1:13" x14ac:dyDescent="0.3">
      <c r="A81" s="47">
        <v>45786</v>
      </c>
      <c r="B81" s="48" t="s">
        <v>155</v>
      </c>
      <c r="C81" s="48" t="s">
        <v>156</v>
      </c>
      <c r="D81" s="47">
        <v>45786</v>
      </c>
      <c r="E81" s="48">
        <v>0</v>
      </c>
      <c r="F81" s="48">
        <v>100000</v>
      </c>
      <c r="G81" s="48">
        <v>125849.34</v>
      </c>
      <c r="H81" s="48"/>
      <c r="I81" s="48"/>
      <c r="J81" s="48" t="s">
        <v>16</v>
      </c>
      <c r="K81" s="48" t="s">
        <v>157</v>
      </c>
      <c r="L81" s="24">
        <v>0.88</v>
      </c>
      <c r="M81" s="48" t="s">
        <v>46</v>
      </c>
    </row>
    <row r="82" spans="1:13" x14ac:dyDescent="0.3">
      <c r="A82" s="27">
        <v>45786</v>
      </c>
      <c r="B82" s="28" t="s">
        <v>50</v>
      </c>
      <c r="C82" s="28" t="s">
        <v>158</v>
      </c>
      <c r="D82" s="27">
        <v>45786</v>
      </c>
      <c r="E82" s="28">
        <v>42.13</v>
      </c>
      <c r="F82" s="28">
        <v>0</v>
      </c>
      <c r="G82" s="28">
        <v>125807.21</v>
      </c>
      <c r="H82" s="28"/>
      <c r="I82" s="28"/>
      <c r="J82" s="28" t="s">
        <v>4</v>
      </c>
      <c r="K82" s="28" t="s">
        <v>49</v>
      </c>
      <c r="L82" s="24">
        <v>0.97</v>
      </c>
      <c r="M82" s="28" t="s">
        <v>46</v>
      </c>
    </row>
    <row r="83" spans="1:13" x14ac:dyDescent="0.3">
      <c r="A83" s="27">
        <v>45786</v>
      </c>
      <c r="B83" s="28" t="s">
        <v>50</v>
      </c>
      <c r="C83" s="28" t="s">
        <v>159</v>
      </c>
      <c r="D83" s="27">
        <v>45786</v>
      </c>
      <c r="E83" s="28">
        <v>96.9</v>
      </c>
      <c r="F83" s="28">
        <v>0</v>
      </c>
      <c r="G83" s="28">
        <v>125710.31</v>
      </c>
      <c r="H83" s="28"/>
      <c r="I83" s="28"/>
      <c r="J83" s="28" t="s">
        <v>4</v>
      </c>
      <c r="K83" s="28" t="s">
        <v>49</v>
      </c>
      <c r="L83" s="24">
        <v>0.97</v>
      </c>
      <c r="M83" s="28" t="s">
        <v>46</v>
      </c>
    </row>
    <row r="84" spans="1:13" x14ac:dyDescent="0.3">
      <c r="A84" s="41">
        <v>45787</v>
      </c>
      <c r="B84" s="42" t="s">
        <v>160</v>
      </c>
      <c r="C84" s="42" t="s">
        <v>161</v>
      </c>
      <c r="D84" s="41">
        <v>45787</v>
      </c>
      <c r="E84" s="42">
        <v>20</v>
      </c>
      <c r="F84" s="42">
        <v>0</v>
      </c>
      <c r="G84" s="42">
        <v>125690.31</v>
      </c>
      <c r="H84" s="42"/>
      <c r="I84" s="42"/>
      <c r="J84" s="42" t="s">
        <v>13</v>
      </c>
      <c r="K84" s="42" t="s">
        <v>131</v>
      </c>
      <c r="L84" s="40">
        <v>0.82</v>
      </c>
      <c r="M84" s="42" t="s">
        <v>46</v>
      </c>
    </row>
    <row r="85" spans="1:13" x14ac:dyDescent="0.3">
      <c r="A85" s="41">
        <v>45787</v>
      </c>
      <c r="B85" s="42" t="s">
        <v>162</v>
      </c>
      <c r="C85" s="42" t="s">
        <v>163</v>
      </c>
      <c r="D85" s="41">
        <v>45787</v>
      </c>
      <c r="E85" s="42">
        <v>280</v>
      </c>
      <c r="F85" s="42">
        <v>0</v>
      </c>
      <c r="G85" s="42">
        <v>125410.31</v>
      </c>
      <c r="H85" s="42"/>
      <c r="I85" s="42"/>
      <c r="J85" s="42" t="s">
        <v>13</v>
      </c>
      <c r="K85" s="42" t="s">
        <v>131</v>
      </c>
      <c r="L85" s="40">
        <v>0.82</v>
      </c>
      <c r="M85" s="42" t="s">
        <v>46</v>
      </c>
    </row>
    <row r="86" spans="1:13" x14ac:dyDescent="0.3">
      <c r="A86" s="27">
        <v>45789</v>
      </c>
      <c r="B86" s="28" t="s">
        <v>50</v>
      </c>
      <c r="C86" s="28" t="s">
        <v>164</v>
      </c>
      <c r="D86" s="27">
        <v>45789</v>
      </c>
      <c r="E86" s="28">
        <v>113.28</v>
      </c>
      <c r="F86" s="28">
        <v>0</v>
      </c>
      <c r="G86" s="28">
        <v>125297.03</v>
      </c>
      <c r="H86" s="28"/>
      <c r="I86" s="28"/>
      <c r="J86" s="28" t="s">
        <v>4</v>
      </c>
      <c r="K86" s="28" t="s">
        <v>49</v>
      </c>
      <c r="L86" s="24">
        <v>0.97</v>
      </c>
      <c r="M86" s="28" t="s">
        <v>46</v>
      </c>
    </row>
    <row r="87" spans="1:13" x14ac:dyDescent="0.3">
      <c r="A87" s="25">
        <v>45790</v>
      </c>
      <c r="B87" s="26" t="s">
        <v>165</v>
      </c>
      <c r="C87" s="26" t="s">
        <v>166</v>
      </c>
      <c r="D87" s="25">
        <v>45790</v>
      </c>
      <c r="E87" s="26">
        <v>0</v>
      </c>
      <c r="F87" s="26">
        <v>1854.08</v>
      </c>
      <c r="G87" s="26">
        <v>127151.11</v>
      </c>
      <c r="H87" s="26"/>
      <c r="I87" s="26"/>
      <c r="J87" s="26" t="s">
        <v>3</v>
      </c>
      <c r="K87" s="26" t="s">
        <v>49</v>
      </c>
      <c r="L87" s="24">
        <v>0.93</v>
      </c>
      <c r="M87" s="26" t="s">
        <v>46</v>
      </c>
    </row>
    <row r="88" spans="1:13" x14ac:dyDescent="0.3">
      <c r="A88" s="27">
        <v>45790</v>
      </c>
      <c r="B88" s="28" t="s">
        <v>50</v>
      </c>
      <c r="C88" s="28" t="s">
        <v>167</v>
      </c>
      <c r="D88" s="27">
        <v>45790</v>
      </c>
      <c r="E88" s="28">
        <v>1030.0999999999999</v>
      </c>
      <c r="F88" s="28">
        <v>0</v>
      </c>
      <c r="G88" s="28">
        <v>126121.01</v>
      </c>
      <c r="H88" s="28"/>
      <c r="I88" s="28"/>
      <c r="J88" s="28" t="s">
        <v>4</v>
      </c>
      <c r="K88" s="28" t="s">
        <v>49</v>
      </c>
      <c r="L88" s="24">
        <v>0.97</v>
      </c>
      <c r="M88" s="28" t="s">
        <v>46</v>
      </c>
    </row>
    <row r="89" spans="1:13" x14ac:dyDescent="0.3">
      <c r="A89" s="27">
        <v>45791</v>
      </c>
      <c r="B89" s="28" t="s">
        <v>50</v>
      </c>
      <c r="C89" s="28" t="s">
        <v>168</v>
      </c>
      <c r="D89" s="27">
        <v>45791</v>
      </c>
      <c r="E89" s="28">
        <v>38.07</v>
      </c>
      <c r="F89" s="28">
        <v>0</v>
      </c>
      <c r="G89" s="28">
        <v>126082.94</v>
      </c>
      <c r="H89" s="28"/>
      <c r="I89" s="28"/>
      <c r="J89" s="28" t="s">
        <v>4</v>
      </c>
      <c r="K89" s="28" t="s">
        <v>49</v>
      </c>
      <c r="L89" s="24">
        <v>0.97</v>
      </c>
      <c r="M89" s="28" t="s">
        <v>46</v>
      </c>
    </row>
    <row r="90" spans="1:13" x14ac:dyDescent="0.3">
      <c r="A90" s="25">
        <v>45792</v>
      </c>
      <c r="B90" s="26" t="s">
        <v>169</v>
      </c>
      <c r="C90" s="26" t="s">
        <v>170</v>
      </c>
      <c r="D90" s="25">
        <v>45792</v>
      </c>
      <c r="E90" s="26">
        <v>0</v>
      </c>
      <c r="F90" s="26">
        <v>86.65</v>
      </c>
      <c r="G90" s="26">
        <v>126169.59</v>
      </c>
      <c r="H90" s="26"/>
      <c r="I90" s="26"/>
      <c r="J90" s="26" t="s">
        <v>3</v>
      </c>
      <c r="K90" s="26" t="s">
        <v>49</v>
      </c>
      <c r="L90" s="24">
        <v>0.93</v>
      </c>
      <c r="M90" s="26" t="s">
        <v>46</v>
      </c>
    </row>
    <row r="91" spans="1:13" x14ac:dyDescent="0.3">
      <c r="A91" s="27">
        <v>45792</v>
      </c>
      <c r="B91" s="28" t="s">
        <v>50</v>
      </c>
      <c r="C91" s="28" t="s">
        <v>171</v>
      </c>
      <c r="D91" s="27">
        <v>45792</v>
      </c>
      <c r="E91" s="28">
        <v>38.07</v>
      </c>
      <c r="F91" s="28">
        <v>0</v>
      </c>
      <c r="G91" s="28">
        <v>126131.52</v>
      </c>
      <c r="H91" s="28"/>
      <c r="I91" s="28"/>
      <c r="J91" s="28" t="s">
        <v>4</v>
      </c>
      <c r="K91" s="28" t="s">
        <v>49</v>
      </c>
      <c r="L91" s="24">
        <v>0.97</v>
      </c>
      <c r="M91" s="28" t="s">
        <v>46</v>
      </c>
    </row>
    <row r="92" spans="1:13" x14ac:dyDescent="0.3">
      <c r="A92" s="27">
        <v>45792</v>
      </c>
      <c r="B92" s="28" t="s">
        <v>50</v>
      </c>
      <c r="C92" s="28" t="s">
        <v>172</v>
      </c>
      <c r="D92" s="27">
        <v>45792</v>
      </c>
      <c r="E92" s="28">
        <v>15167.97</v>
      </c>
      <c r="F92" s="28">
        <v>0</v>
      </c>
      <c r="G92" s="28">
        <v>110963.55</v>
      </c>
      <c r="H92" s="28"/>
      <c r="I92" s="28"/>
      <c r="J92" s="28" t="s">
        <v>4</v>
      </c>
      <c r="K92" s="28" t="s">
        <v>49</v>
      </c>
      <c r="L92" s="24">
        <v>0.97</v>
      </c>
      <c r="M92" s="28" t="s">
        <v>46</v>
      </c>
    </row>
    <row r="93" spans="1:13" x14ac:dyDescent="0.3">
      <c r="A93" s="25">
        <v>45793</v>
      </c>
      <c r="B93" s="26" t="s">
        <v>173</v>
      </c>
      <c r="C93" s="26" t="s">
        <v>174</v>
      </c>
      <c r="D93" s="25">
        <v>45793</v>
      </c>
      <c r="E93" s="26">
        <v>0</v>
      </c>
      <c r="F93" s="26">
        <v>1447.99</v>
      </c>
      <c r="G93" s="26">
        <v>112411.54</v>
      </c>
      <c r="H93" s="26"/>
      <c r="I93" s="26"/>
      <c r="J93" s="26" t="s">
        <v>3</v>
      </c>
      <c r="K93" s="26" t="s">
        <v>49</v>
      </c>
      <c r="L93" s="24">
        <v>0.93</v>
      </c>
      <c r="M93" s="26" t="s">
        <v>46</v>
      </c>
    </row>
    <row r="94" spans="1:13" x14ac:dyDescent="0.3">
      <c r="A94" s="49">
        <v>45793</v>
      </c>
      <c r="B94" s="50" t="s">
        <v>175</v>
      </c>
      <c r="C94" s="50" t="s">
        <v>176</v>
      </c>
      <c r="D94" s="49">
        <v>45793</v>
      </c>
      <c r="E94" s="50">
        <v>0</v>
      </c>
      <c r="F94" s="50">
        <v>795</v>
      </c>
      <c r="G94" s="50">
        <v>113206.54</v>
      </c>
      <c r="H94" s="50"/>
      <c r="I94" s="50"/>
      <c r="J94" s="50" t="s">
        <v>17</v>
      </c>
      <c r="K94" s="50" t="s">
        <v>17</v>
      </c>
      <c r="L94" s="24">
        <v>0.88</v>
      </c>
      <c r="M94" s="50" t="s">
        <v>46</v>
      </c>
    </row>
    <row r="95" spans="1:13" x14ac:dyDescent="0.3">
      <c r="A95" s="27">
        <v>45793</v>
      </c>
      <c r="B95" s="28" t="s">
        <v>50</v>
      </c>
      <c r="C95" s="28" t="s">
        <v>177</v>
      </c>
      <c r="D95" s="27">
        <v>45793</v>
      </c>
      <c r="E95" s="28">
        <v>32.700000000000003</v>
      </c>
      <c r="F95" s="28">
        <v>0</v>
      </c>
      <c r="G95" s="28">
        <v>113173.84</v>
      </c>
      <c r="H95" s="28"/>
      <c r="I95" s="28"/>
      <c r="J95" s="28" t="s">
        <v>4</v>
      </c>
      <c r="K95" s="28" t="s">
        <v>49</v>
      </c>
      <c r="L95" s="24">
        <v>0.97</v>
      </c>
      <c r="M95" s="28" t="s">
        <v>46</v>
      </c>
    </row>
    <row r="96" spans="1:13" x14ac:dyDescent="0.3">
      <c r="A96" s="27">
        <v>45793</v>
      </c>
      <c r="B96" s="28" t="s">
        <v>50</v>
      </c>
      <c r="C96" s="28" t="s">
        <v>178</v>
      </c>
      <c r="D96" s="27">
        <v>45793</v>
      </c>
      <c r="E96" s="28">
        <v>20096.54</v>
      </c>
      <c r="F96" s="28">
        <v>0</v>
      </c>
      <c r="G96" s="28">
        <v>93077.3</v>
      </c>
      <c r="H96" s="28"/>
      <c r="I96" s="28"/>
      <c r="J96" s="28" t="s">
        <v>4</v>
      </c>
      <c r="K96" s="28" t="s">
        <v>49</v>
      </c>
      <c r="L96" s="24">
        <v>0.97</v>
      </c>
      <c r="M96" s="28" t="s">
        <v>46</v>
      </c>
    </row>
    <row r="97" spans="1:13" x14ac:dyDescent="0.3">
      <c r="A97" s="51">
        <v>45796</v>
      </c>
      <c r="B97" s="52" t="s">
        <v>179</v>
      </c>
      <c r="C97" s="52" t="s">
        <v>180</v>
      </c>
      <c r="D97" s="51">
        <v>45796</v>
      </c>
      <c r="E97" s="52">
        <v>50000</v>
      </c>
      <c r="F97" s="52">
        <v>0</v>
      </c>
      <c r="G97" s="52">
        <v>43077.3</v>
      </c>
      <c r="H97" s="52"/>
      <c r="I97" s="52"/>
      <c r="J97" s="52" t="s">
        <v>18</v>
      </c>
      <c r="K97" s="52" t="s">
        <v>181</v>
      </c>
      <c r="L97" s="24">
        <v>0.85</v>
      </c>
      <c r="M97" s="52" t="s">
        <v>46</v>
      </c>
    </row>
    <row r="98" spans="1:13" x14ac:dyDescent="0.3">
      <c r="A98" s="27">
        <v>45796</v>
      </c>
      <c r="B98" s="28" t="s">
        <v>50</v>
      </c>
      <c r="C98" s="28" t="s">
        <v>182</v>
      </c>
      <c r="D98" s="27">
        <v>45796</v>
      </c>
      <c r="E98" s="28">
        <v>29.64</v>
      </c>
      <c r="F98" s="28">
        <v>0</v>
      </c>
      <c r="G98" s="28">
        <v>43047.66</v>
      </c>
      <c r="H98" s="28"/>
      <c r="I98" s="28"/>
      <c r="J98" s="28" t="s">
        <v>4</v>
      </c>
      <c r="K98" s="28" t="s">
        <v>49</v>
      </c>
      <c r="L98" s="24">
        <v>0.97</v>
      </c>
      <c r="M98" s="28" t="s">
        <v>46</v>
      </c>
    </row>
    <row r="99" spans="1:13" x14ac:dyDescent="0.3">
      <c r="A99" s="35">
        <v>45796</v>
      </c>
      <c r="B99" s="36" t="s">
        <v>183</v>
      </c>
      <c r="C99" s="36" t="s">
        <v>83</v>
      </c>
      <c r="D99" s="35">
        <v>45796</v>
      </c>
      <c r="E99" s="36">
        <v>1062</v>
      </c>
      <c r="F99" s="36">
        <v>0</v>
      </c>
      <c r="G99" s="36">
        <v>41985.66</v>
      </c>
      <c r="H99" s="36"/>
      <c r="I99" s="36"/>
      <c r="J99" s="36" t="s">
        <v>9</v>
      </c>
      <c r="K99" s="36" t="s">
        <v>9</v>
      </c>
      <c r="L99" s="24">
        <v>0.93</v>
      </c>
      <c r="M99" s="36" t="s">
        <v>46</v>
      </c>
    </row>
    <row r="100" spans="1:13" x14ac:dyDescent="0.3">
      <c r="A100" s="27">
        <v>45796</v>
      </c>
      <c r="B100" s="28" t="s">
        <v>50</v>
      </c>
      <c r="C100" s="28" t="s">
        <v>184</v>
      </c>
      <c r="D100" s="27">
        <v>45796</v>
      </c>
      <c r="E100" s="28">
        <v>396.51</v>
      </c>
      <c r="F100" s="28">
        <v>0</v>
      </c>
      <c r="G100" s="28">
        <v>41589.15</v>
      </c>
      <c r="H100" s="28"/>
      <c r="I100" s="28"/>
      <c r="J100" s="28" t="s">
        <v>4</v>
      </c>
      <c r="K100" s="28" t="s">
        <v>49</v>
      </c>
      <c r="L100" s="24">
        <v>0.97</v>
      </c>
      <c r="M100" s="28" t="s">
        <v>46</v>
      </c>
    </row>
    <row r="101" spans="1:13" x14ac:dyDescent="0.3">
      <c r="A101" s="27">
        <v>45797</v>
      </c>
      <c r="B101" s="28" t="s">
        <v>50</v>
      </c>
      <c r="C101" s="28" t="s">
        <v>185</v>
      </c>
      <c r="D101" s="27">
        <v>45797</v>
      </c>
      <c r="E101" s="28">
        <v>28.39</v>
      </c>
      <c r="F101" s="28">
        <v>0</v>
      </c>
      <c r="G101" s="28">
        <v>41560.76</v>
      </c>
      <c r="H101" s="28"/>
      <c r="I101" s="28"/>
      <c r="J101" s="28" t="s">
        <v>4</v>
      </c>
      <c r="K101" s="28" t="s">
        <v>49</v>
      </c>
      <c r="L101" s="24">
        <v>0.97</v>
      </c>
      <c r="M101" s="28" t="s">
        <v>46</v>
      </c>
    </row>
    <row r="102" spans="1:13" x14ac:dyDescent="0.3">
      <c r="A102" s="27">
        <v>45797</v>
      </c>
      <c r="B102" s="28" t="s">
        <v>50</v>
      </c>
      <c r="C102" s="28" t="s">
        <v>186</v>
      </c>
      <c r="D102" s="27">
        <v>45797</v>
      </c>
      <c r="E102" s="28">
        <v>557.52</v>
      </c>
      <c r="F102" s="28">
        <v>0</v>
      </c>
      <c r="G102" s="28">
        <v>41003.24</v>
      </c>
      <c r="H102" s="28"/>
      <c r="I102" s="28"/>
      <c r="J102" s="28" t="s">
        <v>4</v>
      </c>
      <c r="K102" s="28" t="s">
        <v>49</v>
      </c>
      <c r="L102" s="24">
        <v>0.97</v>
      </c>
      <c r="M102" s="28" t="s">
        <v>46</v>
      </c>
    </row>
    <row r="103" spans="1:13" x14ac:dyDescent="0.3">
      <c r="A103" s="27">
        <v>45798</v>
      </c>
      <c r="B103" s="28" t="s">
        <v>50</v>
      </c>
      <c r="C103" s="28" t="s">
        <v>187</v>
      </c>
      <c r="D103" s="27">
        <v>45798</v>
      </c>
      <c r="E103" s="28">
        <v>28.19</v>
      </c>
      <c r="F103" s="28">
        <v>0</v>
      </c>
      <c r="G103" s="28">
        <v>40975.050000000003</v>
      </c>
      <c r="H103" s="28"/>
      <c r="I103" s="28"/>
      <c r="J103" s="28" t="s">
        <v>4</v>
      </c>
      <c r="K103" s="28" t="s">
        <v>49</v>
      </c>
      <c r="L103" s="24">
        <v>0.97</v>
      </c>
      <c r="M103" s="28" t="s">
        <v>46</v>
      </c>
    </row>
    <row r="104" spans="1:13" x14ac:dyDescent="0.3">
      <c r="A104" s="25">
        <v>45799</v>
      </c>
      <c r="B104" s="26" t="s">
        <v>188</v>
      </c>
      <c r="C104" s="26" t="s">
        <v>189</v>
      </c>
      <c r="D104" s="25">
        <v>45799</v>
      </c>
      <c r="E104" s="26">
        <v>0</v>
      </c>
      <c r="F104" s="26">
        <v>223.8</v>
      </c>
      <c r="G104" s="26">
        <v>41198.85</v>
      </c>
      <c r="H104" s="26"/>
      <c r="I104" s="26"/>
      <c r="J104" s="26" t="s">
        <v>3</v>
      </c>
      <c r="K104" s="26" t="s">
        <v>49</v>
      </c>
      <c r="L104" s="24">
        <v>0.93</v>
      </c>
      <c r="M104" s="26" t="s">
        <v>46</v>
      </c>
    </row>
    <row r="105" spans="1:13" x14ac:dyDescent="0.3">
      <c r="A105" s="45">
        <v>45799</v>
      </c>
      <c r="B105" s="46" t="s">
        <v>190</v>
      </c>
      <c r="C105" s="46" t="s">
        <v>191</v>
      </c>
      <c r="D105" s="45">
        <v>45799</v>
      </c>
      <c r="E105" s="46">
        <v>0</v>
      </c>
      <c r="F105" s="46">
        <v>50000</v>
      </c>
      <c r="G105" s="46">
        <v>91198.85</v>
      </c>
      <c r="H105" s="46"/>
      <c r="I105" s="46"/>
      <c r="J105" s="46" t="s">
        <v>19</v>
      </c>
      <c r="K105" s="46" t="s">
        <v>149</v>
      </c>
      <c r="L105" s="24">
        <v>0.88</v>
      </c>
      <c r="M105" s="46" t="s">
        <v>46</v>
      </c>
    </row>
    <row r="106" spans="1:13" x14ac:dyDescent="0.3">
      <c r="A106" s="51">
        <v>45799</v>
      </c>
      <c r="B106" s="52" t="s">
        <v>192</v>
      </c>
      <c r="C106" s="52" t="s">
        <v>193</v>
      </c>
      <c r="D106" s="51">
        <v>45799</v>
      </c>
      <c r="E106" s="52">
        <v>50000</v>
      </c>
      <c r="F106" s="52">
        <v>0</v>
      </c>
      <c r="G106" s="52">
        <v>41198.85</v>
      </c>
      <c r="H106" s="52"/>
      <c r="I106" s="52"/>
      <c r="J106" s="52" t="s">
        <v>18</v>
      </c>
      <c r="K106" s="52" t="s">
        <v>181</v>
      </c>
      <c r="L106" s="24">
        <v>0.85</v>
      </c>
      <c r="M106" s="52" t="s">
        <v>46</v>
      </c>
    </row>
    <row r="107" spans="1:13" x14ac:dyDescent="0.3">
      <c r="A107" s="27">
        <v>45799</v>
      </c>
      <c r="B107" s="28" t="s">
        <v>50</v>
      </c>
      <c r="C107" s="28" t="s">
        <v>194</v>
      </c>
      <c r="D107" s="27">
        <v>45799</v>
      </c>
      <c r="E107" s="28">
        <v>28.19</v>
      </c>
      <c r="F107" s="28">
        <v>0</v>
      </c>
      <c r="G107" s="28">
        <v>41170.660000000003</v>
      </c>
      <c r="H107" s="28"/>
      <c r="I107" s="28"/>
      <c r="J107" s="28" t="s">
        <v>4</v>
      </c>
      <c r="K107" s="28" t="s">
        <v>49</v>
      </c>
      <c r="L107" s="24">
        <v>0.97</v>
      </c>
      <c r="M107" s="28" t="s">
        <v>46</v>
      </c>
    </row>
    <row r="108" spans="1:13" x14ac:dyDescent="0.3">
      <c r="A108" s="27">
        <v>45799</v>
      </c>
      <c r="B108" s="28" t="s">
        <v>50</v>
      </c>
      <c r="C108" s="28" t="s">
        <v>195</v>
      </c>
      <c r="D108" s="27">
        <v>45799</v>
      </c>
      <c r="E108" s="28">
        <v>515.35</v>
      </c>
      <c r="F108" s="28">
        <v>0</v>
      </c>
      <c r="G108" s="28">
        <v>40655.31</v>
      </c>
      <c r="H108" s="28"/>
      <c r="I108" s="28"/>
      <c r="J108" s="28" t="s">
        <v>4</v>
      </c>
      <c r="K108" s="28" t="s">
        <v>49</v>
      </c>
      <c r="L108" s="24">
        <v>0.97</v>
      </c>
      <c r="M108" s="28" t="s">
        <v>46</v>
      </c>
    </row>
    <row r="109" spans="1:13" x14ac:dyDescent="0.3">
      <c r="A109" s="27">
        <v>45800</v>
      </c>
      <c r="B109" s="28" t="s">
        <v>50</v>
      </c>
      <c r="C109" s="28" t="s">
        <v>196</v>
      </c>
      <c r="D109" s="27">
        <v>45800</v>
      </c>
      <c r="E109" s="28">
        <v>28.09</v>
      </c>
      <c r="F109" s="28">
        <v>0</v>
      </c>
      <c r="G109" s="28">
        <v>40627.22</v>
      </c>
      <c r="H109" s="28"/>
      <c r="I109" s="28"/>
      <c r="J109" s="28" t="s">
        <v>4</v>
      </c>
      <c r="K109" s="28" t="s">
        <v>49</v>
      </c>
      <c r="L109" s="24">
        <v>0.97</v>
      </c>
      <c r="M109" s="28" t="s">
        <v>46</v>
      </c>
    </row>
    <row r="110" spans="1:13" x14ac:dyDescent="0.3">
      <c r="A110" s="25">
        <v>45803</v>
      </c>
      <c r="B110" s="26" t="s">
        <v>197</v>
      </c>
      <c r="C110" s="26" t="s">
        <v>198</v>
      </c>
      <c r="D110" s="25">
        <v>45803</v>
      </c>
      <c r="E110" s="26">
        <v>0</v>
      </c>
      <c r="F110" s="26">
        <v>422.3</v>
      </c>
      <c r="G110" s="26">
        <v>41049.519999999997</v>
      </c>
      <c r="H110" s="26"/>
      <c r="I110" s="26"/>
      <c r="J110" s="26" t="s">
        <v>3</v>
      </c>
      <c r="K110" s="26" t="s">
        <v>49</v>
      </c>
      <c r="L110" s="24">
        <v>0.93</v>
      </c>
      <c r="M110" s="26" t="s">
        <v>46</v>
      </c>
    </row>
    <row r="111" spans="1:13" x14ac:dyDescent="0.3">
      <c r="A111" s="27">
        <v>45803</v>
      </c>
      <c r="B111" s="28" t="s">
        <v>50</v>
      </c>
      <c r="C111" s="28" t="s">
        <v>199</v>
      </c>
      <c r="D111" s="27">
        <v>45803</v>
      </c>
      <c r="E111" s="28">
        <v>84.27</v>
      </c>
      <c r="F111" s="28">
        <v>0</v>
      </c>
      <c r="G111" s="28">
        <v>40965.25</v>
      </c>
      <c r="H111" s="28"/>
      <c r="I111" s="28"/>
      <c r="J111" s="28" t="s">
        <v>4</v>
      </c>
      <c r="K111" s="28" t="s">
        <v>49</v>
      </c>
      <c r="L111" s="24">
        <v>0.97</v>
      </c>
      <c r="M111" s="28" t="s">
        <v>46</v>
      </c>
    </row>
    <row r="112" spans="1:13" x14ac:dyDescent="0.3">
      <c r="A112" s="27">
        <v>45803</v>
      </c>
      <c r="B112" s="28" t="s">
        <v>50</v>
      </c>
      <c r="C112" s="28" t="s">
        <v>200</v>
      </c>
      <c r="D112" s="27">
        <v>45803</v>
      </c>
      <c r="E112" s="28">
        <v>6503.99</v>
      </c>
      <c r="F112" s="28">
        <v>0</v>
      </c>
      <c r="G112" s="28">
        <v>34461.26</v>
      </c>
      <c r="H112" s="28"/>
      <c r="I112" s="28"/>
      <c r="J112" s="28" t="s">
        <v>4</v>
      </c>
      <c r="K112" s="28" t="s">
        <v>49</v>
      </c>
      <c r="L112" s="24">
        <v>0.97</v>
      </c>
      <c r="M112" s="28" t="s">
        <v>46</v>
      </c>
    </row>
    <row r="113" spans="1:13" x14ac:dyDescent="0.3">
      <c r="A113" s="27">
        <v>45804</v>
      </c>
      <c r="B113" s="28" t="s">
        <v>50</v>
      </c>
      <c r="C113" s="28" t="s">
        <v>201</v>
      </c>
      <c r="D113" s="27">
        <v>45804</v>
      </c>
      <c r="E113" s="28">
        <v>25.92</v>
      </c>
      <c r="F113" s="28">
        <v>0</v>
      </c>
      <c r="G113" s="28">
        <v>34435.339999999997</v>
      </c>
      <c r="H113" s="28"/>
      <c r="I113" s="28"/>
      <c r="J113" s="28" t="s">
        <v>4</v>
      </c>
      <c r="K113" s="28" t="s">
        <v>49</v>
      </c>
      <c r="L113" s="24">
        <v>0.97</v>
      </c>
      <c r="M113" s="28" t="s">
        <v>46</v>
      </c>
    </row>
    <row r="114" spans="1:13" x14ac:dyDescent="0.3">
      <c r="A114" s="27">
        <v>45804</v>
      </c>
      <c r="B114" s="28" t="s">
        <v>50</v>
      </c>
      <c r="C114" s="28" t="s">
        <v>202</v>
      </c>
      <c r="D114" s="27">
        <v>45804</v>
      </c>
      <c r="E114" s="28">
        <v>344.54</v>
      </c>
      <c r="F114" s="28">
        <v>0</v>
      </c>
      <c r="G114" s="28">
        <v>34090.800000000003</v>
      </c>
      <c r="H114" s="28"/>
      <c r="I114" s="28"/>
      <c r="J114" s="28" t="s">
        <v>4</v>
      </c>
      <c r="K114" s="28" t="s">
        <v>49</v>
      </c>
      <c r="L114" s="24">
        <v>0.97</v>
      </c>
      <c r="M114" s="28" t="s">
        <v>46</v>
      </c>
    </row>
    <row r="115" spans="1:13" x14ac:dyDescent="0.3">
      <c r="A115" s="22">
        <v>45805</v>
      </c>
      <c r="B115" s="23" t="s">
        <v>203</v>
      </c>
      <c r="C115" s="23" t="s">
        <v>204</v>
      </c>
      <c r="D115" s="22">
        <v>45805</v>
      </c>
      <c r="E115" s="23">
        <v>5000</v>
      </c>
      <c r="F115" s="23">
        <v>0</v>
      </c>
      <c r="G115" s="23">
        <v>29090.799999999999</v>
      </c>
      <c r="H115" s="23"/>
      <c r="I115" s="23"/>
      <c r="J115" s="23" t="s">
        <v>2</v>
      </c>
      <c r="K115" s="23" t="s">
        <v>2</v>
      </c>
      <c r="L115" s="24">
        <v>0.95</v>
      </c>
      <c r="M115" s="23" t="s">
        <v>46</v>
      </c>
    </row>
    <row r="116" spans="1:13" x14ac:dyDescent="0.3">
      <c r="A116" s="27">
        <v>45805</v>
      </c>
      <c r="B116" s="28" t="s">
        <v>50</v>
      </c>
      <c r="C116" s="28" t="s">
        <v>205</v>
      </c>
      <c r="D116" s="27">
        <v>45805</v>
      </c>
      <c r="E116" s="28">
        <v>31.84</v>
      </c>
      <c r="F116" s="28">
        <v>0</v>
      </c>
      <c r="G116" s="28">
        <v>29058.959999999999</v>
      </c>
      <c r="H116" s="28"/>
      <c r="I116" s="28"/>
      <c r="J116" s="28" t="s">
        <v>4</v>
      </c>
      <c r="K116" s="28" t="s">
        <v>49</v>
      </c>
      <c r="L116" s="24">
        <v>0.97</v>
      </c>
      <c r="M116" s="28" t="s">
        <v>46</v>
      </c>
    </row>
    <row r="117" spans="1:13" x14ac:dyDescent="0.3">
      <c r="A117" s="25">
        <v>45806</v>
      </c>
      <c r="B117" s="26" t="s">
        <v>206</v>
      </c>
      <c r="C117" s="26" t="s">
        <v>207</v>
      </c>
      <c r="D117" s="25">
        <v>45806</v>
      </c>
      <c r="E117" s="26">
        <v>0</v>
      </c>
      <c r="F117" s="26">
        <v>331.56</v>
      </c>
      <c r="G117" s="26">
        <v>29390.52</v>
      </c>
      <c r="H117" s="26"/>
      <c r="I117" s="26"/>
      <c r="J117" s="26" t="s">
        <v>3</v>
      </c>
      <c r="K117" s="26" t="s">
        <v>49</v>
      </c>
      <c r="L117" s="24">
        <v>0.93</v>
      </c>
      <c r="M117" s="26" t="s">
        <v>46</v>
      </c>
    </row>
    <row r="118" spans="1:13" x14ac:dyDescent="0.3">
      <c r="A118" s="27">
        <v>45806</v>
      </c>
      <c r="B118" s="28" t="s">
        <v>50</v>
      </c>
      <c r="C118" s="28" t="s">
        <v>208</v>
      </c>
      <c r="D118" s="27">
        <v>45806</v>
      </c>
      <c r="E118" s="28">
        <v>31.84</v>
      </c>
      <c r="F118" s="28">
        <v>0</v>
      </c>
      <c r="G118" s="28">
        <v>29358.68</v>
      </c>
      <c r="H118" s="28"/>
      <c r="I118" s="28"/>
      <c r="J118" s="28" t="s">
        <v>4</v>
      </c>
      <c r="K118" s="28" t="s">
        <v>49</v>
      </c>
      <c r="L118" s="24">
        <v>0.97</v>
      </c>
      <c r="M118" s="28" t="s">
        <v>46</v>
      </c>
    </row>
    <row r="119" spans="1:13" x14ac:dyDescent="0.3">
      <c r="A119" s="25">
        <v>45807</v>
      </c>
      <c r="B119" s="26" t="s">
        <v>209</v>
      </c>
      <c r="C119" s="26" t="s">
        <v>210</v>
      </c>
      <c r="D119" s="25">
        <v>45807</v>
      </c>
      <c r="E119" s="26">
        <v>0</v>
      </c>
      <c r="F119" s="26">
        <v>36.81</v>
      </c>
      <c r="G119" s="26">
        <v>29395.49</v>
      </c>
      <c r="H119" s="26"/>
      <c r="I119" s="26"/>
      <c r="J119" s="26" t="s">
        <v>3</v>
      </c>
      <c r="K119" s="26" t="s">
        <v>49</v>
      </c>
      <c r="L119" s="24">
        <v>0.93</v>
      </c>
      <c r="M119" s="26" t="s">
        <v>46</v>
      </c>
    </row>
    <row r="120" spans="1:13" x14ac:dyDescent="0.3">
      <c r="A120" s="22">
        <v>45807</v>
      </c>
      <c r="B120" s="23" t="s">
        <v>211</v>
      </c>
      <c r="C120" s="23" t="s">
        <v>212</v>
      </c>
      <c r="D120" s="22">
        <v>45807</v>
      </c>
      <c r="E120" s="23">
        <v>5000</v>
      </c>
      <c r="F120" s="23">
        <v>0</v>
      </c>
      <c r="G120" s="23">
        <v>24395.49</v>
      </c>
      <c r="H120" s="23"/>
      <c r="I120" s="23"/>
      <c r="J120" s="23" t="s">
        <v>2</v>
      </c>
      <c r="K120" s="23" t="s">
        <v>2</v>
      </c>
      <c r="L120" s="24">
        <v>0.95</v>
      </c>
      <c r="M120" s="23" t="s">
        <v>46</v>
      </c>
    </row>
    <row r="121" spans="1:13" x14ac:dyDescent="0.3">
      <c r="A121" s="49">
        <v>45807</v>
      </c>
      <c r="B121" s="50" t="s">
        <v>213</v>
      </c>
      <c r="C121" s="50" t="s">
        <v>214</v>
      </c>
      <c r="D121" s="49">
        <v>45807</v>
      </c>
      <c r="E121" s="50">
        <v>0</v>
      </c>
      <c r="F121" s="50">
        <v>2146.5</v>
      </c>
      <c r="G121" s="50">
        <v>26541.99</v>
      </c>
      <c r="H121" s="50"/>
      <c r="I121" s="50"/>
      <c r="J121" s="50" t="s">
        <v>17</v>
      </c>
      <c r="K121" s="50" t="s">
        <v>17</v>
      </c>
      <c r="L121" s="24">
        <v>0.88</v>
      </c>
      <c r="M121" s="50" t="s">
        <v>46</v>
      </c>
    </row>
    <row r="122" spans="1:13" x14ac:dyDescent="0.3">
      <c r="A122" s="27">
        <v>45807</v>
      </c>
      <c r="B122" s="28" t="s">
        <v>50</v>
      </c>
      <c r="C122" s="28" t="s">
        <v>215</v>
      </c>
      <c r="D122" s="27">
        <v>45807</v>
      </c>
      <c r="E122" s="28">
        <v>31.96</v>
      </c>
      <c r="F122" s="28">
        <v>0</v>
      </c>
      <c r="G122" s="28">
        <v>26510.03</v>
      </c>
      <c r="H122" s="28"/>
      <c r="I122" s="28"/>
      <c r="J122" s="28" t="s">
        <v>4</v>
      </c>
      <c r="K122" s="28" t="s">
        <v>49</v>
      </c>
      <c r="L122" s="24">
        <v>0.97</v>
      </c>
      <c r="M122" s="28" t="s">
        <v>46</v>
      </c>
    </row>
    <row r="123" spans="1:13" x14ac:dyDescent="0.3">
      <c r="A123" s="27">
        <v>45807</v>
      </c>
      <c r="B123" s="28" t="s">
        <v>50</v>
      </c>
      <c r="C123" s="28" t="s">
        <v>216</v>
      </c>
      <c r="D123" s="27">
        <v>45807</v>
      </c>
      <c r="E123" s="28">
        <v>3389.73</v>
      </c>
      <c r="F123" s="28">
        <v>0</v>
      </c>
      <c r="G123" s="28">
        <v>23120.3</v>
      </c>
      <c r="H123" s="28"/>
      <c r="I123" s="28"/>
      <c r="J123" s="28" t="s">
        <v>4</v>
      </c>
      <c r="K123" s="28" t="s">
        <v>49</v>
      </c>
      <c r="L123" s="24">
        <v>0.97</v>
      </c>
      <c r="M123" s="28" t="s">
        <v>46</v>
      </c>
    </row>
    <row r="124" spans="1:13" x14ac:dyDescent="0.3">
      <c r="A124" s="27">
        <v>45810</v>
      </c>
      <c r="B124" s="28" t="s">
        <v>50</v>
      </c>
      <c r="C124" s="28" t="s">
        <v>217</v>
      </c>
      <c r="D124" s="27">
        <v>45810</v>
      </c>
      <c r="E124" s="28">
        <v>92.28</v>
      </c>
      <c r="F124" s="28">
        <v>0</v>
      </c>
      <c r="G124" s="28">
        <v>23028.02</v>
      </c>
      <c r="H124" s="28"/>
      <c r="I124" s="28"/>
      <c r="J124" s="28" t="s">
        <v>4</v>
      </c>
      <c r="K124" s="28" t="s">
        <v>49</v>
      </c>
      <c r="L124" s="24">
        <v>0.97</v>
      </c>
      <c r="M124" s="28" t="s">
        <v>46</v>
      </c>
    </row>
    <row r="125" spans="1:13" x14ac:dyDescent="0.3">
      <c r="A125" s="27">
        <v>45810</v>
      </c>
      <c r="B125" s="28" t="s">
        <v>50</v>
      </c>
      <c r="C125" s="28" t="s">
        <v>218</v>
      </c>
      <c r="D125" s="27">
        <v>45810</v>
      </c>
      <c r="E125" s="28">
        <v>208.43</v>
      </c>
      <c r="F125" s="28">
        <v>0</v>
      </c>
      <c r="G125" s="28">
        <v>22819.59</v>
      </c>
      <c r="H125" s="28"/>
      <c r="I125" s="28"/>
      <c r="J125" s="28" t="s">
        <v>4</v>
      </c>
      <c r="K125" s="28" t="s">
        <v>49</v>
      </c>
      <c r="L125" s="24">
        <v>0.97</v>
      </c>
      <c r="M125" s="28" t="s">
        <v>46</v>
      </c>
    </row>
    <row r="126" spans="1:13" x14ac:dyDescent="0.3">
      <c r="A126" s="25">
        <v>45811</v>
      </c>
      <c r="B126" s="26" t="s">
        <v>219</v>
      </c>
      <c r="C126" s="26" t="s">
        <v>220</v>
      </c>
      <c r="D126" s="25">
        <v>45811</v>
      </c>
      <c r="E126" s="26">
        <v>0</v>
      </c>
      <c r="F126" s="26">
        <v>25427.919999999998</v>
      </c>
      <c r="G126" s="26">
        <v>48247.51</v>
      </c>
      <c r="H126" s="26"/>
      <c r="I126" s="26"/>
      <c r="J126" s="26" t="s">
        <v>3</v>
      </c>
      <c r="K126" s="26" t="s">
        <v>49</v>
      </c>
      <c r="L126" s="24">
        <v>0.93</v>
      </c>
      <c r="M126" s="26" t="s">
        <v>46</v>
      </c>
    </row>
    <row r="127" spans="1:13" x14ac:dyDescent="0.3">
      <c r="A127" s="27">
        <v>45811</v>
      </c>
      <c r="B127" s="28" t="s">
        <v>50</v>
      </c>
      <c r="C127" s="28" t="s">
        <v>221</v>
      </c>
      <c r="D127" s="27">
        <v>45811</v>
      </c>
      <c r="E127" s="28">
        <v>33.78</v>
      </c>
      <c r="F127" s="28">
        <v>0</v>
      </c>
      <c r="G127" s="28">
        <v>48213.73</v>
      </c>
      <c r="H127" s="28"/>
      <c r="I127" s="28"/>
      <c r="J127" s="28" t="s">
        <v>4</v>
      </c>
      <c r="K127" s="28" t="s">
        <v>49</v>
      </c>
      <c r="L127" s="24">
        <v>0.97</v>
      </c>
      <c r="M127" s="28" t="s">
        <v>46</v>
      </c>
    </row>
    <row r="128" spans="1:13" x14ac:dyDescent="0.3">
      <c r="A128" s="49">
        <v>45811</v>
      </c>
      <c r="B128" s="50" t="s">
        <v>222</v>
      </c>
      <c r="C128" s="50" t="s">
        <v>223</v>
      </c>
      <c r="D128" s="49">
        <v>45811</v>
      </c>
      <c r="E128" s="50">
        <v>0</v>
      </c>
      <c r="F128" s="50">
        <v>1215</v>
      </c>
      <c r="G128" s="50">
        <v>49428.73</v>
      </c>
      <c r="H128" s="50"/>
      <c r="I128" s="50"/>
      <c r="J128" s="50" t="s">
        <v>17</v>
      </c>
      <c r="K128" s="50" t="s">
        <v>17</v>
      </c>
      <c r="L128" s="24">
        <v>0.88</v>
      </c>
      <c r="M128" s="50" t="s">
        <v>46</v>
      </c>
    </row>
    <row r="129" spans="1:13" x14ac:dyDescent="0.3">
      <c r="A129" s="27">
        <v>45811</v>
      </c>
      <c r="B129" s="28" t="s">
        <v>50</v>
      </c>
      <c r="C129" s="28" t="s">
        <v>224</v>
      </c>
      <c r="D129" s="27">
        <v>45811</v>
      </c>
      <c r="E129" s="28">
        <v>370.41</v>
      </c>
      <c r="F129" s="28">
        <v>0</v>
      </c>
      <c r="G129" s="28">
        <v>49058.32</v>
      </c>
      <c r="H129" s="28"/>
      <c r="I129" s="28"/>
      <c r="J129" s="28" t="s">
        <v>4</v>
      </c>
      <c r="K129" s="28" t="s">
        <v>49</v>
      </c>
      <c r="L129" s="24">
        <v>0.97</v>
      </c>
      <c r="M129" s="28" t="s">
        <v>46</v>
      </c>
    </row>
    <row r="130" spans="1:13" x14ac:dyDescent="0.3">
      <c r="A130" s="33">
        <v>45812</v>
      </c>
      <c r="B130" s="34" t="s">
        <v>225</v>
      </c>
      <c r="C130" s="34" t="s">
        <v>226</v>
      </c>
      <c r="D130" s="33">
        <v>45812</v>
      </c>
      <c r="E130" s="34">
        <v>8.9600000000000009</v>
      </c>
      <c r="F130" s="34">
        <v>0</v>
      </c>
      <c r="G130" s="34">
        <v>49049.36</v>
      </c>
      <c r="H130" s="34"/>
      <c r="I130" s="34"/>
      <c r="J130" s="34" t="s">
        <v>7</v>
      </c>
      <c r="K130" s="34" t="s">
        <v>7</v>
      </c>
      <c r="L130" s="24">
        <v>0.9</v>
      </c>
      <c r="M130" s="34" t="s">
        <v>46</v>
      </c>
    </row>
    <row r="131" spans="1:13" x14ac:dyDescent="0.3">
      <c r="A131" s="27">
        <v>45812</v>
      </c>
      <c r="B131" s="28" t="s">
        <v>50</v>
      </c>
      <c r="C131" s="28" t="s">
        <v>227</v>
      </c>
      <c r="D131" s="27">
        <v>45812</v>
      </c>
      <c r="E131" s="28">
        <v>33.65</v>
      </c>
      <c r="F131" s="28">
        <v>0</v>
      </c>
      <c r="G131" s="28">
        <v>49015.71</v>
      </c>
      <c r="H131" s="28"/>
      <c r="I131" s="28"/>
      <c r="J131" s="28" t="s">
        <v>4</v>
      </c>
      <c r="K131" s="28" t="s">
        <v>49</v>
      </c>
      <c r="L131" s="24">
        <v>0.97</v>
      </c>
      <c r="M131" s="28" t="s">
        <v>46</v>
      </c>
    </row>
    <row r="132" spans="1:13" x14ac:dyDescent="0.3">
      <c r="A132" s="27">
        <v>45812</v>
      </c>
      <c r="B132" s="28" t="s">
        <v>50</v>
      </c>
      <c r="C132" s="28" t="s">
        <v>228</v>
      </c>
      <c r="D132" s="27">
        <v>45812</v>
      </c>
      <c r="E132" s="28">
        <v>21648.28</v>
      </c>
      <c r="F132" s="28">
        <v>0</v>
      </c>
      <c r="G132" s="28">
        <v>27367.43</v>
      </c>
      <c r="H132" s="28"/>
      <c r="I132" s="28"/>
      <c r="J132" s="28" t="s">
        <v>4</v>
      </c>
      <c r="K132" s="28" t="s">
        <v>49</v>
      </c>
      <c r="L132" s="24">
        <v>0.97</v>
      </c>
      <c r="M132" s="28" t="s">
        <v>46</v>
      </c>
    </row>
    <row r="133" spans="1:13" x14ac:dyDescent="0.3">
      <c r="A133" s="27">
        <v>45813</v>
      </c>
      <c r="B133" s="28" t="s">
        <v>50</v>
      </c>
      <c r="C133" s="28" t="s">
        <v>229</v>
      </c>
      <c r="D133" s="27">
        <v>45813</v>
      </c>
      <c r="E133" s="28">
        <v>25.94</v>
      </c>
      <c r="F133" s="28">
        <v>0</v>
      </c>
      <c r="G133" s="28">
        <v>27341.49</v>
      </c>
      <c r="H133" s="28"/>
      <c r="I133" s="28"/>
      <c r="J133" s="28" t="s">
        <v>4</v>
      </c>
      <c r="K133" s="28" t="s">
        <v>49</v>
      </c>
      <c r="L133" s="24">
        <v>0.97</v>
      </c>
      <c r="M133" s="28" t="s">
        <v>46</v>
      </c>
    </row>
    <row r="134" spans="1:13" x14ac:dyDescent="0.3">
      <c r="A134" s="25">
        <v>45814</v>
      </c>
      <c r="B134" s="26" t="s">
        <v>230</v>
      </c>
      <c r="C134" s="26" t="s">
        <v>231</v>
      </c>
      <c r="D134" s="25">
        <v>45814</v>
      </c>
      <c r="E134" s="26">
        <v>0</v>
      </c>
      <c r="F134" s="26">
        <v>273.06</v>
      </c>
      <c r="G134" s="26">
        <v>27614.55</v>
      </c>
      <c r="H134" s="26"/>
      <c r="I134" s="26"/>
      <c r="J134" s="26" t="s">
        <v>3</v>
      </c>
      <c r="K134" s="26" t="s">
        <v>49</v>
      </c>
      <c r="L134" s="24">
        <v>0.93</v>
      </c>
      <c r="M134" s="26" t="s">
        <v>46</v>
      </c>
    </row>
    <row r="135" spans="1:13" x14ac:dyDescent="0.3">
      <c r="A135" s="27">
        <v>45814</v>
      </c>
      <c r="B135" s="28" t="s">
        <v>50</v>
      </c>
      <c r="C135" s="28" t="s">
        <v>232</v>
      </c>
      <c r="D135" s="27">
        <v>45814</v>
      </c>
      <c r="E135" s="28">
        <v>45.07</v>
      </c>
      <c r="F135" s="28">
        <v>0</v>
      </c>
      <c r="G135" s="28">
        <v>27569.48</v>
      </c>
      <c r="H135" s="28"/>
      <c r="I135" s="28"/>
      <c r="J135" s="28" t="s">
        <v>4</v>
      </c>
      <c r="K135" s="28" t="s">
        <v>49</v>
      </c>
      <c r="L135" s="24">
        <v>0.97</v>
      </c>
      <c r="M135" s="28" t="s">
        <v>46</v>
      </c>
    </row>
    <row r="136" spans="1:13" x14ac:dyDescent="0.3">
      <c r="A136" s="29">
        <v>45814</v>
      </c>
      <c r="B136" s="30" t="s">
        <v>59</v>
      </c>
      <c r="C136" s="30" t="s">
        <v>233</v>
      </c>
      <c r="D136" s="29">
        <v>45814</v>
      </c>
      <c r="E136" s="30">
        <v>0</v>
      </c>
      <c r="F136" s="30">
        <v>144.61000000000001</v>
      </c>
      <c r="G136" s="30">
        <v>27714.09</v>
      </c>
      <c r="H136" s="30"/>
      <c r="I136" s="30"/>
      <c r="J136" s="30" t="s">
        <v>5</v>
      </c>
      <c r="K136" s="30" t="s">
        <v>49</v>
      </c>
      <c r="L136" s="24">
        <v>0.97</v>
      </c>
      <c r="M136" s="30" t="s">
        <v>46</v>
      </c>
    </row>
    <row r="137" spans="1:13" x14ac:dyDescent="0.3">
      <c r="A137" s="31">
        <v>45815</v>
      </c>
      <c r="B137" s="32" t="s">
        <v>234</v>
      </c>
      <c r="C137" s="32" t="s">
        <v>235</v>
      </c>
      <c r="D137" s="31">
        <v>45815</v>
      </c>
      <c r="E137" s="32">
        <v>0</v>
      </c>
      <c r="F137" s="32">
        <v>1880</v>
      </c>
      <c r="G137" s="32">
        <v>29594.09</v>
      </c>
      <c r="H137" s="32"/>
      <c r="I137" s="32"/>
      <c r="J137" s="32" t="s">
        <v>6</v>
      </c>
      <c r="K137" s="32" t="s">
        <v>63</v>
      </c>
      <c r="L137" s="24">
        <v>0.95</v>
      </c>
      <c r="M137" s="32" t="s">
        <v>46</v>
      </c>
    </row>
    <row r="138" spans="1:13" x14ac:dyDescent="0.3">
      <c r="A138" s="27">
        <v>45817</v>
      </c>
      <c r="B138" s="28" t="s">
        <v>50</v>
      </c>
      <c r="C138" s="28" t="s">
        <v>236</v>
      </c>
      <c r="D138" s="27">
        <v>45817</v>
      </c>
      <c r="E138" s="28">
        <v>135.63</v>
      </c>
      <c r="F138" s="28">
        <v>0</v>
      </c>
      <c r="G138" s="28">
        <v>29458.46</v>
      </c>
      <c r="H138" s="28"/>
      <c r="I138" s="28"/>
      <c r="J138" s="28" t="s">
        <v>4</v>
      </c>
      <c r="K138" s="28" t="s">
        <v>49</v>
      </c>
      <c r="L138" s="24">
        <v>0.97</v>
      </c>
      <c r="M138" s="28" t="s">
        <v>46</v>
      </c>
    </row>
    <row r="139" spans="1:13" x14ac:dyDescent="0.3">
      <c r="A139" s="25">
        <v>45818</v>
      </c>
      <c r="B139" s="26" t="s">
        <v>237</v>
      </c>
      <c r="C139" s="26" t="s">
        <v>238</v>
      </c>
      <c r="D139" s="25">
        <v>45818</v>
      </c>
      <c r="E139" s="26">
        <v>0</v>
      </c>
      <c r="F139" s="26">
        <v>207.13</v>
      </c>
      <c r="G139" s="26">
        <v>29665.59</v>
      </c>
      <c r="H139" s="26"/>
      <c r="I139" s="26"/>
      <c r="J139" s="26" t="s">
        <v>3</v>
      </c>
      <c r="K139" s="26" t="s">
        <v>49</v>
      </c>
      <c r="L139" s="24">
        <v>0.93</v>
      </c>
      <c r="M139" s="26" t="s">
        <v>46</v>
      </c>
    </row>
    <row r="140" spans="1:13" x14ac:dyDescent="0.3">
      <c r="A140" s="27">
        <v>45818</v>
      </c>
      <c r="B140" s="28" t="s">
        <v>50</v>
      </c>
      <c r="C140" s="28" t="s">
        <v>239</v>
      </c>
      <c r="D140" s="27">
        <v>45818</v>
      </c>
      <c r="E140" s="28">
        <v>45.21</v>
      </c>
      <c r="F140" s="28">
        <v>0</v>
      </c>
      <c r="G140" s="28">
        <v>29620.38</v>
      </c>
      <c r="H140" s="28"/>
      <c r="I140" s="28"/>
      <c r="J140" s="28" t="s">
        <v>4</v>
      </c>
      <c r="K140" s="28" t="s">
        <v>49</v>
      </c>
      <c r="L140" s="24">
        <v>0.97</v>
      </c>
      <c r="M140" s="28" t="s">
        <v>46</v>
      </c>
    </row>
    <row r="141" spans="1:13" x14ac:dyDescent="0.3">
      <c r="A141" s="25">
        <v>45819</v>
      </c>
      <c r="B141" s="26" t="s">
        <v>240</v>
      </c>
      <c r="C141" s="26" t="s">
        <v>241</v>
      </c>
      <c r="D141" s="25">
        <v>45819</v>
      </c>
      <c r="E141" s="26">
        <v>0</v>
      </c>
      <c r="F141" s="26">
        <v>364.34</v>
      </c>
      <c r="G141" s="26">
        <v>29984.720000000001</v>
      </c>
      <c r="H141" s="26"/>
      <c r="I141" s="26"/>
      <c r="J141" s="26" t="s">
        <v>3</v>
      </c>
      <c r="K141" s="26" t="s">
        <v>49</v>
      </c>
      <c r="L141" s="24">
        <v>0.93</v>
      </c>
      <c r="M141" s="26" t="s">
        <v>46</v>
      </c>
    </row>
    <row r="142" spans="1:13" x14ac:dyDescent="0.3">
      <c r="A142" s="27">
        <v>45819</v>
      </c>
      <c r="B142" s="28" t="s">
        <v>50</v>
      </c>
      <c r="C142" s="28" t="s">
        <v>242</v>
      </c>
      <c r="D142" s="27">
        <v>45819</v>
      </c>
      <c r="E142" s="28">
        <v>45.29</v>
      </c>
      <c r="F142" s="28">
        <v>0</v>
      </c>
      <c r="G142" s="28">
        <v>29939.43</v>
      </c>
      <c r="H142" s="28"/>
      <c r="I142" s="28"/>
      <c r="J142" s="28" t="s">
        <v>4</v>
      </c>
      <c r="K142" s="28" t="s">
        <v>49</v>
      </c>
      <c r="L142" s="24">
        <v>0.97</v>
      </c>
      <c r="M142" s="28" t="s">
        <v>46</v>
      </c>
    </row>
    <row r="143" spans="1:13" x14ac:dyDescent="0.3">
      <c r="A143" s="25">
        <v>45820</v>
      </c>
      <c r="B143" s="26" t="s">
        <v>243</v>
      </c>
      <c r="C143" s="26" t="s">
        <v>244</v>
      </c>
      <c r="D143" s="25">
        <v>45820</v>
      </c>
      <c r="E143" s="26">
        <v>0</v>
      </c>
      <c r="F143" s="26">
        <v>108.36</v>
      </c>
      <c r="G143" s="26">
        <v>30047.79</v>
      </c>
      <c r="H143" s="26"/>
      <c r="I143" s="26"/>
      <c r="J143" s="26" t="s">
        <v>3</v>
      </c>
      <c r="K143" s="26" t="s">
        <v>49</v>
      </c>
      <c r="L143" s="24">
        <v>0.93</v>
      </c>
      <c r="M143" s="26" t="s">
        <v>46</v>
      </c>
    </row>
    <row r="144" spans="1:13" x14ac:dyDescent="0.3">
      <c r="A144" s="33">
        <v>45820</v>
      </c>
      <c r="B144" s="34" t="s">
        <v>245</v>
      </c>
      <c r="C144" s="34" t="s">
        <v>246</v>
      </c>
      <c r="D144" s="33">
        <v>45820</v>
      </c>
      <c r="E144" s="34">
        <v>295</v>
      </c>
      <c r="F144" s="34">
        <v>0</v>
      </c>
      <c r="G144" s="34">
        <v>29752.79</v>
      </c>
      <c r="H144" s="34"/>
      <c r="I144" s="34"/>
      <c r="J144" s="34" t="s">
        <v>7</v>
      </c>
      <c r="K144" s="34" t="s">
        <v>7</v>
      </c>
      <c r="L144" s="24">
        <v>0.9</v>
      </c>
      <c r="M144" s="34" t="s">
        <v>46</v>
      </c>
    </row>
    <row r="145" spans="1:13" x14ac:dyDescent="0.3">
      <c r="A145" s="27">
        <v>45820</v>
      </c>
      <c r="B145" s="28" t="s">
        <v>50</v>
      </c>
      <c r="C145" s="28" t="s">
        <v>247</v>
      </c>
      <c r="D145" s="27">
        <v>45820</v>
      </c>
      <c r="E145" s="28">
        <v>45.42</v>
      </c>
      <c r="F145" s="28">
        <v>0</v>
      </c>
      <c r="G145" s="28">
        <v>29707.37</v>
      </c>
      <c r="H145" s="28"/>
      <c r="I145" s="28"/>
      <c r="J145" s="28" t="s">
        <v>4</v>
      </c>
      <c r="K145" s="28" t="s">
        <v>49</v>
      </c>
      <c r="L145" s="24">
        <v>0.97</v>
      </c>
      <c r="M145" s="28" t="s">
        <v>46</v>
      </c>
    </row>
    <row r="146" spans="1:13" x14ac:dyDescent="0.3">
      <c r="A146" s="27">
        <v>45820</v>
      </c>
      <c r="B146" s="28" t="s">
        <v>50</v>
      </c>
      <c r="C146" s="28" t="s">
        <v>248</v>
      </c>
      <c r="D146" s="27">
        <v>45820</v>
      </c>
      <c r="E146" s="28">
        <v>672.11</v>
      </c>
      <c r="F146" s="28">
        <v>0</v>
      </c>
      <c r="G146" s="28">
        <v>29035.26</v>
      </c>
      <c r="H146" s="28"/>
      <c r="I146" s="28"/>
      <c r="J146" s="28" t="s">
        <v>4</v>
      </c>
      <c r="K146" s="28" t="s">
        <v>49</v>
      </c>
      <c r="L146" s="24">
        <v>0.97</v>
      </c>
      <c r="M146" s="28" t="s">
        <v>46</v>
      </c>
    </row>
    <row r="147" spans="1:13" x14ac:dyDescent="0.3">
      <c r="A147" s="27">
        <v>45821</v>
      </c>
      <c r="B147" s="28" t="s">
        <v>50</v>
      </c>
      <c r="C147" s="28" t="s">
        <v>249</v>
      </c>
      <c r="D147" s="27">
        <v>45821</v>
      </c>
      <c r="E147" s="28">
        <v>45.22</v>
      </c>
      <c r="F147" s="28">
        <v>0</v>
      </c>
      <c r="G147" s="28">
        <v>28990.04</v>
      </c>
      <c r="H147" s="28"/>
      <c r="I147" s="28"/>
      <c r="J147" s="28" t="s">
        <v>4</v>
      </c>
      <c r="K147" s="28" t="s">
        <v>49</v>
      </c>
      <c r="L147" s="24">
        <v>0.97</v>
      </c>
      <c r="M147" s="28" t="s">
        <v>46</v>
      </c>
    </row>
    <row r="148" spans="1:13" x14ac:dyDescent="0.3">
      <c r="A148" s="25">
        <v>45824</v>
      </c>
      <c r="B148" s="26" t="s">
        <v>250</v>
      </c>
      <c r="C148" s="26" t="s">
        <v>251</v>
      </c>
      <c r="D148" s="25">
        <v>45824</v>
      </c>
      <c r="E148" s="26">
        <v>0</v>
      </c>
      <c r="F148" s="26">
        <v>17.45</v>
      </c>
      <c r="G148" s="26">
        <v>29007.49</v>
      </c>
      <c r="H148" s="26"/>
      <c r="I148" s="26"/>
      <c r="J148" s="26" t="s">
        <v>3</v>
      </c>
      <c r="K148" s="26" t="s">
        <v>49</v>
      </c>
      <c r="L148" s="24">
        <v>0.93</v>
      </c>
      <c r="M148" s="26" t="s">
        <v>46</v>
      </c>
    </row>
    <row r="149" spans="1:13" x14ac:dyDescent="0.3">
      <c r="A149" s="27">
        <v>45824</v>
      </c>
      <c r="B149" s="28" t="s">
        <v>50</v>
      </c>
      <c r="C149" s="28" t="s">
        <v>252</v>
      </c>
      <c r="D149" s="27">
        <v>45824</v>
      </c>
      <c r="E149" s="28">
        <v>135.66</v>
      </c>
      <c r="F149" s="28">
        <v>0</v>
      </c>
      <c r="G149" s="28">
        <v>28871.83</v>
      </c>
      <c r="H149" s="28"/>
      <c r="I149" s="28"/>
      <c r="J149" s="28" t="s">
        <v>4</v>
      </c>
      <c r="K149" s="28" t="s">
        <v>49</v>
      </c>
      <c r="L149" s="24">
        <v>0.97</v>
      </c>
      <c r="M149" s="28" t="s">
        <v>46</v>
      </c>
    </row>
    <row r="150" spans="1:13" x14ac:dyDescent="0.3">
      <c r="A150" s="25">
        <v>45825</v>
      </c>
      <c r="B150" s="26" t="s">
        <v>253</v>
      </c>
      <c r="C150" s="26" t="s">
        <v>254</v>
      </c>
      <c r="D150" s="25">
        <v>45825</v>
      </c>
      <c r="E150" s="26">
        <v>0</v>
      </c>
      <c r="F150" s="26">
        <v>307.55</v>
      </c>
      <c r="G150" s="26">
        <v>29179.38</v>
      </c>
      <c r="H150" s="26"/>
      <c r="I150" s="26"/>
      <c r="J150" s="26" t="s">
        <v>3</v>
      </c>
      <c r="K150" s="26" t="s">
        <v>49</v>
      </c>
      <c r="L150" s="24">
        <v>0.93</v>
      </c>
      <c r="M150" s="26" t="s">
        <v>46</v>
      </c>
    </row>
    <row r="151" spans="1:13" x14ac:dyDescent="0.3">
      <c r="A151" s="27">
        <v>45825</v>
      </c>
      <c r="B151" s="28" t="s">
        <v>50</v>
      </c>
      <c r="C151" s="28" t="s">
        <v>255</v>
      </c>
      <c r="D151" s="27">
        <v>45825</v>
      </c>
      <c r="E151" s="28">
        <v>45.22</v>
      </c>
      <c r="F151" s="28">
        <v>0</v>
      </c>
      <c r="G151" s="28">
        <v>29134.16</v>
      </c>
      <c r="H151" s="28"/>
      <c r="I151" s="28"/>
      <c r="J151" s="28" t="s">
        <v>4</v>
      </c>
      <c r="K151" s="28" t="s">
        <v>49</v>
      </c>
      <c r="L151" s="24">
        <v>0.97</v>
      </c>
      <c r="M151" s="28" t="s">
        <v>46</v>
      </c>
    </row>
    <row r="152" spans="1:13" x14ac:dyDescent="0.3">
      <c r="A152" s="27">
        <v>45826</v>
      </c>
      <c r="B152" s="28" t="s">
        <v>50</v>
      </c>
      <c r="C152" s="28" t="s">
        <v>256</v>
      </c>
      <c r="D152" s="27">
        <v>45826</v>
      </c>
      <c r="E152" s="28">
        <v>325.67</v>
      </c>
      <c r="F152" s="28">
        <v>0</v>
      </c>
      <c r="G152" s="28">
        <v>28808.49</v>
      </c>
      <c r="H152" s="28"/>
      <c r="I152" s="28"/>
      <c r="J152" s="28" t="s">
        <v>4</v>
      </c>
      <c r="K152" s="28" t="s">
        <v>49</v>
      </c>
      <c r="L152" s="24">
        <v>0.97</v>
      </c>
      <c r="M152" s="28" t="s">
        <v>46</v>
      </c>
    </row>
    <row r="153" spans="1:13" x14ac:dyDescent="0.3">
      <c r="A153" s="27">
        <v>45826</v>
      </c>
      <c r="B153" s="28" t="s">
        <v>50</v>
      </c>
      <c r="C153" s="28" t="s">
        <v>257</v>
      </c>
      <c r="D153" s="27">
        <v>45826</v>
      </c>
      <c r="E153" s="28">
        <v>45.22</v>
      </c>
      <c r="F153" s="28">
        <v>0</v>
      </c>
      <c r="G153" s="28">
        <v>28763.27</v>
      </c>
      <c r="H153" s="28"/>
      <c r="I153" s="28"/>
      <c r="J153" s="28" t="s">
        <v>4</v>
      </c>
      <c r="K153" s="28" t="s">
        <v>49</v>
      </c>
      <c r="L153" s="24">
        <v>0.97</v>
      </c>
      <c r="M153" s="28" t="s">
        <v>46</v>
      </c>
    </row>
    <row r="154" spans="1:13" x14ac:dyDescent="0.3">
      <c r="A154" s="27">
        <v>45826</v>
      </c>
      <c r="B154" s="28" t="s">
        <v>50</v>
      </c>
      <c r="C154" s="28" t="s">
        <v>258</v>
      </c>
      <c r="D154" s="27">
        <v>45826</v>
      </c>
      <c r="E154" s="28">
        <v>438.99</v>
      </c>
      <c r="F154" s="28">
        <v>0</v>
      </c>
      <c r="G154" s="28">
        <v>28324.28</v>
      </c>
      <c r="H154" s="28"/>
      <c r="I154" s="28"/>
      <c r="J154" s="28" t="s">
        <v>4</v>
      </c>
      <c r="K154" s="28" t="s">
        <v>49</v>
      </c>
      <c r="L154" s="24">
        <v>0.97</v>
      </c>
      <c r="M154" s="28" t="s">
        <v>46</v>
      </c>
    </row>
    <row r="155" spans="1:13" x14ac:dyDescent="0.3">
      <c r="A155" s="35">
        <v>45827</v>
      </c>
      <c r="B155" s="36" t="s">
        <v>259</v>
      </c>
      <c r="C155" s="36" t="s">
        <v>83</v>
      </c>
      <c r="D155" s="35">
        <v>45827</v>
      </c>
      <c r="E155" s="36">
        <v>719.8</v>
      </c>
      <c r="F155" s="36">
        <v>0</v>
      </c>
      <c r="G155" s="36">
        <v>27604.48</v>
      </c>
      <c r="H155" s="36"/>
      <c r="I155" s="36"/>
      <c r="J155" s="36" t="s">
        <v>9</v>
      </c>
      <c r="K155" s="36" t="s">
        <v>9</v>
      </c>
      <c r="L155" s="24">
        <v>0.93</v>
      </c>
      <c r="M155" s="36" t="s">
        <v>46</v>
      </c>
    </row>
    <row r="156" spans="1:13" x14ac:dyDescent="0.3">
      <c r="A156" s="27">
        <v>45827</v>
      </c>
      <c r="B156" s="28" t="s">
        <v>50</v>
      </c>
      <c r="C156" s="28" t="s">
        <v>260</v>
      </c>
      <c r="D156" s="27">
        <v>45827</v>
      </c>
      <c r="E156" s="28">
        <v>45.06</v>
      </c>
      <c r="F156" s="28">
        <v>0</v>
      </c>
      <c r="G156" s="28">
        <v>27559.42</v>
      </c>
      <c r="H156" s="28"/>
      <c r="I156" s="28"/>
      <c r="J156" s="28" t="s">
        <v>4</v>
      </c>
      <c r="K156" s="28" t="s">
        <v>49</v>
      </c>
      <c r="L156" s="24">
        <v>0.97</v>
      </c>
      <c r="M156" s="28" t="s">
        <v>46</v>
      </c>
    </row>
    <row r="157" spans="1:13" x14ac:dyDescent="0.3">
      <c r="A157" s="27">
        <v>45827</v>
      </c>
      <c r="B157" s="28" t="s">
        <v>50</v>
      </c>
      <c r="C157" s="28" t="s">
        <v>261</v>
      </c>
      <c r="D157" s="27">
        <v>45827</v>
      </c>
      <c r="E157" s="28">
        <v>772.7</v>
      </c>
      <c r="F157" s="28">
        <v>0</v>
      </c>
      <c r="G157" s="28">
        <v>26786.720000000001</v>
      </c>
      <c r="H157" s="28"/>
      <c r="I157" s="28"/>
      <c r="J157" s="28" t="s">
        <v>4</v>
      </c>
      <c r="K157" s="28" t="s">
        <v>49</v>
      </c>
      <c r="L157" s="24">
        <v>0.97</v>
      </c>
      <c r="M157" s="28" t="s">
        <v>46</v>
      </c>
    </row>
    <row r="158" spans="1:13" x14ac:dyDescent="0.3">
      <c r="A158" s="27">
        <v>45828</v>
      </c>
      <c r="B158" s="28" t="s">
        <v>50</v>
      </c>
      <c r="C158" s="28" t="s">
        <v>262</v>
      </c>
      <c r="D158" s="27">
        <v>45828</v>
      </c>
      <c r="E158" s="28">
        <v>44.79</v>
      </c>
      <c r="F158" s="28">
        <v>0</v>
      </c>
      <c r="G158" s="28">
        <v>26741.93</v>
      </c>
      <c r="H158" s="28"/>
      <c r="I158" s="28"/>
      <c r="J158" s="28" t="s">
        <v>4</v>
      </c>
      <c r="K158" s="28" t="s">
        <v>49</v>
      </c>
      <c r="L158" s="24">
        <v>0.97</v>
      </c>
      <c r="M158" s="28" t="s">
        <v>46</v>
      </c>
    </row>
    <row r="159" spans="1:13" x14ac:dyDescent="0.3">
      <c r="A159" s="25">
        <v>45831</v>
      </c>
      <c r="B159" s="26" t="s">
        <v>263</v>
      </c>
      <c r="C159" s="26" t="s">
        <v>264</v>
      </c>
      <c r="D159" s="25">
        <v>45831</v>
      </c>
      <c r="E159" s="26">
        <v>0</v>
      </c>
      <c r="F159" s="26">
        <v>135.97</v>
      </c>
      <c r="G159" s="26">
        <v>26877.9</v>
      </c>
      <c r="H159" s="26"/>
      <c r="I159" s="26"/>
      <c r="J159" s="26" t="s">
        <v>3</v>
      </c>
      <c r="K159" s="26" t="s">
        <v>49</v>
      </c>
      <c r="L159" s="24">
        <v>0.93</v>
      </c>
      <c r="M159" s="26" t="s">
        <v>46</v>
      </c>
    </row>
    <row r="160" spans="1:13" x14ac:dyDescent="0.3">
      <c r="A160" s="27">
        <v>45831</v>
      </c>
      <c r="B160" s="28" t="s">
        <v>50</v>
      </c>
      <c r="C160" s="28" t="s">
        <v>265</v>
      </c>
      <c r="D160" s="27">
        <v>45831</v>
      </c>
      <c r="E160" s="28">
        <v>134.37</v>
      </c>
      <c r="F160" s="28">
        <v>0</v>
      </c>
      <c r="G160" s="28">
        <v>26743.53</v>
      </c>
      <c r="H160" s="28"/>
      <c r="I160" s="28"/>
      <c r="J160" s="28" t="s">
        <v>4</v>
      </c>
      <c r="K160" s="28" t="s">
        <v>49</v>
      </c>
      <c r="L160" s="24">
        <v>0.97</v>
      </c>
      <c r="M160" s="28" t="s">
        <v>46</v>
      </c>
    </row>
    <row r="161" spans="1:13" x14ac:dyDescent="0.3">
      <c r="A161" s="27">
        <v>45832</v>
      </c>
      <c r="B161" s="28" t="s">
        <v>50</v>
      </c>
      <c r="C161" s="28" t="s">
        <v>266</v>
      </c>
      <c r="D161" s="27">
        <v>45832</v>
      </c>
      <c r="E161" s="28">
        <v>325.24</v>
      </c>
      <c r="F161" s="28">
        <v>0</v>
      </c>
      <c r="G161" s="28">
        <v>26418.29</v>
      </c>
      <c r="H161" s="28"/>
      <c r="I161" s="28"/>
      <c r="J161" s="28" t="s">
        <v>4</v>
      </c>
      <c r="K161" s="28" t="s">
        <v>49</v>
      </c>
      <c r="L161" s="24">
        <v>0.97</v>
      </c>
      <c r="M161" s="28" t="s">
        <v>46</v>
      </c>
    </row>
    <row r="162" spans="1:13" x14ac:dyDescent="0.3">
      <c r="A162" s="49">
        <v>45832</v>
      </c>
      <c r="B162" s="50" t="s">
        <v>267</v>
      </c>
      <c r="C162" s="50" t="s">
        <v>268</v>
      </c>
      <c r="D162" s="49">
        <v>45832</v>
      </c>
      <c r="E162" s="50">
        <v>0</v>
      </c>
      <c r="F162" s="50">
        <v>450</v>
      </c>
      <c r="G162" s="50">
        <v>26868.29</v>
      </c>
      <c r="H162" s="50"/>
      <c r="I162" s="50"/>
      <c r="J162" s="50" t="s">
        <v>17</v>
      </c>
      <c r="K162" s="50" t="s">
        <v>17</v>
      </c>
      <c r="L162" s="24">
        <v>0.88</v>
      </c>
      <c r="M162" s="50" t="s">
        <v>46</v>
      </c>
    </row>
    <row r="163" spans="1:13" x14ac:dyDescent="0.3">
      <c r="A163" s="27">
        <v>45832</v>
      </c>
      <c r="B163" s="28" t="s">
        <v>50</v>
      </c>
      <c r="C163" s="28" t="s">
        <v>269</v>
      </c>
      <c r="D163" s="27">
        <v>45832</v>
      </c>
      <c r="E163" s="28">
        <v>44.72</v>
      </c>
      <c r="F163" s="28">
        <v>0</v>
      </c>
      <c r="G163" s="28">
        <v>26823.57</v>
      </c>
      <c r="H163" s="28"/>
      <c r="I163" s="28"/>
      <c r="J163" s="28" t="s">
        <v>4</v>
      </c>
      <c r="K163" s="28" t="s">
        <v>49</v>
      </c>
      <c r="L163" s="24">
        <v>0.97</v>
      </c>
      <c r="M163" s="28" t="s">
        <v>46</v>
      </c>
    </row>
    <row r="164" spans="1:13" x14ac:dyDescent="0.3">
      <c r="A164" s="27">
        <v>45832</v>
      </c>
      <c r="B164" s="28" t="s">
        <v>50</v>
      </c>
      <c r="C164" s="28" t="s">
        <v>270</v>
      </c>
      <c r="D164" s="27">
        <v>45832</v>
      </c>
      <c r="E164" s="28">
        <v>193.58</v>
      </c>
      <c r="F164" s="28">
        <v>0</v>
      </c>
      <c r="G164" s="28">
        <v>26629.99</v>
      </c>
      <c r="H164" s="28"/>
      <c r="I164" s="28"/>
      <c r="J164" s="28" t="s">
        <v>4</v>
      </c>
      <c r="K164" s="28" t="s">
        <v>49</v>
      </c>
      <c r="L164" s="24">
        <v>0.97</v>
      </c>
      <c r="M164" s="28" t="s">
        <v>46</v>
      </c>
    </row>
    <row r="165" spans="1:13" x14ac:dyDescent="0.3">
      <c r="A165" s="27">
        <v>45833</v>
      </c>
      <c r="B165" s="28" t="s">
        <v>50</v>
      </c>
      <c r="C165" s="28" t="s">
        <v>271</v>
      </c>
      <c r="D165" s="27">
        <v>45833</v>
      </c>
      <c r="E165" s="28">
        <v>44.65</v>
      </c>
      <c r="F165" s="28">
        <v>0</v>
      </c>
      <c r="G165" s="28">
        <v>26585.34</v>
      </c>
      <c r="H165" s="28"/>
      <c r="I165" s="28"/>
      <c r="J165" s="28" t="s">
        <v>4</v>
      </c>
      <c r="K165" s="28" t="s">
        <v>49</v>
      </c>
      <c r="L165" s="24">
        <v>0.97</v>
      </c>
      <c r="M165" s="28" t="s">
        <v>46</v>
      </c>
    </row>
    <row r="166" spans="1:13" x14ac:dyDescent="0.3">
      <c r="A166" s="45">
        <v>45833</v>
      </c>
      <c r="B166" s="46" t="s">
        <v>272</v>
      </c>
      <c r="C166" s="46" t="s">
        <v>273</v>
      </c>
      <c r="D166" s="45">
        <v>45833</v>
      </c>
      <c r="E166" s="46">
        <v>0</v>
      </c>
      <c r="F166" s="46">
        <v>25000</v>
      </c>
      <c r="G166" s="46">
        <v>51585.34</v>
      </c>
      <c r="H166" s="46"/>
      <c r="I166" s="46"/>
      <c r="J166" s="46" t="s">
        <v>19</v>
      </c>
      <c r="K166" s="46" t="s">
        <v>149</v>
      </c>
      <c r="L166" s="24">
        <v>0.88</v>
      </c>
      <c r="M166" s="46" t="s">
        <v>46</v>
      </c>
    </row>
    <row r="167" spans="1:13" x14ac:dyDescent="0.3">
      <c r="A167" s="25">
        <v>45834</v>
      </c>
      <c r="B167" s="26" t="s">
        <v>274</v>
      </c>
      <c r="C167" s="26" t="s">
        <v>275</v>
      </c>
      <c r="D167" s="25">
        <v>45834</v>
      </c>
      <c r="E167" s="26">
        <v>0</v>
      </c>
      <c r="F167" s="26">
        <v>462.5</v>
      </c>
      <c r="G167" s="26">
        <v>52047.839999999997</v>
      </c>
      <c r="H167" s="26"/>
      <c r="I167" s="26"/>
      <c r="J167" s="26" t="s">
        <v>3</v>
      </c>
      <c r="K167" s="26" t="s">
        <v>49</v>
      </c>
      <c r="L167" s="24">
        <v>0.93</v>
      </c>
      <c r="M167" s="26" t="s">
        <v>46</v>
      </c>
    </row>
    <row r="168" spans="1:13" x14ac:dyDescent="0.3">
      <c r="A168" s="27">
        <v>45834</v>
      </c>
      <c r="B168" s="28" t="s">
        <v>50</v>
      </c>
      <c r="C168" s="28" t="s">
        <v>276</v>
      </c>
      <c r="D168" s="27">
        <v>45834</v>
      </c>
      <c r="E168" s="28">
        <v>44.65</v>
      </c>
      <c r="F168" s="28">
        <v>0</v>
      </c>
      <c r="G168" s="28">
        <v>52003.19</v>
      </c>
      <c r="H168" s="28"/>
      <c r="I168" s="28"/>
      <c r="J168" s="28" t="s">
        <v>4</v>
      </c>
      <c r="K168" s="28" t="s">
        <v>49</v>
      </c>
      <c r="L168" s="24">
        <v>0.97</v>
      </c>
      <c r="M168" s="28" t="s">
        <v>46</v>
      </c>
    </row>
    <row r="169" spans="1:13" x14ac:dyDescent="0.3">
      <c r="A169" s="27">
        <v>45834</v>
      </c>
      <c r="B169" s="28" t="s">
        <v>50</v>
      </c>
      <c r="C169" s="28" t="s">
        <v>277</v>
      </c>
      <c r="D169" s="27">
        <v>45834</v>
      </c>
      <c r="E169" s="28">
        <v>19573.55</v>
      </c>
      <c r="F169" s="28">
        <v>0</v>
      </c>
      <c r="G169" s="28">
        <v>32429.64</v>
      </c>
      <c r="H169" s="28"/>
      <c r="I169" s="28"/>
      <c r="J169" s="28" t="s">
        <v>4</v>
      </c>
      <c r="K169" s="28" t="s">
        <v>49</v>
      </c>
      <c r="L169" s="24">
        <v>0.97</v>
      </c>
      <c r="M169" s="28" t="s">
        <v>46</v>
      </c>
    </row>
    <row r="170" spans="1:13" x14ac:dyDescent="0.3">
      <c r="A170" s="27">
        <v>45835</v>
      </c>
      <c r="B170" s="28" t="s">
        <v>50</v>
      </c>
      <c r="C170" s="28" t="s">
        <v>278</v>
      </c>
      <c r="D170" s="27">
        <v>45835</v>
      </c>
      <c r="E170" s="28">
        <v>37.840000000000003</v>
      </c>
      <c r="F170" s="28">
        <v>0</v>
      </c>
      <c r="G170" s="28">
        <v>32391.8</v>
      </c>
      <c r="H170" s="28"/>
      <c r="I170" s="28"/>
      <c r="J170" s="28" t="s">
        <v>4</v>
      </c>
      <c r="K170" s="28" t="s">
        <v>49</v>
      </c>
      <c r="L170" s="24">
        <v>0.97</v>
      </c>
      <c r="M170" s="28" t="s">
        <v>46</v>
      </c>
    </row>
    <row r="171" spans="1:13" x14ac:dyDescent="0.3">
      <c r="A171" s="51">
        <v>45836</v>
      </c>
      <c r="B171" s="52" t="s">
        <v>279</v>
      </c>
      <c r="C171" s="52" t="s">
        <v>280</v>
      </c>
      <c r="D171" s="51">
        <v>45836</v>
      </c>
      <c r="E171" s="52">
        <v>0</v>
      </c>
      <c r="F171" s="52">
        <v>10000</v>
      </c>
      <c r="G171" s="52">
        <v>42391.8</v>
      </c>
      <c r="H171" s="52"/>
      <c r="I171" s="52"/>
      <c r="J171" s="52" t="s">
        <v>20</v>
      </c>
      <c r="K171" s="52" t="s">
        <v>181</v>
      </c>
      <c r="L171" s="24">
        <v>0.85</v>
      </c>
      <c r="M171" s="52" t="s">
        <v>46</v>
      </c>
    </row>
    <row r="172" spans="1:13" x14ac:dyDescent="0.3">
      <c r="A172" s="25">
        <v>45838</v>
      </c>
      <c r="B172" s="26" t="s">
        <v>281</v>
      </c>
      <c r="C172" s="26" t="s">
        <v>282</v>
      </c>
      <c r="D172" s="25">
        <v>45838</v>
      </c>
      <c r="E172" s="26">
        <v>0</v>
      </c>
      <c r="F172" s="26">
        <v>10071.459999999999</v>
      </c>
      <c r="G172" s="26">
        <v>52463.26</v>
      </c>
      <c r="H172" s="26"/>
      <c r="I172" s="26"/>
      <c r="J172" s="26" t="s">
        <v>3</v>
      </c>
      <c r="K172" s="26" t="s">
        <v>49</v>
      </c>
      <c r="L172" s="24">
        <v>0.93</v>
      </c>
      <c r="M172" s="26" t="s">
        <v>46</v>
      </c>
    </row>
    <row r="173" spans="1:13" x14ac:dyDescent="0.3">
      <c r="A173" s="22">
        <v>45838</v>
      </c>
      <c r="B173" s="23" t="s">
        <v>283</v>
      </c>
      <c r="C173" s="23" t="s">
        <v>284</v>
      </c>
      <c r="D173" s="22">
        <v>45838</v>
      </c>
      <c r="E173" s="23">
        <v>5000</v>
      </c>
      <c r="F173" s="23">
        <v>0</v>
      </c>
      <c r="G173" s="23">
        <v>47463.26</v>
      </c>
      <c r="H173" s="23"/>
      <c r="I173" s="23"/>
      <c r="J173" s="23" t="s">
        <v>2</v>
      </c>
      <c r="K173" s="23" t="s">
        <v>2</v>
      </c>
      <c r="L173" s="24">
        <v>0.95</v>
      </c>
      <c r="M173" s="23" t="s">
        <v>46</v>
      </c>
    </row>
    <row r="174" spans="1:13" x14ac:dyDescent="0.3">
      <c r="A174" s="22">
        <v>45838</v>
      </c>
      <c r="B174" s="23" t="s">
        <v>285</v>
      </c>
      <c r="C174" s="23" t="s">
        <v>286</v>
      </c>
      <c r="D174" s="22">
        <v>45838</v>
      </c>
      <c r="E174" s="23">
        <v>5000</v>
      </c>
      <c r="F174" s="23">
        <v>0</v>
      </c>
      <c r="G174" s="23">
        <v>42463.26</v>
      </c>
      <c r="H174" s="23"/>
      <c r="I174" s="23"/>
      <c r="J174" s="23" t="s">
        <v>2</v>
      </c>
      <c r="K174" s="23" t="s">
        <v>2</v>
      </c>
      <c r="L174" s="24">
        <v>0.95</v>
      </c>
      <c r="M174" s="23" t="s">
        <v>46</v>
      </c>
    </row>
    <row r="175" spans="1:13" x14ac:dyDescent="0.3">
      <c r="A175" s="27">
        <v>45838</v>
      </c>
      <c r="B175" s="28" t="s">
        <v>50</v>
      </c>
      <c r="C175" s="28" t="s">
        <v>287</v>
      </c>
      <c r="D175" s="27">
        <v>45838</v>
      </c>
      <c r="E175" s="28">
        <v>171.27</v>
      </c>
      <c r="F175" s="28">
        <v>0</v>
      </c>
      <c r="G175" s="28">
        <v>42291.99</v>
      </c>
      <c r="H175" s="28"/>
      <c r="I175" s="28"/>
      <c r="J175" s="28" t="s">
        <v>4</v>
      </c>
      <c r="K175" s="28" t="s">
        <v>49</v>
      </c>
      <c r="L175" s="24">
        <v>0.97</v>
      </c>
      <c r="M175" s="28" t="s">
        <v>46</v>
      </c>
    </row>
    <row r="176" spans="1:13" x14ac:dyDescent="0.3">
      <c r="A176" s="53">
        <v>45838</v>
      </c>
      <c r="B176" s="54" t="s">
        <v>288</v>
      </c>
      <c r="C176" s="54" t="s">
        <v>289</v>
      </c>
      <c r="D176" s="53">
        <v>45838</v>
      </c>
      <c r="E176" s="54">
        <v>2</v>
      </c>
      <c r="F176" s="54">
        <v>0</v>
      </c>
      <c r="G176" s="54">
        <v>42289.99</v>
      </c>
      <c r="H176" s="54"/>
      <c r="I176" s="54"/>
      <c r="J176" s="54" t="s">
        <v>21</v>
      </c>
      <c r="K176" s="54" t="s">
        <v>7</v>
      </c>
      <c r="L176" s="40">
        <v>0.8</v>
      </c>
      <c r="M176" s="54" t="s">
        <v>46</v>
      </c>
    </row>
    <row r="177" spans="1:13" x14ac:dyDescent="0.3">
      <c r="A177" s="55">
        <v>45839</v>
      </c>
      <c r="B177" s="56" t="s">
        <v>290</v>
      </c>
      <c r="C177" s="56" t="s">
        <v>83</v>
      </c>
      <c r="D177" s="55">
        <v>45838</v>
      </c>
      <c r="E177" s="56">
        <v>0</v>
      </c>
      <c r="F177" s="56">
        <v>270</v>
      </c>
      <c r="G177" s="56">
        <v>42559.99</v>
      </c>
      <c r="H177" s="56"/>
      <c r="I177" s="56"/>
      <c r="J177" s="56" t="s">
        <v>22</v>
      </c>
      <c r="K177" s="56" t="s">
        <v>22</v>
      </c>
      <c r="L177" s="24">
        <v>0.95</v>
      </c>
      <c r="M177" s="56" t="s">
        <v>46</v>
      </c>
    </row>
    <row r="178" spans="1:13" x14ac:dyDescent="0.3">
      <c r="A178" s="25">
        <v>45839</v>
      </c>
      <c r="B178" s="26" t="s">
        <v>291</v>
      </c>
      <c r="C178" s="26" t="s">
        <v>292</v>
      </c>
      <c r="D178" s="25">
        <v>45839</v>
      </c>
      <c r="E178" s="26">
        <v>0</v>
      </c>
      <c r="F178" s="26">
        <v>50881.79</v>
      </c>
      <c r="G178" s="26">
        <v>93441.78</v>
      </c>
      <c r="H178" s="26"/>
      <c r="I178" s="26"/>
      <c r="J178" s="26" t="s">
        <v>3</v>
      </c>
      <c r="K178" s="26" t="s">
        <v>49</v>
      </c>
      <c r="L178" s="24">
        <v>0.93</v>
      </c>
      <c r="M178" s="26" t="s">
        <v>46</v>
      </c>
    </row>
    <row r="179" spans="1:13" x14ac:dyDescent="0.3">
      <c r="A179" s="25">
        <v>45839</v>
      </c>
      <c r="B179" s="26" t="s">
        <v>293</v>
      </c>
      <c r="C179" s="26" t="s">
        <v>294</v>
      </c>
      <c r="D179" s="25">
        <v>45839</v>
      </c>
      <c r="E179" s="26">
        <v>0</v>
      </c>
      <c r="F179" s="26">
        <v>6.76</v>
      </c>
      <c r="G179" s="26">
        <v>93448.54</v>
      </c>
      <c r="H179" s="26"/>
      <c r="I179" s="26"/>
      <c r="J179" s="26" t="s">
        <v>3</v>
      </c>
      <c r="K179" s="26" t="s">
        <v>49</v>
      </c>
      <c r="L179" s="24">
        <v>0.93</v>
      </c>
      <c r="M179" s="26" t="s">
        <v>46</v>
      </c>
    </row>
    <row r="180" spans="1:13" x14ac:dyDescent="0.3">
      <c r="A180" s="25">
        <v>45839</v>
      </c>
      <c r="B180" s="26" t="s">
        <v>295</v>
      </c>
      <c r="C180" s="26" t="s">
        <v>296</v>
      </c>
      <c r="D180" s="25">
        <v>45839</v>
      </c>
      <c r="E180" s="26">
        <v>14800</v>
      </c>
      <c r="F180" s="26">
        <v>0</v>
      </c>
      <c r="G180" s="26">
        <v>78648.539999999994</v>
      </c>
      <c r="H180" s="26"/>
      <c r="I180" s="26"/>
      <c r="J180" s="26" t="s">
        <v>23</v>
      </c>
      <c r="K180" s="26" t="s">
        <v>49</v>
      </c>
      <c r="L180" s="40">
        <v>0.8</v>
      </c>
      <c r="M180" s="26" t="s">
        <v>46</v>
      </c>
    </row>
    <row r="181" spans="1:13" x14ac:dyDescent="0.3">
      <c r="A181" s="27">
        <v>45839</v>
      </c>
      <c r="B181" s="28" t="s">
        <v>50</v>
      </c>
      <c r="C181" s="28" t="s">
        <v>297</v>
      </c>
      <c r="D181" s="27">
        <v>45839</v>
      </c>
      <c r="E181" s="28">
        <v>50.27</v>
      </c>
      <c r="F181" s="28">
        <v>0</v>
      </c>
      <c r="G181" s="28">
        <v>78598.27</v>
      </c>
      <c r="H181" s="28"/>
      <c r="I181" s="28"/>
      <c r="J181" s="28" t="s">
        <v>4</v>
      </c>
      <c r="K181" s="28" t="s">
        <v>49</v>
      </c>
      <c r="L181" s="24">
        <v>0.97</v>
      </c>
      <c r="M181" s="28" t="s">
        <v>46</v>
      </c>
    </row>
    <row r="182" spans="1:13" x14ac:dyDescent="0.3">
      <c r="A182" s="49">
        <v>45839</v>
      </c>
      <c r="B182" s="50" t="s">
        <v>298</v>
      </c>
      <c r="C182" s="50" t="s">
        <v>299</v>
      </c>
      <c r="D182" s="49">
        <v>45839</v>
      </c>
      <c r="E182" s="50">
        <v>0</v>
      </c>
      <c r="F182" s="50">
        <v>350</v>
      </c>
      <c r="G182" s="50">
        <v>78948.27</v>
      </c>
      <c r="H182" s="50"/>
      <c r="I182" s="50"/>
      <c r="J182" s="50" t="s">
        <v>17</v>
      </c>
      <c r="K182" s="50" t="s">
        <v>17</v>
      </c>
      <c r="L182" s="24">
        <v>0.88</v>
      </c>
      <c r="M182" s="50" t="s">
        <v>46</v>
      </c>
    </row>
    <row r="183" spans="1:13" x14ac:dyDescent="0.3">
      <c r="A183" s="27">
        <v>45839</v>
      </c>
      <c r="B183" s="28" t="s">
        <v>50</v>
      </c>
      <c r="C183" s="28" t="s">
        <v>300</v>
      </c>
      <c r="D183" s="27">
        <v>45839</v>
      </c>
      <c r="E183" s="28">
        <v>34712.25</v>
      </c>
      <c r="F183" s="28">
        <v>0</v>
      </c>
      <c r="G183" s="28">
        <v>44236.02</v>
      </c>
      <c r="H183" s="28"/>
      <c r="I183" s="28"/>
      <c r="J183" s="28" t="s">
        <v>4</v>
      </c>
      <c r="K183" s="28" t="s">
        <v>49</v>
      </c>
      <c r="L183" s="24">
        <v>0.97</v>
      </c>
      <c r="M183" s="28" t="s">
        <v>46</v>
      </c>
    </row>
    <row r="184" spans="1:13" x14ac:dyDescent="0.3">
      <c r="A184" s="49">
        <v>45840</v>
      </c>
      <c r="B184" s="50" t="s">
        <v>301</v>
      </c>
      <c r="C184" s="50" t="s">
        <v>302</v>
      </c>
      <c r="D184" s="49">
        <v>45840</v>
      </c>
      <c r="E184" s="50">
        <v>0</v>
      </c>
      <c r="F184" s="50">
        <v>2505</v>
      </c>
      <c r="G184" s="50">
        <v>46741.02</v>
      </c>
      <c r="H184" s="50"/>
      <c r="I184" s="50"/>
      <c r="J184" s="50" t="s">
        <v>17</v>
      </c>
      <c r="K184" s="50" t="s">
        <v>17</v>
      </c>
      <c r="L184" s="24">
        <v>0.88</v>
      </c>
      <c r="M184" s="50" t="s">
        <v>46</v>
      </c>
    </row>
    <row r="185" spans="1:13" x14ac:dyDescent="0.3">
      <c r="A185" s="27">
        <v>45840</v>
      </c>
      <c r="B185" s="28" t="s">
        <v>50</v>
      </c>
      <c r="C185" s="28" t="s">
        <v>303</v>
      </c>
      <c r="D185" s="27">
        <v>45840</v>
      </c>
      <c r="E185" s="28">
        <v>37.909999999999997</v>
      </c>
      <c r="F185" s="28">
        <v>0</v>
      </c>
      <c r="G185" s="28">
        <v>46703.11</v>
      </c>
      <c r="H185" s="28"/>
      <c r="I185" s="28"/>
      <c r="J185" s="28" t="s">
        <v>4</v>
      </c>
      <c r="K185" s="28" t="s">
        <v>49</v>
      </c>
      <c r="L185" s="24">
        <v>0.97</v>
      </c>
      <c r="M185" s="28" t="s">
        <v>46</v>
      </c>
    </row>
    <row r="186" spans="1:13" x14ac:dyDescent="0.3">
      <c r="A186" s="27">
        <v>45840</v>
      </c>
      <c r="B186" s="28" t="s">
        <v>50</v>
      </c>
      <c r="C186" s="28" t="s">
        <v>304</v>
      </c>
      <c r="D186" s="27">
        <v>45840</v>
      </c>
      <c r="E186" s="28">
        <v>4309.99</v>
      </c>
      <c r="F186" s="28">
        <v>0</v>
      </c>
      <c r="G186" s="28">
        <v>42393.120000000003</v>
      </c>
      <c r="H186" s="28"/>
      <c r="I186" s="28"/>
      <c r="J186" s="28" t="s">
        <v>4</v>
      </c>
      <c r="K186" s="28" t="s">
        <v>49</v>
      </c>
      <c r="L186" s="24">
        <v>0.97</v>
      </c>
      <c r="M186" s="28" t="s">
        <v>46</v>
      </c>
    </row>
    <row r="187" spans="1:13" x14ac:dyDescent="0.3">
      <c r="A187" s="45">
        <v>45841</v>
      </c>
      <c r="B187" s="46" t="s">
        <v>305</v>
      </c>
      <c r="C187" s="46" t="s">
        <v>306</v>
      </c>
      <c r="D187" s="45">
        <v>45841</v>
      </c>
      <c r="E187" s="46">
        <v>10000</v>
      </c>
      <c r="F187" s="46">
        <v>0</v>
      </c>
      <c r="G187" s="46">
        <v>32393.119999999999</v>
      </c>
      <c r="H187" s="46"/>
      <c r="I187" s="46"/>
      <c r="J187" s="46" t="s">
        <v>15</v>
      </c>
      <c r="K187" s="46" t="s">
        <v>149</v>
      </c>
      <c r="L187" s="24">
        <v>0.88</v>
      </c>
      <c r="M187" s="46" t="s">
        <v>46</v>
      </c>
    </row>
    <row r="188" spans="1:13" x14ac:dyDescent="0.3">
      <c r="A188" s="47">
        <v>45841</v>
      </c>
      <c r="B188" s="48" t="s">
        <v>307</v>
      </c>
      <c r="C188" s="48" t="s">
        <v>308</v>
      </c>
      <c r="D188" s="47">
        <v>45841</v>
      </c>
      <c r="E188" s="48">
        <v>10000</v>
      </c>
      <c r="F188" s="48">
        <v>0</v>
      </c>
      <c r="G188" s="48">
        <v>22393.119999999999</v>
      </c>
      <c r="H188" s="48"/>
      <c r="I188" s="48"/>
      <c r="J188" s="48" t="s">
        <v>24</v>
      </c>
      <c r="K188" s="48" t="s">
        <v>157</v>
      </c>
      <c r="L188" s="24">
        <v>0.88</v>
      </c>
      <c r="M188" s="48" t="s">
        <v>46</v>
      </c>
    </row>
    <row r="189" spans="1:13" x14ac:dyDescent="0.3">
      <c r="A189" s="27">
        <v>45841</v>
      </c>
      <c r="B189" s="28" t="s">
        <v>50</v>
      </c>
      <c r="C189" s="28" t="s">
        <v>309</v>
      </c>
      <c r="D189" s="27">
        <v>45841</v>
      </c>
      <c r="E189" s="28">
        <v>36.380000000000003</v>
      </c>
      <c r="F189" s="28">
        <v>0</v>
      </c>
      <c r="G189" s="28">
        <v>22356.74</v>
      </c>
      <c r="H189" s="28"/>
      <c r="I189" s="28"/>
      <c r="J189" s="28" t="s">
        <v>4</v>
      </c>
      <c r="K189" s="28" t="s">
        <v>49</v>
      </c>
      <c r="L189" s="24">
        <v>0.97</v>
      </c>
      <c r="M189" s="28" t="s">
        <v>46</v>
      </c>
    </row>
    <row r="190" spans="1:13" x14ac:dyDescent="0.3">
      <c r="A190" s="27">
        <v>45841</v>
      </c>
      <c r="B190" s="28" t="s">
        <v>50</v>
      </c>
      <c r="C190" s="28" t="s">
        <v>310</v>
      </c>
      <c r="D190" s="27">
        <v>45841</v>
      </c>
      <c r="E190" s="28">
        <v>994.31</v>
      </c>
      <c r="F190" s="28">
        <v>0</v>
      </c>
      <c r="G190" s="28">
        <v>21362.43</v>
      </c>
      <c r="H190" s="28"/>
      <c r="I190" s="28"/>
      <c r="J190" s="28" t="s">
        <v>4</v>
      </c>
      <c r="K190" s="28" t="s">
        <v>49</v>
      </c>
      <c r="L190" s="24">
        <v>0.97</v>
      </c>
      <c r="M190" s="28" t="s">
        <v>46</v>
      </c>
    </row>
    <row r="191" spans="1:13" x14ac:dyDescent="0.3">
      <c r="A191" s="27">
        <v>45842</v>
      </c>
      <c r="B191" s="28" t="s">
        <v>50</v>
      </c>
      <c r="C191" s="28" t="s">
        <v>311</v>
      </c>
      <c r="D191" s="27">
        <v>45842</v>
      </c>
      <c r="E191" s="28">
        <v>41.56</v>
      </c>
      <c r="F191" s="28">
        <v>0</v>
      </c>
      <c r="G191" s="28">
        <v>21320.87</v>
      </c>
      <c r="H191" s="28"/>
      <c r="I191" s="28"/>
      <c r="J191" s="28" t="s">
        <v>4</v>
      </c>
      <c r="K191" s="28" t="s">
        <v>49</v>
      </c>
      <c r="L191" s="24">
        <v>0.97</v>
      </c>
      <c r="M191" s="28" t="s">
        <v>46</v>
      </c>
    </row>
    <row r="192" spans="1:13" x14ac:dyDescent="0.3">
      <c r="A192" s="27">
        <v>45842</v>
      </c>
      <c r="B192" s="28" t="s">
        <v>50</v>
      </c>
      <c r="C192" s="28" t="s">
        <v>312</v>
      </c>
      <c r="D192" s="27">
        <v>45842</v>
      </c>
      <c r="E192" s="28">
        <v>2.88</v>
      </c>
      <c r="F192" s="28">
        <v>0</v>
      </c>
      <c r="G192" s="28">
        <v>21317.99</v>
      </c>
      <c r="H192" s="28"/>
      <c r="I192" s="28"/>
      <c r="J192" s="28" t="s">
        <v>4</v>
      </c>
      <c r="K192" s="28" t="s">
        <v>49</v>
      </c>
      <c r="L192" s="24">
        <v>0.97</v>
      </c>
      <c r="M192" s="28" t="s">
        <v>46</v>
      </c>
    </row>
    <row r="193" spans="1:13" x14ac:dyDescent="0.3">
      <c r="A193" s="31">
        <v>45845</v>
      </c>
      <c r="B193" s="32" t="s">
        <v>313</v>
      </c>
      <c r="C193" s="32" t="s">
        <v>314</v>
      </c>
      <c r="D193" s="31">
        <v>45845</v>
      </c>
      <c r="E193" s="32">
        <v>0</v>
      </c>
      <c r="F193" s="32">
        <v>1880</v>
      </c>
      <c r="G193" s="32">
        <v>23197.99</v>
      </c>
      <c r="H193" s="32"/>
      <c r="I193" s="32"/>
      <c r="J193" s="32" t="s">
        <v>6</v>
      </c>
      <c r="K193" s="32" t="s">
        <v>63</v>
      </c>
      <c r="L193" s="24">
        <v>0.95</v>
      </c>
      <c r="M193" s="32" t="s">
        <v>46</v>
      </c>
    </row>
    <row r="194" spans="1:13" x14ac:dyDescent="0.3">
      <c r="A194" s="27">
        <v>45845</v>
      </c>
      <c r="B194" s="28" t="s">
        <v>50</v>
      </c>
      <c r="C194" s="28" t="s">
        <v>315</v>
      </c>
      <c r="D194" s="27">
        <v>45845</v>
      </c>
      <c r="E194" s="28">
        <v>124.68</v>
      </c>
      <c r="F194" s="28">
        <v>0</v>
      </c>
      <c r="G194" s="28">
        <v>23073.31</v>
      </c>
      <c r="H194" s="28"/>
      <c r="I194" s="28"/>
      <c r="J194" s="28" t="s">
        <v>4</v>
      </c>
      <c r="K194" s="28" t="s">
        <v>49</v>
      </c>
      <c r="L194" s="24">
        <v>0.97</v>
      </c>
      <c r="M194" s="28" t="s">
        <v>46</v>
      </c>
    </row>
    <row r="195" spans="1:13" x14ac:dyDescent="0.3">
      <c r="A195" s="27">
        <v>45845</v>
      </c>
      <c r="B195" s="28" t="s">
        <v>50</v>
      </c>
      <c r="C195" s="28" t="s">
        <v>316</v>
      </c>
      <c r="D195" s="27">
        <v>45845</v>
      </c>
      <c r="E195" s="28">
        <v>520.97</v>
      </c>
      <c r="F195" s="28">
        <v>0</v>
      </c>
      <c r="G195" s="28">
        <v>22552.34</v>
      </c>
      <c r="H195" s="28"/>
      <c r="I195" s="28"/>
      <c r="J195" s="28" t="s">
        <v>4</v>
      </c>
      <c r="K195" s="28" t="s">
        <v>49</v>
      </c>
      <c r="L195" s="24">
        <v>0.97</v>
      </c>
      <c r="M195" s="28" t="s">
        <v>46</v>
      </c>
    </row>
    <row r="196" spans="1:13" x14ac:dyDescent="0.3">
      <c r="A196" s="27">
        <v>45846</v>
      </c>
      <c r="B196" s="28" t="s">
        <v>50</v>
      </c>
      <c r="C196" s="28" t="s">
        <v>317</v>
      </c>
      <c r="D196" s="27">
        <v>45846</v>
      </c>
      <c r="E196" s="28">
        <v>41.38</v>
      </c>
      <c r="F196" s="28">
        <v>0</v>
      </c>
      <c r="G196" s="28">
        <v>22510.959999999999</v>
      </c>
      <c r="H196" s="28"/>
      <c r="I196" s="28"/>
      <c r="J196" s="28" t="s">
        <v>4</v>
      </c>
      <c r="K196" s="28" t="s">
        <v>49</v>
      </c>
      <c r="L196" s="24">
        <v>0.97</v>
      </c>
      <c r="M196" s="28" t="s">
        <v>46</v>
      </c>
    </row>
    <row r="197" spans="1:13" x14ac:dyDescent="0.3">
      <c r="A197" s="27">
        <v>45846</v>
      </c>
      <c r="B197" s="28" t="s">
        <v>50</v>
      </c>
      <c r="C197" s="28" t="s">
        <v>318</v>
      </c>
      <c r="D197" s="27">
        <v>45846</v>
      </c>
      <c r="E197" s="28">
        <v>139.37</v>
      </c>
      <c r="F197" s="28">
        <v>0</v>
      </c>
      <c r="G197" s="28">
        <v>22371.59</v>
      </c>
      <c r="H197" s="28"/>
      <c r="I197" s="28"/>
      <c r="J197" s="28" t="s">
        <v>4</v>
      </c>
      <c r="K197" s="28" t="s">
        <v>49</v>
      </c>
      <c r="L197" s="24">
        <v>0.97</v>
      </c>
      <c r="M197" s="28" t="s">
        <v>46</v>
      </c>
    </row>
    <row r="198" spans="1:13" x14ac:dyDescent="0.3">
      <c r="A198" s="27">
        <v>45847</v>
      </c>
      <c r="B198" s="28" t="s">
        <v>50</v>
      </c>
      <c r="C198" s="28" t="s">
        <v>319</v>
      </c>
      <c r="D198" s="27">
        <v>45847</v>
      </c>
      <c r="E198" s="28">
        <v>41.33</v>
      </c>
      <c r="F198" s="28">
        <v>0</v>
      </c>
      <c r="G198" s="28">
        <v>22330.26</v>
      </c>
      <c r="H198" s="28"/>
      <c r="I198" s="28"/>
      <c r="J198" s="28" t="s">
        <v>4</v>
      </c>
      <c r="K198" s="28" t="s">
        <v>49</v>
      </c>
      <c r="L198" s="24">
        <v>0.97</v>
      </c>
      <c r="M198" s="28" t="s">
        <v>46</v>
      </c>
    </row>
    <row r="199" spans="1:13" x14ac:dyDescent="0.3">
      <c r="A199" s="27">
        <v>45847</v>
      </c>
      <c r="B199" s="28" t="s">
        <v>50</v>
      </c>
      <c r="C199" s="28" t="s">
        <v>320</v>
      </c>
      <c r="D199" s="27">
        <v>45847</v>
      </c>
      <c r="E199" s="28">
        <v>8149.02</v>
      </c>
      <c r="F199" s="28">
        <v>0</v>
      </c>
      <c r="G199" s="28">
        <v>14181.24</v>
      </c>
      <c r="H199" s="28"/>
      <c r="I199" s="28"/>
      <c r="J199" s="28" t="s">
        <v>4</v>
      </c>
      <c r="K199" s="28" t="s">
        <v>49</v>
      </c>
      <c r="L199" s="24">
        <v>0.97</v>
      </c>
      <c r="M199" s="28" t="s">
        <v>46</v>
      </c>
    </row>
    <row r="200" spans="1:13" x14ac:dyDescent="0.3">
      <c r="A200" s="27">
        <v>45848</v>
      </c>
      <c r="B200" s="28" t="s">
        <v>50</v>
      </c>
      <c r="C200" s="28" t="s">
        <v>321</v>
      </c>
      <c r="D200" s="27">
        <v>45848</v>
      </c>
      <c r="E200" s="28">
        <v>38.43</v>
      </c>
      <c r="F200" s="28">
        <v>0</v>
      </c>
      <c r="G200" s="28">
        <v>14142.81</v>
      </c>
      <c r="H200" s="28"/>
      <c r="I200" s="28"/>
      <c r="J200" s="28" t="s">
        <v>4</v>
      </c>
      <c r="K200" s="28" t="s">
        <v>49</v>
      </c>
      <c r="L200" s="24">
        <v>0.97</v>
      </c>
      <c r="M200" s="28" t="s">
        <v>46</v>
      </c>
    </row>
    <row r="201" spans="1:13" x14ac:dyDescent="0.3">
      <c r="A201" s="27">
        <v>45848</v>
      </c>
      <c r="B201" s="28" t="s">
        <v>50</v>
      </c>
      <c r="C201" s="28" t="s">
        <v>322</v>
      </c>
      <c r="D201" s="27">
        <v>45848</v>
      </c>
      <c r="E201" s="28">
        <v>454.53</v>
      </c>
      <c r="F201" s="28">
        <v>0</v>
      </c>
      <c r="G201" s="28">
        <v>13688.28</v>
      </c>
      <c r="H201" s="28"/>
      <c r="I201" s="28"/>
      <c r="J201" s="28" t="s">
        <v>4</v>
      </c>
      <c r="K201" s="28" t="s">
        <v>49</v>
      </c>
      <c r="L201" s="24">
        <v>0.97</v>
      </c>
      <c r="M201" s="28" t="s">
        <v>46</v>
      </c>
    </row>
    <row r="202" spans="1:13" x14ac:dyDescent="0.3">
      <c r="A202" s="27">
        <v>45849</v>
      </c>
      <c r="B202" s="28" t="s">
        <v>50</v>
      </c>
      <c r="C202" s="28" t="s">
        <v>323</v>
      </c>
      <c r="D202" s="27">
        <v>45849</v>
      </c>
      <c r="E202" s="28">
        <v>46.31</v>
      </c>
      <c r="F202" s="28">
        <v>0</v>
      </c>
      <c r="G202" s="28">
        <v>13641.97</v>
      </c>
      <c r="H202" s="28"/>
      <c r="I202" s="28"/>
      <c r="J202" s="28" t="s">
        <v>4</v>
      </c>
      <c r="K202" s="28" t="s">
        <v>49</v>
      </c>
      <c r="L202" s="24">
        <v>0.97</v>
      </c>
      <c r="M202" s="28" t="s">
        <v>46</v>
      </c>
    </row>
    <row r="203" spans="1:13" x14ac:dyDescent="0.3">
      <c r="A203" s="27">
        <v>45849</v>
      </c>
      <c r="B203" s="28" t="s">
        <v>50</v>
      </c>
      <c r="C203" s="28" t="s">
        <v>324</v>
      </c>
      <c r="D203" s="27">
        <v>45849</v>
      </c>
      <c r="E203" s="28">
        <v>2054.4899999999998</v>
      </c>
      <c r="F203" s="28">
        <v>0</v>
      </c>
      <c r="G203" s="28">
        <v>11587.48</v>
      </c>
      <c r="H203" s="28"/>
      <c r="I203" s="28"/>
      <c r="J203" s="28" t="s">
        <v>4</v>
      </c>
      <c r="K203" s="28" t="s">
        <v>49</v>
      </c>
      <c r="L203" s="24">
        <v>0.97</v>
      </c>
      <c r="M203" s="28" t="s">
        <v>46</v>
      </c>
    </row>
    <row r="204" spans="1:13" x14ac:dyDescent="0.3">
      <c r="A204" s="27">
        <v>45852</v>
      </c>
      <c r="B204" s="28" t="s">
        <v>50</v>
      </c>
      <c r="C204" s="28" t="s">
        <v>325</v>
      </c>
      <c r="D204" s="27">
        <v>45852</v>
      </c>
      <c r="E204" s="28">
        <v>136.71</v>
      </c>
      <c r="F204" s="28">
        <v>0</v>
      </c>
      <c r="G204" s="28">
        <v>11450.77</v>
      </c>
      <c r="H204" s="28"/>
      <c r="I204" s="28"/>
      <c r="J204" s="28" t="s">
        <v>4</v>
      </c>
      <c r="K204" s="28" t="s">
        <v>49</v>
      </c>
      <c r="L204" s="24">
        <v>0.97</v>
      </c>
      <c r="M204" s="28" t="s">
        <v>46</v>
      </c>
    </row>
    <row r="205" spans="1:13" x14ac:dyDescent="0.3">
      <c r="A205" s="25">
        <v>45853</v>
      </c>
      <c r="B205" s="26" t="s">
        <v>326</v>
      </c>
      <c r="C205" s="26" t="s">
        <v>327</v>
      </c>
      <c r="D205" s="25">
        <v>45853</v>
      </c>
      <c r="E205" s="26">
        <v>0</v>
      </c>
      <c r="F205" s="26">
        <v>475.56</v>
      </c>
      <c r="G205" s="26">
        <v>11926.33</v>
      </c>
      <c r="H205" s="26"/>
      <c r="I205" s="26"/>
      <c r="J205" s="26" t="s">
        <v>3</v>
      </c>
      <c r="K205" s="26" t="s">
        <v>49</v>
      </c>
      <c r="L205" s="24">
        <v>0.93</v>
      </c>
      <c r="M205" s="26" t="s">
        <v>46</v>
      </c>
    </row>
    <row r="206" spans="1:13" x14ac:dyDescent="0.3">
      <c r="A206" s="27">
        <v>45853</v>
      </c>
      <c r="B206" s="28" t="s">
        <v>50</v>
      </c>
      <c r="C206" s="28" t="s">
        <v>328</v>
      </c>
      <c r="D206" s="27">
        <v>45853</v>
      </c>
      <c r="E206" s="28">
        <v>45.57</v>
      </c>
      <c r="F206" s="28">
        <v>0</v>
      </c>
      <c r="G206" s="28">
        <v>11880.76</v>
      </c>
      <c r="H206" s="28"/>
      <c r="I206" s="28"/>
      <c r="J206" s="28" t="s">
        <v>4</v>
      </c>
      <c r="K206" s="28" t="s">
        <v>49</v>
      </c>
      <c r="L206" s="24">
        <v>0.97</v>
      </c>
      <c r="M206" s="28" t="s">
        <v>46</v>
      </c>
    </row>
    <row r="207" spans="1:13" x14ac:dyDescent="0.3">
      <c r="A207" s="27">
        <v>45853</v>
      </c>
      <c r="B207" s="28" t="s">
        <v>50</v>
      </c>
      <c r="C207" s="28" t="s">
        <v>329</v>
      </c>
      <c r="D207" s="27">
        <v>45853</v>
      </c>
      <c r="E207" s="28">
        <v>11880.76</v>
      </c>
      <c r="F207" s="28">
        <v>0</v>
      </c>
      <c r="G207" s="28">
        <v>0</v>
      </c>
      <c r="H207" s="28"/>
      <c r="I207" s="28"/>
      <c r="J207" s="28" t="s">
        <v>4</v>
      </c>
      <c r="K207" s="28" t="s">
        <v>49</v>
      </c>
      <c r="L207" s="24">
        <v>0.97</v>
      </c>
      <c r="M207" s="28" t="s">
        <v>46</v>
      </c>
    </row>
    <row r="208" spans="1:13" x14ac:dyDescent="0.3">
      <c r="A208" s="25">
        <v>45854</v>
      </c>
      <c r="B208" s="26" t="s">
        <v>330</v>
      </c>
      <c r="C208" s="26" t="s">
        <v>331</v>
      </c>
      <c r="D208" s="25">
        <v>45854</v>
      </c>
      <c r="E208" s="26">
        <v>0</v>
      </c>
      <c r="F208" s="26">
        <v>34922.6</v>
      </c>
      <c r="G208" s="26">
        <v>34922.6</v>
      </c>
      <c r="H208" s="26"/>
      <c r="I208" s="26"/>
      <c r="J208" s="26" t="s">
        <v>3</v>
      </c>
      <c r="K208" s="26" t="s">
        <v>49</v>
      </c>
      <c r="L208" s="24">
        <v>0.93</v>
      </c>
      <c r="M208" s="26" t="s">
        <v>46</v>
      </c>
    </row>
    <row r="209" spans="1:13" x14ac:dyDescent="0.3">
      <c r="A209" s="27">
        <v>45854</v>
      </c>
      <c r="B209" s="28" t="s">
        <v>50</v>
      </c>
      <c r="C209" s="28" t="s">
        <v>332</v>
      </c>
      <c r="D209" s="27">
        <v>45854</v>
      </c>
      <c r="E209" s="28">
        <v>41.51</v>
      </c>
      <c r="F209" s="28">
        <v>0</v>
      </c>
      <c r="G209" s="28">
        <v>34881.089999999997</v>
      </c>
      <c r="H209" s="28"/>
      <c r="I209" s="28"/>
      <c r="J209" s="28" t="s">
        <v>4</v>
      </c>
      <c r="K209" s="28" t="s">
        <v>49</v>
      </c>
      <c r="L209" s="24">
        <v>0.97</v>
      </c>
      <c r="M209" s="28" t="s">
        <v>46</v>
      </c>
    </row>
    <row r="210" spans="1:13" x14ac:dyDescent="0.3">
      <c r="A210" s="27">
        <v>45854</v>
      </c>
      <c r="B210" s="28" t="s">
        <v>50</v>
      </c>
      <c r="C210" s="28" t="s">
        <v>333</v>
      </c>
      <c r="D210" s="27">
        <v>45854</v>
      </c>
      <c r="E210" s="28">
        <v>134.41999999999999</v>
      </c>
      <c r="F210" s="28">
        <v>0</v>
      </c>
      <c r="G210" s="28">
        <v>34746.67</v>
      </c>
      <c r="H210" s="28"/>
      <c r="I210" s="28"/>
      <c r="J210" s="28" t="s">
        <v>4</v>
      </c>
      <c r="K210" s="28" t="s">
        <v>49</v>
      </c>
      <c r="L210" s="24">
        <v>0.97</v>
      </c>
      <c r="M210" s="28" t="s">
        <v>46</v>
      </c>
    </row>
    <row r="211" spans="1:13" x14ac:dyDescent="0.3">
      <c r="A211" s="25">
        <v>45855</v>
      </c>
      <c r="B211" s="26" t="s">
        <v>334</v>
      </c>
      <c r="C211" s="26" t="s">
        <v>335</v>
      </c>
      <c r="D211" s="25">
        <v>45855</v>
      </c>
      <c r="E211" s="26">
        <v>0</v>
      </c>
      <c r="F211" s="26">
        <v>31890.2</v>
      </c>
      <c r="G211" s="26">
        <v>66636.87</v>
      </c>
      <c r="H211" s="26"/>
      <c r="I211" s="26"/>
      <c r="J211" s="26" t="s">
        <v>3</v>
      </c>
      <c r="K211" s="26" t="s">
        <v>49</v>
      </c>
      <c r="L211" s="24">
        <v>0.93</v>
      </c>
      <c r="M211" s="26" t="s">
        <v>46</v>
      </c>
    </row>
    <row r="212" spans="1:13" x14ac:dyDescent="0.3">
      <c r="A212" s="27">
        <v>45855</v>
      </c>
      <c r="B212" s="28" t="s">
        <v>50</v>
      </c>
      <c r="C212" s="28" t="s">
        <v>336</v>
      </c>
      <c r="D212" s="27">
        <v>45855</v>
      </c>
      <c r="E212" s="28">
        <v>40.340000000000003</v>
      </c>
      <c r="F212" s="28">
        <v>0</v>
      </c>
      <c r="G212" s="28">
        <v>66596.53</v>
      </c>
      <c r="H212" s="28"/>
      <c r="I212" s="28"/>
      <c r="J212" s="28" t="s">
        <v>4</v>
      </c>
      <c r="K212" s="28" t="s">
        <v>49</v>
      </c>
      <c r="L212" s="24">
        <v>0.97</v>
      </c>
      <c r="M212" s="28" t="s">
        <v>46</v>
      </c>
    </row>
    <row r="213" spans="1:13" x14ac:dyDescent="0.3">
      <c r="A213" s="27">
        <v>45855</v>
      </c>
      <c r="B213" s="28" t="s">
        <v>50</v>
      </c>
      <c r="C213" s="28" t="s">
        <v>337</v>
      </c>
      <c r="D213" s="27">
        <v>45855</v>
      </c>
      <c r="E213" s="28">
        <v>158.94</v>
      </c>
      <c r="F213" s="28">
        <v>0</v>
      </c>
      <c r="G213" s="28">
        <v>66437.59</v>
      </c>
      <c r="H213" s="28"/>
      <c r="I213" s="28"/>
      <c r="J213" s="28" t="s">
        <v>4</v>
      </c>
      <c r="K213" s="28" t="s">
        <v>49</v>
      </c>
      <c r="L213" s="24">
        <v>0.97</v>
      </c>
      <c r="M213" s="28" t="s">
        <v>46</v>
      </c>
    </row>
    <row r="214" spans="1:13" x14ac:dyDescent="0.3">
      <c r="A214" s="27">
        <v>45856</v>
      </c>
      <c r="B214" s="28" t="s">
        <v>50</v>
      </c>
      <c r="C214" s="28" t="s">
        <v>338</v>
      </c>
      <c r="D214" s="27">
        <v>45856</v>
      </c>
      <c r="E214" s="28">
        <v>40.28</v>
      </c>
      <c r="F214" s="28">
        <v>0</v>
      </c>
      <c r="G214" s="28">
        <v>66397.31</v>
      </c>
      <c r="H214" s="28"/>
      <c r="I214" s="28"/>
      <c r="J214" s="28" t="s">
        <v>4</v>
      </c>
      <c r="K214" s="28" t="s">
        <v>49</v>
      </c>
      <c r="L214" s="24">
        <v>0.97</v>
      </c>
      <c r="M214" s="28" t="s">
        <v>46</v>
      </c>
    </row>
    <row r="215" spans="1:13" x14ac:dyDescent="0.3">
      <c r="A215" s="27">
        <v>45856</v>
      </c>
      <c r="B215" s="28" t="s">
        <v>50</v>
      </c>
      <c r="C215" s="28" t="s">
        <v>339</v>
      </c>
      <c r="D215" s="27">
        <v>45856</v>
      </c>
      <c r="E215" s="28">
        <v>165.54</v>
      </c>
      <c r="F215" s="28">
        <v>0</v>
      </c>
      <c r="G215" s="28">
        <v>66231.77</v>
      </c>
      <c r="H215" s="28"/>
      <c r="I215" s="28"/>
      <c r="J215" s="28" t="s">
        <v>4</v>
      </c>
      <c r="K215" s="28" t="s">
        <v>49</v>
      </c>
      <c r="L215" s="24">
        <v>0.97</v>
      </c>
      <c r="M215" s="28" t="s">
        <v>46</v>
      </c>
    </row>
    <row r="216" spans="1:13" x14ac:dyDescent="0.3">
      <c r="A216" s="27">
        <v>45859</v>
      </c>
      <c r="B216" s="28" t="s">
        <v>50</v>
      </c>
      <c r="C216" s="28" t="s">
        <v>340</v>
      </c>
      <c r="D216" s="27">
        <v>45859</v>
      </c>
      <c r="E216" s="28">
        <v>120.66</v>
      </c>
      <c r="F216" s="28">
        <v>0</v>
      </c>
      <c r="G216" s="28">
        <v>66111.11</v>
      </c>
      <c r="H216" s="28"/>
      <c r="I216" s="28"/>
      <c r="J216" s="28" t="s">
        <v>4</v>
      </c>
      <c r="K216" s="28" t="s">
        <v>49</v>
      </c>
      <c r="L216" s="24">
        <v>0.97</v>
      </c>
      <c r="M216" s="28" t="s">
        <v>46</v>
      </c>
    </row>
    <row r="217" spans="1:13" x14ac:dyDescent="0.3">
      <c r="A217" s="57">
        <v>45859</v>
      </c>
      <c r="B217" s="58" t="s">
        <v>341</v>
      </c>
      <c r="C217" s="58" t="s">
        <v>342</v>
      </c>
      <c r="D217" s="57">
        <v>45859</v>
      </c>
      <c r="E217" s="58">
        <v>50000</v>
      </c>
      <c r="F217" s="58">
        <v>0</v>
      </c>
      <c r="G217" s="58">
        <v>16111.11</v>
      </c>
      <c r="H217" s="58"/>
      <c r="I217" s="58"/>
      <c r="J217" s="58" t="s">
        <v>25</v>
      </c>
      <c r="K217" s="58" t="s">
        <v>343</v>
      </c>
      <c r="L217" s="24">
        <v>0.9</v>
      </c>
      <c r="M217" s="58" t="s">
        <v>46</v>
      </c>
    </row>
    <row r="218" spans="1:13" x14ac:dyDescent="0.3">
      <c r="A218" s="25">
        <v>45860</v>
      </c>
      <c r="B218" s="26" t="s">
        <v>344</v>
      </c>
      <c r="C218" s="26" t="s">
        <v>345</v>
      </c>
      <c r="D218" s="25">
        <v>45860</v>
      </c>
      <c r="E218" s="26">
        <v>0</v>
      </c>
      <c r="F218" s="26">
        <v>374.46</v>
      </c>
      <c r="G218" s="26">
        <v>16485.57</v>
      </c>
      <c r="H218" s="26"/>
      <c r="I218" s="26"/>
      <c r="J218" s="26" t="s">
        <v>3</v>
      </c>
      <c r="K218" s="26" t="s">
        <v>49</v>
      </c>
      <c r="L218" s="24">
        <v>0.93</v>
      </c>
      <c r="M218" s="26" t="s">
        <v>46</v>
      </c>
    </row>
    <row r="219" spans="1:13" x14ac:dyDescent="0.3">
      <c r="A219" s="27">
        <v>45860</v>
      </c>
      <c r="B219" s="28" t="s">
        <v>50</v>
      </c>
      <c r="C219" s="28" t="s">
        <v>346</v>
      </c>
      <c r="D219" s="27">
        <v>45860</v>
      </c>
      <c r="E219" s="28">
        <v>40.22</v>
      </c>
      <c r="F219" s="28">
        <v>0</v>
      </c>
      <c r="G219" s="28">
        <v>16445.349999999999</v>
      </c>
      <c r="H219" s="28"/>
      <c r="I219" s="28"/>
      <c r="J219" s="28" t="s">
        <v>4</v>
      </c>
      <c r="K219" s="28" t="s">
        <v>49</v>
      </c>
      <c r="L219" s="24">
        <v>0.97</v>
      </c>
      <c r="M219" s="28" t="s">
        <v>46</v>
      </c>
    </row>
    <row r="220" spans="1:13" x14ac:dyDescent="0.3">
      <c r="A220" s="27">
        <v>45860</v>
      </c>
      <c r="B220" s="28" t="s">
        <v>50</v>
      </c>
      <c r="C220" s="28" t="s">
        <v>347</v>
      </c>
      <c r="D220" s="27">
        <v>45860</v>
      </c>
      <c r="E220" s="28">
        <v>413.85</v>
      </c>
      <c r="F220" s="28">
        <v>0</v>
      </c>
      <c r="G220" s="28">
        <v>16031.5</v>
      </c>
      <c r="H220" s="28"/>
      <c r="I220" s="28"/>
      <c r="J220" s="28" t="s">
        <v>4</v>
      </c>
      <c r="K220" s="28" t="s">
        <v>49</v>
      </c>
      <c r="L220" s="24">
        <v>0.97</v>
      </c>
      <c r="M220" s="28" t="s">
        <v>46</v>
      </c>
    </row>
    <row r="221" spans="1:13" x14ac:dyDescent="0.3">
      <c r="A221" s="35">
        <v>45861</v>
      </c>
      <c r="B221" s="36" t="s">
        <v>348</v>
      </c>
      <c r="C221" s="36" t="s">
        <v>83</v>
      </c>
      <c r="D221" s="35">
        <v>45861</v>
      </c>
      <c r="E221" s="36">
        <v>330.4</v>
      </c>
      <c r="F221" s="36">
        <v>0</v>
      </c>
      <c r="G221" s="36">
        <v>15701.1</v>
      </c>
      <c r="H221" s="36"/>
      <c r="I221" s="36"/>
      <c r="J221" s="36" t="s">
        <v>9</v>
      </c>
      <c r="K221" s="36" t="s">
        <v>9</v>
      </c>
      <c r="L221" s="24">
        <v>0.93</v>
      </c>
      <c r="M221" s="36" t="s">
        <v>46</v>
      </c>
    </row>
    <row r="222" spans="1:13" x14ac:dyDescent="0.3">
      <c r="A222" s="27">
        <v>45861</v>
      </c>
      <c r="B222" s="28" t="s">
        <v>50</v>
      </c>
      <c r="C222" s="28" t="s">
        <v>349</v>
      </c>
      <c r="D222" s="27">
        <v>45861</v>
      </c>
      <c r="E222" s="28">
        <v>8668.6200000000008</v>
      </c>
      <c r="F222" s="28">
        <v>0</v>
      </c>
      <c r="G222" s="28">
        <v>7032.48</v>
      </c>
      <c r="H222" s="28"/>
      <c r="I222" s="28"/>
      <c r="J222" s="28" t="s">
        <v>4</v>
      </c>
      <c r="K222" s="28" t="s">
        <v>49</v>
      </c>
      <c r="L222" s="24">
        <v>0.97</v>
      </c>
      <c r="M222" s="28" t="s">
        <v>46</v>
      </c>
    </row>
    <row r="223" spans="1:13" x14ac:dyDescent="0.3">
      <c r="A223" s="25">
        <v>45862</v>
      </c>
      <c r="B223" s="26" t="s">
        <v>350</v>
      </c>
      <c r="C223" s="26" t="s">
        <v>351</v>
      </c>
      <c r="D223" s="25">
        <v>45862</v>
      </c>
      <c r="E223" s="26">
        <v>0</v>
      </c>
      <c r="F223" s="26">
        <v>40608.699999999997</v>
      </c>
      <c r="G223" s="26">
        <v>47641.18</v>
      </c>
      <c r="H223" s="26"/>
      <c r="I223" s="26"/>
      <c r="J223" s="26" t="s">
        <v>3</v>
      </c>
      <c r="K223" s="26" t="s">
        <v>49</v>
      </c>
      <c r="L223" s="24">
        <v>0.93</v>
      </c>
      <c r="M223" s="26" t="s">
        <v>46</v>
      </c>
    </row>
    <row r="224" spans="1:13" x14ac:dyDescent="0.3">
      <c r="A224" s="27">
        <v>45862</v>
      </c>
      <c r="B224" s="28" t="s">
        <v>50</v>
      </c>
      <c r="C224" s="28" t="s">
        <v>352</v>
      </c>
      <c r="D224" s="27">
        <v>45862</v>
      </c>
      <c r="E224" s="28">
        <v>37.130000000000003</v>
      </c>
      <c r="F224" s="28">
        <v>0</v>
      </c>
      <c r="G224" s="28">
        <v>47604.05</v>
      </c>
      <c r="H224" s="28"/>
      <c r="I224" s="28"/>
      <c r="J224" s="28" t="s">
        <v>4</v>
      </c>
      <c r="K224" s="28" t="s">
        <v>49</v>
      </c>
      <c r="L224" s="24">
        <v>0.97</v>
      </c>
      <c r="M224" s="28" t="s">
        <v>46</v>
      </c>
    </row>
    <row r="225" spans="1:13" x14ac:dyDescent="0.3">
      <c r="A225" s="27">
        <v>45862</v>
      </c>
      <c r="B225" s="28" t="s">
        <v>50</v>
      </c>
      <c r="C225" s="28" t="s">
        <v>353</v>
      </c>
      <c r="D225" s="27">
        <v>45862</v>
      </c>
      <c r="E225" s="28">
        <v>179.74</v>
      </c>
      <c r="F225" s="28">
        <v>0</v>
      </c>
      <c r="G225" s="28">
        <v>47424.31</v>
      </c>
      <c r="H225" s="28"/>
      <c r="I225" s="28"/>
      <c r="J225" s="28" t="s">
        <v>4</v>
      </c>
      <c r="K225" s="28" t="s">
        <v>49</v>
      </c>
      <c r="L225" s="24">
        <v>0.97</v>
      </c>
      <c r="M225" s="28" t="s">
        <v>46</v>
      </c>
    </row>
    <row r="226" spans="1:13" x14ac:dyDescent="0.3">
      <c r="A226" s="27">
        <v>45863</v>
      </c>
      <c r="B226" s="28" t="s">
        <v>50</v>
      </c>
      <c r="C226" s="28" t="s">
        <v>354</v>
      </c>
      <c r="D226" s="27">
        <v>45863</v>
      </c>
      <c r="E226" s="28">
        <v>44.18</v>
      </c>
      <c r="F226" s="28">
        <v>0</v>
      </c>
      <c r="G226" s="28">
        <v>47380.13</v>
      </c>
      <c r="H226" s="28"/>
      <c r="I226" s="28"/>
      <c r="J226" s="28" t="s">
        <v>4</v>
      </c>
      <c r="K226" s="28" t="s">
        <v>49</v>
      </c>
      <c r="L226" s="24">
        <v>0.97</v>
      </c>
      <c r="M226" s="28" t="s">
        <v>46</v>
      </c>
    </row>
    <row r="227" spans="1:13" x14ac:dyDescent="0.3">
      <c r="A227" s="27">
        <v>45863</v>
      </c>
      <c r="B227" s="28" t="s">
        <v>50</v>
      </c>
      <c r="C227" s="28" t="s">
        <v>355</v>
      </c>
      <c r="D227" s="27">
        <v>45863</v>
      </c>
      <c r="E227" s="28">
        <v>2160.5100000000002</v>
      </c>
      <c r="F227" s="28">
        <v>0</v>
      </c>
      <c r="G227" s="28">
        <v>45219.62</v>
      </c>
      <c r="H227" s="28"/>
      <c r="I227" s="28"/>
      <c r="J227" s="28" t="s">
        <v>4</v>
      </c>
      <c r="K227" s="28" t="s">
        <v>49</v>
      </c>
      <c r="L227" s="24">
        <v>0.97</v>
      </c>
      <c r="M227" s="28" t="s">
        <v>46</v>
      </c>
    </row>
    <row r="228" spans="1:13" x14ac:dyDescent="0.3">
      <c r="A228" s="22">
        <v>45866</v>
      </c>
      <c r="B228" s="23" t="s">
        <v>356</v>
      </c>
      <c r="C228" s="23" t="s">
        <v>357</v>
      </c>
      <c r="D228" s="22">
        <v>45866</v>
      </c>
      <c r="E228" s="23">
        <v>5000</v>
      </c>
      <c r="F228" s="23">
        <v>0</v>
      </c>
      <c r="G228" s="23">
        <v>40219.620000000003</v>
      </c>
      <c r="H228" s="23"/>
      <c r="I228" s="23"/>
      <c r="J228" s="23" t="s">
        <v>2</v>
      </c>
      <c r="K228" s="23" t="s">
        <v>2</v>
      </c>
      <c r="L228" s="24">
        <v>0.95</v>
      </c>
      <c r="M228" s="23" t="s">
        <v>46</v>
      </c>
    </row>
    <row r="229" spans="1:13" x14ac:dyDescent="0.3">
      <c r="A229" s="27">
        <v>45866</v>
      </c>
      <c r="B229" s="28" t="s">
        <v>50</v>
      </c>
      <c r="C229" s="28" t="s">
        <v>358</v>
      </c>
      <c r="D229" s="27">
        <v>45866</v>
      </c>
      <c r="E229" s="28">
        <v>130.22999999999999</v>
      </c>
      <c r="F229" s="28">
        <v>0</v>
      </c>
      <c r="G229" s="28">
        <v>40089.39</v>
      </c>
      <c r="H229" s="28"/>
      <c r="I229" s="28"/>
      <c r="J229" s="28" t="s">
        <v>4</v>
      </c>
      <c r="K229" s="28" t="s">
        <v>49</v>
      </c>
      <c r="L229" s="24">
        <v>0.97</v>
      </c>
      <c r="M229" s="28" t="s">
        <v>46</v>
      </c>
    </row>
    <row r="230" spans="1:13" x14ac:dyDescent="0.3">
      <c r="A230" s="27">
        <v>45866</v>
      </c>
      <c r="B230" s="28" t="s">
        <v>50</v>
      </c>
      <c r="C230" s="28" t="s">
        <v>359</v>
      </c>
      <c r="D230" s="27">
        <v>45866</v>
      </c>
      <c r="E230" s="28">
        <v>1732.45</v>
      </c>
      <c r="F230" s="28">
        <v>0</v>
      </c>
      <c r="G230" s="28">
        <v>38356.94</v>
      </c>
      <c r="H230" s="28"/>
      <c r="I230" s="28"/>
      <c r="J230" s="28" t="s">
        <v>4</v>
      </c>
      <c r="K230" s="28" t="s">
        <v>49</v>
      </c>
      <c r="L230" s="24">
        <v>0.97</v>
      </c>
      <c r="M230" s="28" t="s">
        <v>46</v>
      </c>
    </row>
    <row r="231" spans="1:13" x14ac:dyDescent="0.3">
      <c r="A231" s="27">
        <v>45867</v>
      </c>
      <c r="B231" s="28" t="s">
        <v>50</v>
      </c>
      <c r="C231" s="28" t="s">
        <v>360</v>
      </c>
      <c r="D231" s="27">
        <v>45867</v>
      </c>
      <c r="E231" s="28">
        <v>42.79</v>
      </c>
      <c r="F231" s="28">
        <v>0</v>
      </c>
      <c r="G231" s="28">
        <v>38314.15</v>
      </c>
      <c r="H231" s="28"/>
      <c r="I231" s="28"/>
      <c r="J231" s="28" t="s">
        <v>4</v>
      </c>
      <c r="K231" s="28" t="s">
        <v>49</v>
      </c>
      <c r="L231" s="24">
        <v>0.97</v>
      </c>
      <c r="M231" s="28" t="s">
        <v>46</v>
      </c>
    </row>
    <row r="232" spans="1:13" x14ac:dyDescent="0.3">
      <c r="A232" s="25">
        <v>45868</v>
      </c>
      <c r="B232" s="26" t="s">
        <v>361</v>
      </c>
      <c r="C232" s="26" t="s">
        <v>362</v>
      </c>
      <c r="D232" s="25">
        <v>45868</v>
      </c>
      <c r="E232" s="26">
        <v>0</v>
      </c>
      <c r="F232" s="26">
        <v>317.2</v>
      </c>
      <c r="G232" s="26">
        <v>38631.35</v>
      </c>
      <c r="H232" s="26"/>
      <c r="I232" s="26"/>
      <c r="J232" s="26" t="s">
        <v>3</v>
      </c>
      <c r="K232" s="26" t="s">
        <v>49</v>
      </c>
      <c r="L232" s="24">
        <v>0.93</v>
      </c>
      <c r="M232" s="26" t="s">
        <v>46</v>
      </c>
    </row>
    <row r="233" spans="1:13" x14ac:dyDescent="0.3">
      <c r="A233" s="22">
        <v>45868</v>
      </c>
      <c r="B233" s="23" t="s">
        <v>363</v>
      </c>
      <c r="C233" s="23" t="s">
        <v>364</v>
      </c>
      <c r="D233" s="22">
        <v>45868</v>
      </c>
      <c r="E233" s="23">
        <v>5000</v>
      </c>
      <c r="F233" s="23">
        <v>0</v>
      </c>
      <c r="G233" s="23">
        <v>33631.35</v>
      </c>
      <c r="H233" s="23"/>
      <c r="I233" s="23"/>
      <c r="J233" s="23" t="s">
        <v>2</v>
      </c>
      <c r="K233" s="23" t="s">
        <v>2</v>
      </c>
      <c r="L233" s="24">
        <v>0.95</v>
      </c>
      <c r="M233" s="23" t="s">
        <v>46</v>
      </c>
    </row>
    <row r="234" spans="1:13" x14ac:dyDescent="0.3">
      <c r="A234" s="27">
        <v>45868</v>
      </c>
      <c r="B234" s="28" t="s">
        <v>50</v>
      </c>
      <c r="C234" s="28" t="s">
        <v>365</v>
      </c>
      <c r="D234" s="27">
        <v>45868</v>
      </c>
      <c r="E234" s="28">
        <v>42.79</v>
      </c>
      <c r="F234" s="28">
        <v>0</v>
      </c>
      <c r="G234" s="28">
        <v>33588.559999999998</v>
      </c>
      <c r="H234" s="28"/>
      <c r="I234" s="28"/>
      <c r="J234" s="28" t="s">
        <v>4</v>
      </c>
      <c r="K234" s="28" t="s">
        <v>49</v>
      </c>
      <c r="L234" s="24">
        <v>0.97</v>
      </c>
      <c r="M234" s="28" t="s">
        <v>46</v>
      </c>
    </row>
    <row r="235" spans="1:13" x14ac:dyDescent="0.3">
      <c r="A235" s="27">
        <v>45868</v>
      </c>
      <c r="B235" s="28" t="s">
        <v>50</v>
      </c>
      <c r="C235" s="28" t="s">
        <v>366</v>
      </c>
      <c r="D235" s="27">
        <v>45868</v>
      </c>
      <c r="E235" s="28">
        <v>708.12</v>
      </c>
      <c r="F235" s="28">
        <v>0</v>
      </c>
      <c r="G235" s="28">
        <v>32880.44</v>
      </c>
      <c r="H235" s="28"/>
      <c r="I235" s="28"/>
      <c r="J235" s="28" t="s">
        <v>4</v>
      </c>
      <c r="K235" s="28" t="s">
        <v>49</v>
      </c>
      <c r="L235" s="24">
        <v>0.97</v>
      </c>
      <c r="M235" s="28" t="s">
        <v>46</v>
      </c>
    </row>
    <row r="236" spans="1:13" x14ac:dyDescent="0.3">
      <c r="A236" s="27">
        <v>45869</v>
      </c>
      <c r="B236" s="28" t="s">
        <v>50</v>
      </c>
      <c r="C236" s="28" t="s">
        <v>367</v>
      </c>
      <c r="D236" s="27">
        <v>45869</v>
      </c>
      <c r="E236" s="28">
        <v>42.65</v>
      </c>
      <c r="F236" s="28">
        <v>0</v>
      </c>
      <c r="G236" s="28">
        <v>32837.79</v>
      </c>
      <c r="H236" s="28"/>
      <c r="I236" s="28"/>
      <c r="J236" s="28" t="s">
        <v>4</v>
      </c>
      <c r="K236" s="28" t="s">
        <v>49</v>
      </c>
      <c r="L236" s="24">
        <v>0.97</v>
      </c>
      <c r="M236" s="28" t="s">
        <v>46</v>
      </c>
    </row>
    <row r="237" spans="1:13" x14ac:dyDescent="0.3">
      <c r="A237" s="27">
        <v>45869</v>
      </c>
      <c r="B237" s="28" t="s">
        <v>50</v>
      </c>
      <c r="C237" s="28" t="s">
        <v>368</v>
      </c>
      <c r="D237" s="27">
        <v>45869</v>
      </c>
      <c r="E237" s="28">
        <v>1260.79</v>
      </c>
      <c r="F237" s="28">
        <v>0</v>
      </c>
      <c r="G237" s="28">
        <v>31577</v>
      </c>
      <c r="H237" s="28"/>
      <c r="I237" s="28"/>
      <c r="J237" s="28" t="s">
        <v>4</v>
      </c>
      <c r="K237" s="28" t="s">
        <v>49</v>
      </c>
      <c r="L237" s="24">
        <v>0.97</v>
      </c>
      <c r="M237" s="28" t="s">
        <v>46</v>
      </c>
    </row>
    <row r="238" spans="1:13" x14ac:dyDescent="0.3">
      <c r="A238" s="27">
        <v>45870</v>
      </c>
      <c r="B238" s="28" t="s">
        <v>50</v>
      </c>
      <c r="C238" s="28" t="s">
        <v>369</v>
      </c>
      <c r="D238" s="27">
        <v>45870</v>
      </c>
      <c r="E238" s="28">
        <v>42.2</v>
      </c>
      <c r="F238" s="28">
        <v>0</v>
      </c>
      <c r="G238" s="28">
        <v>31534.799999999999</v>
      </c>
      <c r="H238" s="28"/>
      <c r="I238" s="28"/>
      <c r="J238" s="28" t="s">
        <v>4</v>
      </c>
      <c r="K238" s="28" t="s">
        <v>49</v>
      </c>
      <c r="L238" s="24">
        <v>0.97</v>
      </c>
      <c r="M238" s="28" t="s">
        <v>46</v>
      </c>
    </row>
    <row r="239" spans="1:13" x14ac:dyDescent="0.3">
      <c r="A239" s="49">
        <v>45870</v>
      </c>
      <c r="B239" s="50" t="s">
        <v>370</v>
      </c>
      <c r="C239" s="50" t="s">
        <v>371</v>
      </c>
      <c r="D239" s="49">
        <v>45870</v>
      </c>
      <c r="E239" s="50">
        <v>0</v>
      </c>
      <c r="F239" s="50">
        <v>112</v>
      </c>
      <c r="G239" s="50">
        <v>31646.799999999999</v>
      </c>
      <c r="H239" s="50"/>
      <c r="I239" s="50"/>
      <c r="J239" s="50" t="s">
        <v>17</v>
      </c>
      <c r="K239" s="50" t="s">
        <v>17</v>
      </c>
      <c r="L239" s="24">
        <v>0.88</v>
      </c>
      <c r="M239" s="50" t="s">
        <v>46</v>
      </c>
    </row>
    <row r="240" spans="1:13" x14ac:dyDescent="0.3">
      <c r="A240" s="27">
        <v>45870</v>
      </c>
      <c r="B240" s="28" t="s">
        <v>50</v>
      </c>
      <c r="C240" s="28" t="s">
        <v>372</v>
      </c>
      <c r="D240" s="27">
        <v>45870</v>
      </c>
      <c r="E240" s="28">
        <v>6780.27</v>
      </c>
      <c r="F240" s="28">
        <v>0</v>
      </c>
      <c r="G240" s="28">
        <v>24866.53</v>
      </c>
      <c r="H240" s="28"/>
      <c r="I240" s="28"/>
      <c r="J240" s="28" t="s">
        <v>4</v>
      </c>
      <c r="K240" s="28" t="s">
        <v>49</v>
      </c>
      <c r="L240" s="24">
        <v>0.97</v>
      </c>
      <c r="M240" s="28" t="s">
        <v>46</v>
      </c>
    </row>
    <row r="241" spans="1:13" x14ac:dyDescent="0.3">
      <c r="A241" s="49">
        <v>45873</v>
      </c>
      <c r="B241" s="50" t="s">
        <v>373</v>
      </c>
      <c r="C241" s="50" t="s">
        <v>374</v>
      </c>
      <c r="D241" s="49">
        <v>45873</v>
      </c>
      <c r="E241" s="50">
        <v>0</v>
      </c>
      <c r="F241" s="50">
        <v>165</v>
      </c>
      <c r="G241" s="50">
        <v>25031.53</v>
      </c>
      <c r="H241" s="50"/>
      <c r="I241" s="50"/>
      <c r="J241" s="50" t="s">
        <v>17</v>
      </c>
      <c r="K241" s="50" t="s">
        <v>17</v>
      </c>
      <c r="L241" s="24">
        <v>0.88</v>
      </c>
      <c r="M241" s="50" t="s">
        <v>46</v>
      </c>
    </row>
    <row r="242" spans="1:13" x14ac:dyDescent="0.3">
      <c r="A242" s="27">
        <v>45873</v>
      </c>
      <c r="B242" s="28" t="s">
        <v>50</v>
      </c>
      <c r="C242" s="28" t="s">
        <v>375</v>
      </c>
      <c r="D242" s="27">
        <v>45873</v>
      </c>
      <c r="E242" s="28">
        <v>119.37</v>
      </c>
      <c r="F242" s="28">
        <v>0</v>
      </c>
      <c r="G242" s="28">
        <v>24912.16</v>
      </c>
      <c r="H242" s="28"/>
      <c r="I242" s="28"/>
      <c r="J242" s="28" t="s">
        <v>4</v>
      </c>
      <c r="K242" s="28" t="s">
        <v>49</v>
      </c>
      <c r="L242" s="24">
        <v>0.97</v>
      </c>
      <c r="M242" s="28" t="s">
        <v>46</v>
      </c>
    </row>
    <row r="243" spans="1:13" x14ac:dyDescent="0.3">
      <c r="A243" s="25">
        <v>45874</v>
      </c>
      <c r="B243" s="26" t="s">
        <v>376</v>
      </c>
      <c r="C243" s="26" t="s">
        <v>377</v>
      </c>
      <c r="D243" s="25">
        <v>45874</v>
      </c>
      <c r="E243" s="26">
        <v>0</v>
      </c>
      <c r="F243" s="26">
        <v>2348.36</v>
      </c>
      <c r="G243" s="26">
        <v>27260.52</v>
      </c>
      <c r="H243" s="26"/>
      <c r="I243" s="26"/>
      <c r="J243" s="26" t="s">
        <v>3</v>
      </c>
      <c r="K243" s="26" t="s">
        <v>49</v>
      </c>
      <c r="L243" s="24">
        <v>0.93</v>
      </c>
      <c r="M243" s="26" t="s">
        <v>46</v>
      </c>
    </row>
    <row r="244" spans="1:13" x14ac:dyDescent="0.3">
      <c r="A244" s="27">
        <v>45874</v>
      </c>
      <c r="B244" s="28" t="s">
        <v>50</v>
      </c>
      <c r="C244" s="28" t="s">
        <v>378</v>
      </c>
      <c r="D244" s="27">
        <v>45874</v>
      </c>
      <c r="E244" s="28">
        <v>44.58</v>
      </c>
      <c r="F244" s="28">
        <v>0</v>
      </c>
      <c r="G244" s="28">
        <v>27215.94</v>
      </c>
      <c r="H244" s="28"/>
      <c r="I244" s="28"/>
      <c r="J244" s="28" t="s">
        <v>4</v>
      </c>
      <c r="K244" s="28" t="s">
        <v>49</v>
      </c>
      <c r="L244" s="24">
        <v>0.97</v>
      </c>
      <c r="M244" s="28" t="s">
        <v>46</v>
      </c>
    </row>
    <row r="245" spans="1:13" x14ac:dyDescent="0.3">
      <c r="A245" s="49">
        <v>45874</v>
      </c>
      <c r="B245" s="50" t="s">
        <v>379</v>
      </c>
      <c r="C245" s="50" t="s">
        <v>380</v>
      </c>
      <c r="D245" s="49">
        <v>45874</v>
      </c>
      <c r="E245" s="50">
        <v>0</v>
      </c>
      <c r="F245" s="50">
        <v>1771</v>
      </c>
      <c r="G245" s="50">
        <v>28986.94</v>
      </c>
      <c r="H245" s="50"/>
      <c r="I245" s="50"/>
      <c r="J245" s="50" t="s">
        <v>17</v>
      </c>
      <c r="K245" s="50" t="s">
        <v>17</v>
      </c>
      <c r="L245" s="24">
        <v>0.88</v>
      </c>
      <c r="M245" s="50" t="s">
        <v>46</v>
      </c>
    </row>
    <row r="246" spans="1:13" x14ac:dyDescent="0.3">
      <c r="A246" s="25">
        <v>45875</v>
      </c>
      <c r="B246" s="26" t="s">
        <v>381</v>
      </c>
      <c r="C246" s="26" t="s">
        <v>382</v>
      </c>
      <c r="D246" s="25">
        <v>45875</v>
      </c>
      <c r="E246" s="26">
        <v>0</v>
      </c>
      <c r="F246" s="26">
        <v>324.60000000000002</v>
      </c>
      <c r="G246" s="26">
        <v>29311.54</v>
      </c>
      <c r="H246" s="26"/>
      <c r="I246" s="26"/>
      <c r="J246" s="26" t="s">
        <v>3</v>
      </c>
      <c r="K246" s="26" t="s">
        <v>49</v>
      </c>
      <c r="L246" s="24">
        <v>0.93</v>
      </c>
      <c r="M246" s="26" t="s">
        <v>46</v>
      </c>
    </row>
    <row r="247" spans="1:13" x14ac:dyDescent="0.3">
      <c r="A247" s="49">
        <v>45875</v>
      </c>
      <c r="B247" s="50" t="s">
        <v>383</v>
      </c>
      <c r="C247" s="50" t="s">
        <v>384</v>
      </c>
      <c r="D247" s="49">
        <v>45875</v>
      </c>
      <c r="E247" s="50">
        <v>0</v>
      </c>
      <c r="F247" s="50">
        <v>350</v>
      </c>
      <c r="G247" s="50">
        <v>29661.54</v>
      </c>
      <c r="H247" s="50"/>
      <c r="I247" s="50"/>
      <c r="J247" s="50" t="s">
        <v>17</v>
      </c>
      <c r="K247" s="50" t="s">
        <v>17</v>
      </c>
      <c r="L247" s="24">
        <v>0.88</v>
      </c>
      <c r="M247" s="50" t="s">
        <v>46</v>
      </c>
    </row>
    <row r="248" spans="1:13" x14ac:dyDescent="0.3">
      <c r="A248" s="27">
        <v>45875</v>
      </c>
      <c r="B248" s="28" t="s">
        <v>50</v>
      </c>
      <c r="C248" s="28" t="s">
        <v>385</v>
      </c>
      <c r="D248" s="27">
        <v>45875</v>
      </c>
      <c r="E248" s="28">
        <v>45.41</v>
      </c>
      <c r="F248" s="28">
        <v>0</v>
      </c>
      <c r="G248" s="28">
        <v>29616.13</v>
      </c>
      <c r="H248" s="28"/>
      <c r="I248" s="28"/>
      <c r="J248" s="28" t="s">
        <v>4</v>
      </c>
      <c r="K248" s="28" t="s">
        <v>49</v>
      </c>
      <c r="L248" s="24">
        <v>0.97</v>
      </c>
      <c r="M248" s="28" t="s">
        <v>46</v>
      </c>
    </row>
    <row r="249" spans="1:13" x14ac:dyDescent="0.3">
      <c r="A249" s="27">
        <v>45875</v>
      </c>
      <c r="B249" s="28" t="s">
        <v>50</v>
      </c>
      <c r="C249" s="28" t="s">
        <v>386</v>
      </c>
      <c r="D249" s="27">
        <v>45875</v>
      </c>
      <c r="E249" s="28">
        <v>1067.8699999999999</v>
      </c>
      <c r="F249" s="28">
        <v>0</v>
      </c>
      <c r="G249" s="28">
        <v>28548.26</v>
      </c>
      <c r="H249" s="28"/>
      <c r="I249" s="28"/>
      <c r="J249" s="28" t="s">
        <v>4</v>
      </c>
      <c r="K249" s="28" t="s">
        <v>49</v>
      </c>
      <c r="L249" s="24">
        <v>0.97</v>
      </c>
      <c r="M249" s="28" t="s">
        <v>46</v>
      </c>
    </row>
    <row r="250" spans="1:13" x14ac:dyDescent="0.3">
      <c r="A250" s="31">
        <v>45876</v>
      </c>
      <c r="B250" s="32" t="s">
        <v>387</v>
      </c>
      <c r="C250" s="32" t="s">
        <v>388</v>
      </c>
      <c r="D250" s="31">
        <v>45876</v>
      </c>
      <c r="E250" s="32">
        <v>0</v>
      </c>
      <c r="F250" s="32">
        <v>1880</v>
      </c>
      <c r="G250" s="32">
        <v>30428.26</v>
      </c>
      <c r="H250" s="32"/>
      <c r="I250" s="32"/>
      <c r="J250" s="32" t="s">
        <v>6</v>
      </c>
      <c r="K250" s="32" t="s">
        <v>63</v>
      </c>
      <c r="L250" s="24">
        <v>0.95</v>
      </c>
      <c r="M250" s="32" t="s">
        <v>46</v>
      </c>
    </row>
    <row r="251" spans="1:13" x14ac:dyDescent="0.3">
      <c r="A251" s="27">
        <v>45876</v>
      </c>
      <c r="B251" s="28" t="s">
        <v>50</v>
      </c>
      <c r="C251" s="28" t="s">
        <v>389</v>
      </c>
      <c r="D251" s="27">
        <v>45876</v>
      </c>
      <c r="E251" s="28">
        <v>45.15</v>
      </c>
      <c r="F251" s="28">
        <v>0</v>
      </c>
      <c r="G251" s="28">
        <v>30383.11</v>
      </c>
      <c r="H251" s="28"/>
      <c r="I251" s="28"/>
      <c r="J251" s="28" t="s">
        <v>4</v>
      </c>
      <c r="K251" s="28" t="s">
        <v>49</v>
      </c>
      <c r="L251" s="24">
        <v>0.97</v>
      </c>
      <c r="M251" s="28" t="s">
        <v>46</v>
      </c>
    </row>
    <row r="252" spans="1:13" x14ac:dyDescent="0.3">
      <c r="A252" s="49">
        <v>45876</v>
      </c>
      <c r="B252" s="50" t="s">
        <v>390</v>
      </c>
      <c r="C252" s="50" t="s">
        <v>391</v>
      </c>
      <c r="D252" s="49">
        <v>45876</v>
      </c>
      <c r="E252" s="50">
        <v>0</v>
      </c>
      <c r="F252" s="50">
        <v>220</v>
      </c>
      <c r="G252" s="50">
        <v>30603.11</v>
      </c>
      <c r="H252" s="50"/>
      <c r="I252" s="50"/>
      <c r="J252" s="50" t="s">
        <v>17</v>
      </c>
      <c r="K252" s="50" t="s">
        <v>17</v>
      </c>
      <c r="L252" s="24">
        <v>0.88</v>
      </c>
      <c r="M252" s="50" t="s">
        <v>46</v>
      </c>
    </row>
    <row r="253" spans="1:13" x14ac:dyDescent="0.3">
      <c r="A253" s="25">
        <v>45877</v>
      </c>
      <c r="B253" s="26" t="s">
        <v>392</v>
      </c>
      <c r="C253" s="26" t="s">
        <v>393</v>
      </c>
      <c r="D253" s="25">
        <v>45877</v>
      </c>
      <c r="E253" s="26">
        <v>0</v>
      </c>
      <c r="F253" s="26">
        <v>416.31</v>
      </c>
      <c r="G253" s="26">
        <v>31019.42</v>
      </c>
      <c r="H253" s="26"/>
      <c r="I253" s="26"/>
      <c r="J253" s="26" t="s">
        <v>3</v>
      </c>
      <c r="K253" s="26" t="s">
        <v>49</v>
      </c>
      <c r="L253" s="24">
        <v>0.93</v>
      </c>
      <c r="M253" s="26" t="s">
        <v>46</v>
      </c>
    </row>
    <row r="254" spans="1:13" x14ac:dyDescent="0.3">
      <c r="A254" s="27">
        <v>45877</v>
      </c>
      <c r="B254" s="28" t="s">
        <v>50</v>
      </c>
      <c r="C254" s="28" t="s">
        <v>394</v>
      </c>
      <c r="D254" s="27">
        <v>45877</v>
      </c>
      <c r="E254" s="28">
        <v>45.15</v>
      </c>
      <c r="F254" s="28">
        <v>0</v>
      </c>
      <c r="G254" s="28">
        <v>30974.27</v>
      </c>
      <c r="H254" s="28"/>
      <c r="I254" s="28"/>
      <c r="J254" s="28" t="s">
        <v>4</v>
      </c>
      <c r="K254" s="28" t="s">
        <v>49</v>
      </c>
      <c r="L254" s="24">
        <v>0.97</v>
      </c>
      <c r="M254" s="28" t="s">
        <v>46</v>
      </c>
    </row>
    <row r="255" spans="1:13" x14ac:dyDescent="0.3">
      <c r="A255" s="49">
        <v>45877</v>
      </c>
      <c r="B255" s="50" t="s">
        <v>395</v>
      </c>
      <c r="C255" s="50" t="s">
        <v>396</v>
      </c>
      <c r="D255" s="49">
        <v>45877</v>
      </c>
      <c r="E255" s="50">
        <v>0</v>
      </c>
      <c r="F255" s="50">
        <v>3780</v>
      </c>
      <c r="G255" s="50">
        <v>34754.269999999997</v>
      </c>
      <c r="H255" s="50"/>
      <c r="I255" s="50"/>
      <c r="J255" s="50" t="s">
        <v>17</v>
      </c>
      <c r="K255" s="50" t="s">
        <v>17</v>
      </c>
      <c r="L255" s="24">
        <v>0.88</v>
      </c>
      <c r="M255" s="50" t="s">
        <v>46</v>
      </c>
    </row>
    <row r="256" spans="1:13" x14ac:dyDescent="0.3">
      <c r="A256" s="27">
        <v>45877</v>
      </c>
      <c r="B256" s="28" t="s">
        <v>50</v>
      </c>
      <c r="C256" s="28" t="s">
        <v>397</v>
      </c>
      <c r="D256" s="27">
        <v>45877</v>
      </c>
      <c r="E256" s="28">
        <v>1733.69</v>
      </c>
      <c r="F256" s="28">
        <v>0</v>
      </c>
      <c r="G256" s="28">
        <v>33020.58</v>
      </c>
      <c r="H256" s="28"/>
      <c r="I256" s="28"/>
      <c r="J256" s="28" t="s">
        <v>4</v>
      </c>
      <c r="K256" s="28" t="s">
        <v>49</v>
      </c>
      <c r="L256" s="24">
        <v>0.97</v>
      </c>
      <c r="M256" s="28" t="s">
        <v>46</v>
      </c>
    </row>
    <row r="257" spans="1:13" x14ac:dyDescent="0.3">
      <c r="A257" s="49">
        <v>45880</v>
      </c>
      <c r="B257" s="50" t="s">
        <v>398</v>
      </c>
      <c r="C257" s="50" t="s">
        <v>399</v>
      </c>
      <c r="D257" s="49">
        <v>45880</v>
      </c>
      <c r="E257" s="50">
        <v>0</v>
      </c>
      <c r="F257" s="50">
        <v>250</v>
      </c>
      <c r="G257" s="50">
        <v>33270.58</v>
      </c>
      <c r="H257" s="50"/>
      <c r="I257" s="50"/>
      <c r="J257" s="50" t="s">
        <v>17</v>
      </c>
      <c r="K257" s="50" t="s">
        <v>17</v>
      </c>
      <c r="L257" s="24">
        <v>0.85</v>
      </c>
      <c r="M257" s="50" t="s">
        <v>46</v>
      </c>
    </row>
    <row r="258" spans="1:13" x14ac:dyDescent="0.3">
      <c r="A258" s="49">
        <v>45880</v>
      </c>
      <c r="B258" s="50" t="s">
        <v>400</v>
      </c>
      <c r="C258" s="50" t="s">
        <v>401</v>
      </c>
      <c r="D258" s="49">
        <v>45880</v>
      </c>
      <c r="E258" s="50">
        <v>0</v>
      </c>
      <c r="F258" s="50">
        <v>1320</v>
      </c>
      <c r="G258" s="50">
        <v>34590.58</v>
      </c>
      <c r="H258" s="50"/>
      <c r="I258" s="50"/>
      <c r="J258" s="50" t="s">
        <v>17</v>
      </c>
      <c r="K258" s="50" t="s">
        <v>17</v>
      </c>
      <c r="L258" s="24">
        <v>0.85</v>
      </c>
      <c r="M258" s="50" t="s">
        <v>46</v>
      </c>
    </row>
    <row r="259" spans="1:13" x14ac:dyDescent="0.3">
      <c r="A259" s="27">
        <v>45880</v>
      </c>
      <c r="B259" s="28" t="s">
        <v>50</v>
      </c>
      <c r="C259" s="28" t="s">
        <v>402</v>
      </c>
      <c r="D259" s="27">
        <v>45880</v>
      </c>
      <c r="E259" s="28">
        <v>134.04</v>
      </c>
      <c r="F259" s="28">
        <v>0</v>
      </c>
      <c r="G259" s="28">
        <v>34456.54</v>
      </c>
      <c r="H259" s="28"/>
      <c r="I259" s="28"/>
      <c r="J259" s="28" t="s">
        <v>4</v>
      </c>
      <c r="K259" s="28" t="s">
        <v>49</v>
      </c>
      <c r="L259" s="24">
        <v>0.97</v>
      </c>
      <c r="M259" s="28" t="s">
        <v>46</v>
      </c>
    </row>
    <row r="260" spans="1:13" x14ac:dyDescent="0.3">
      <c r="A260" s="49">
        <v>45880</v>
      </c>
      <c r="B260" s="50" t="s">
        <v>403</v>
      </c>
      <c r="C260" s="50" t="s">
        <v>404</v>
      </c>
      <c r="D260" s="49">
        <v>45880</v>
      </c>
      <c r="E260" s="50">
        <v>0</v>
      </c>
      <c r="F260" s="50">
        <v>2375</v>
      </c>
      <c r="G260" s="50">
        <v>36831.54</v>
      </c>
      <c r="H260" s="50"/>
      <c r="I260" s="50"/>
      <c r="J260" s="50" t="s">
        <v>17</v>
      </c>
      <c r="K260" s="50" t="s">
        <v>17</v>
      </c>
      <c r="L260" s="24">
        <v>0.88</v>
      </c>
      <c r="M260" s="50" t="s">
        <v>46</v>
      </c>
    </row>
    <row r="261" spans="1:13" x14ac:dyDescent="0.3">
      <c r="A261" s="25">
        <v>45881</v>
      </c>
      <c r="B261" s="26" t="s">
        <v>405</v>
      </c>
      <c r="C261" s="26" t="s">
        <v>406</v>
      </c>
      <c r="D261" s="25">
        <v>45881</v>
      </c>
      <c r="E261" s="26">
        <v>0</v>
      </c>
      <c r="F261" s="26">
        <v>52763.88</v>
      </c>
      <c r="G261" s="26">
        <v>89595.42</v>
      </c>
      <c r="H261" s="26"/>
      <c r="I261" s="26"/>
      <c r="J261" s="26" t="s">
        <v>3</v>
      </c>
      <c r="K261" s="26" t="s">
        <v>49</v>
      </c>
      <c r="L261" s="24">
        <v>0.93</v>
      </c>
      <c r="M261" s="26" t="s">
        <v>46</v>
      </c>
    </row>
    <row r="262" spans="1:13" x14ac:dyDescent="0.3">
      <c r="A262" s="25">
        <v>45881</v>
      </c>
      <c r="B262" s="26" t="s">
        <v>407</v>
      </c>
      <c r="C262" s="26" t="s">
        <v>408</v>
      </c>
      <c r="D262" s="25">
        <v>45881</v>
      </c>
      <c r="E262" s="26">
        <v>0</v>
      </c>
      <c r="F262" s="26">
        <v>1157.2</v>
      </c>
      <c r="G262" s="26">
        <v>90752.62</v>
      </c>
      <c r="H262" s="26"/>
      <c r="I262" s="26"/>
      <c r="J262" s="26" t="s">
        <v>3</v>
      </c>
      <c r="K262" s="26" t="s">
        <v>49</v>
      </c>
      <c r="L262" s="24">
        <v>0.93</v>
      </c>
      <c r="M262" s="26" t="s">
        <v>46</v>
      </c>
    </row>
    <row r="263" spans="1:13" x14ac:dyDescent="0.3">
      <c r="A263" s="27">
        <v>45881</v>
      </c>
      <c r="B263" s="28" t="s">
        <v>50</v>
      </c>
      <c r="C263" s="28" t="s">
        <v>409</v>
      </c>
      <c r="D263" s="27">
        <v>45881</v>
      </c>
      <c r="E263" s="28">
        <v>44.68</v>
      </c>
      <c r="F263" s="28">
        <v>0</v>
      </c>
      <c r="G263" s="28">
        <v>90707.94</v>
      </c>
      <c r="H263" s="28"/>
      <c r="I263" s="28"/>
      <c r="J263" s="28" t="s">
        <v>4</v>
      </c>
      <c r="K263" s="28" t="s">
        <v>49</v>
      </c>
      <c r="L263" s="24">
        <v>0.97</v>
      </c>
      <c r="M263" s="28" t="s">
        <v>46</v>
      </c>
    </row>
    <row r="264" spans="1:13" x14ac:dyDescent="0.3">
      <c r="A264" s="49">
        <v>45881</v>
      </c>
      <c r="B264" s="50" t="s">
        <v>410</v>
      </c>
      <c r="C264" s="50" t="s">
        <v>411</v>
      </c>
      <c r="D264" s="49">
        <v>45881</v>
      </c>
      <c r="E264" s="50">
        <v>0</v>
      </c>
      <c r="F264" s="50">
        <v>650</v>
      </c>
      <c r="G264" s="50">
        <v>91357.94</v>
      </c>
      <c r="H264" s="50"/>
      <c r="I264" s="50"/>
      <c r="J264" s="50" t="s">
        <v>17</v>
      </c>
      <c r="K264" s="50" t="s">
        <v>17</v>
      </c>
      <c r="L264" s="24">
        <v>0.88</v>
      </c>
      <c r="M264" s="50" t="s">
        <v>46</v>
      </c>
    </row>
    <row r="265" spans="1:13" x14ac:dyDescent="0.3">
      <c r="A265" s="27">
        <v>45881</v>
      </c>
      <c r="B265" s="28" t="s">
        <v>50</v>
      </c>
      <c r="C265" s="28" t="s">
        <v>412</v>
      </c>
      <c r="D265" s="27">
        <v>45881</v>
      </c>
      <c r="E265" s="28">
        <v>16461.12</v>
      </c>
      <c r="F265" s="28">
        <v>0</v>
      </c>
      <c r="G265" s="28">
        <v>74896.820000000007</v>
      </c>
      <c r="H265" s="28"/>
      <c r="I265" s="28"/>
      <c r="J265" s="28" t="s">
        <v>4</v>
      </c>
      <c r="K265" s="28" t="s">
        <v>49</v>
      </c>
      <c r="L265" s="24">
        <v>0.97</v>
      </c>
      <c r="M265" s="28" t="s">
        <v>46</v>
      </c>
    </row>
    <row r="266" spans="1:13" x14ac:dyDescent="0.3">
      <c r="A266" s="27">
        <v>45881</v>
      </c>
      <c r="B266" s="28" t="s">
        <v>50</v>
      </c>
      <c r="C266" s="28" t="s">
        <v>413</v>
      </c>
      <c r="D266" s="27">
        <v>45881</v>
      </c>
      <c r="E266" s="28">
        <v>5806.54</v>
      </c>
      <c r="F266" s="28">
        <v>0</v>
      </c>
      <c r="G266" s="28">
        <v>69090.28</v>
      </c>
      <c r="H266" s="28"/>
      <c r="I266" s="28"/>
      <c r="J266" s="28" t="s">
        <v>4</v>
      </c>
      <c r="K266" s="28" t="s">
        <v>49</v>
      </c>
      <c r="L266" s="24">
        <v>0.97</v>
      </c>
      <c r="M266" s="28" t="s">
        <v>46</v>
      </c>
    </row>
    <row r="267" spans="1:13" x14ac:dyDescent="0.3">
      <c r="A267" s="27">
        <v>45882</v>
      </c>
      <c r="B267" s="28" t="s">
        <v>50</v>
      </c>
      <c r="C267" s="28" t="s">
        <v>414</v>
      </c>
      <c r="D267" s="27">
        <v>45882</v>
      </c>
      <c r="E267" s="28">
        <v>37.159999999999997</v>
      </c>
      <c r="F267" s="28">
        <v>0</v>
      </c>
      <c r="G267" s="28">
        <v>69053.119999999995</v>
      </c>
      <c r="H267" s="28"/>
      <c r="I267" s="28"/>
      <c r="J267" s="28" t="s">
        <v>4</v>
      </c>
      <c r="K267" s="28" t="s">
        <v>49</v>
      </c>
      <c r="L267" s="24">
        <v>0.97</v>
      </c>
      <c r="M267" s="28" t="s">
        <v>46</v>
      </c>
    </row>
    <row r="268" spans="1:13" x14ac:dyDescent="0.3">
      <c r="A268" s="27">
        <v>45882</v>
      </c>
      <c r="B268" s="28" t="s">
        <v>415</v>
      </c>
      <c r="C268" s="28" t="s">
        <v>416</v>
      </c>
      <c r="D268" s="27">
        <v>45882</v>
      </c>
      <c r="E268" s="28">
        <v>14994</v>
      </c>
      <c r="F268" s="28">
        <v>0</v>
      </c>
      <c r="G268" s="28">
        <v>54059.12</v>
      </c>
      <c r="H268" s="28"/>
      <c r="I268" s="28"/>
      <c r="J268" s="28" t="s">
        <v>26</v>
      </c>
      <c r="K268" s="28" t="s">
        <v>417</v>
      </c>
      <c r="L268" s="40">
        <v>0.8</v>
      </c>
      <c r="M268" s="28" t="s">
        <v>46</v>
      </c>
    </row>
    <row r="269" spans="1:13" x14ac:dyDescent="0.3">
      <c r="A269" s="27">
        <v>45882</v>
      </c>
      <c r="B269" s="28" t="s">
        <v>50</v>
      </c>
      <c r="C269" s="28" t="s">
        <v>418</v>
      </c>
      <c r="D269" s="27">
        <v>45882</v>
      </c>
      <c r="E269" s="28">
        <v>10011.120000000001</v>
      </c>
      <c r="F269" s="28">
        <v>0</v>
      </c>
      <c r="G269" s="28">
        <v>44048</v>
      </c>
      <c r="H269" s="28"/>
      <c r="I269" s="28"/>
      <c r="J269" s="28" t="s">
        <v>4</v>
      </c>
      <c r="K269" s="28" t="s">
        <v>49</v>
      </c>
      <c r="L269" s="24">
        <v>0.97</v>
      </c>
      <c r="M269" s="28" t="s">
        <v>46</v>
      </c>
    </row>
    <row r="270" spans="1:13" x14ac:dyDescent="0.3">
      <c r="A270" s="25">
        <v>45883</v>
      </c>
      <c r="B270" s="26" t="s">
        <v>419</v>
      </c>
      <c r="C270" s="26" t="s">
        <v>420</v>
      </c>
      <c r="D270" s="25">
        <v>45883</v>
      </c>
      <c r="E270" s="26">
        <v>0</v>
      </c>
      <c r="F270" s="26">
        <v>15603.92</v>
      </c>
      <c r="G270" s="26">
        <v>59651.92</v>
      </c>
      <c r="H270" s="26"/>
      <c r="I270" s="26"/>
      <c r="J270" s="26" t="s">
        <v>3</v>
      </c>
      <c r="K270" s="26" t="s">
        <v>49</v>
      </c>
      <c r="L270" s="24">
        <v>0.93</v>
      </c>
      <c r="M270" s="26" t="s">
        <v>46</v>
      </c>
    </row>
    <row r="271" spans="1:13" x14ac:dyDescent="0.3">
      <c r="A271" s="27">
        <v>45883</v>
      </c>
      <c r="B271" s="28" t="s">
        <v>50</v>
      </c>
      <c r="C271" s="28" t="s">
        <v>421</v>
      </c>
      <c r="D271" s="27">
        <v>45883</v>
      </c>
      <c r="E271" s="28">
        <v>43.31</v>
      </c>
      <c r="F271" s="28">
        <v>0</v>
      </c>
      <c r="G271" s="28">
        <v>59608.61</v>
      </c>
      <c r="H271" s="28"/>
      <c r="I271" s="28"/>
      <c r="J271" s="28" t="s">
        <v>4</v>
      </c>
      <c r="K271" s="28" t="s">
        <v>49</v>
      </c>
      <c r="L271" s="24">
        <v>0.97</v>
      </c>
      <c r="M271" s="28" t="s">
        <v>46</v>
      </c>
    </row>
    <row r="272" spans="1:13" x14ac:dyDescent="0.3">
      <c r="A272" s="49">
        <v>45883</v>
      </c>
      <c r="B272" s="50" t="s">
        <v>422</v>
      </c>
      <c r="C272" s="50" t="s">
        <v>423</v>
      </c>
      <c r="D272" s="49">
        <v>45883</v>
      </c>
      <c r="E272" s="50">
        <v>0</v>
      </c>
      <c r="F272" s="50">
        <v>210</v>
      </c>
      <c r="G272" s="50">
        <v>59818.61</v>
      </c>
      <c r="H272" s="50"/>
      <c r="I272" s="50"/>
      <c r="J272" s="50" t="s">
        <v>17</v>
      </c>
      <c r="K272" s="50" t="s">
        <v>17</v>
      </c>
      <c r="L272" s="24">
        <v>0.88</v>
      </c>
      <c r="M272" s="50" t="s">
        <v>46</v>
      </c>
    </row>
    <row r="273" spans="1:13" x14ac:dyDescent="0.3">
      <c r="A273" s="37">
        <v>45883</v>
      </c>
      <c r="B273" s="38" t="s">
        <v>424</v>
      </c>
      <c r="C273" s="38" t="s">
        <v>425</v>
      </c>
      <c r="D273" s="37">
        <v>45883</v>
      </c>
      <c r="E273" s="38">
        <v>0</v>
      </c>
      <c r="F273" s="38">
        <v>30000</v>
      </c>
      <c r="G273" s="38">
        <v>89818.61</v>
      </c>
      <c r="H273" s="38"/>
      <c r="I273" s="38"/>
      <c r="J273" s="38" t="s">
        <v>27</v>
      </c>
      <c r="K273" s="38" t="s">
        <v>91</v>
      </c>
      <c r="L273" s="39">
        <v>0.55000000000000004</v>
      </c>
      <c r="M273" s="38" t="s">
        <v>46</v>
      </c>
    </row>
    <row r="274" spans="1:13" x14ac:dyDescent="0.3">
      <c r="A274" s="27">
        <v>45883</v>
      </c>
      <c r="B274" s="28" t="s">
        <v>50</v>
      </c>
      <c r="C274" s="28" t="s">
        <v>426</v>
      </c>
      <c r="D274" s="27">
        <v>45883</v>
      </c>
      <c r="E274" s="28">
        <v>330</v>
      </c>
      <c r="F274" s="28">
        <v>0</v>
      </c>
      <c r="G274" s="28">
        <v>89488.61</v>
      </c>
      <c r="H274" s="28"/>
      <c r="I274" s="28"/>
      <c r="J274" s="28" t="s">
        <v>4</v>
      </c>
      <c r="K274" s="28" t="s">
        <v>49</v>
      </c>
      <c r="L274" s="24">
        <v>0.97</v>
      </c>
      <c r="M274" s="28" t="s">
        <v>46</v>
      </c>
    </row>
    <row r="275" spans="1:13" x14ac:dyDescent="0.3">
      <c r="A275" s="47">
        <v>45884</v>
      </c>
      <c r="B275" s="48" t="s">
        <v>427</v>
      </c>
      <c r="C275" s="48" t="s">
        <v>428</v>
      </c>
      <c r="D275" s="47">
        <v>45884</v>
      </c>
      <c r="E275" s="48">
        <v>30000</v>
      </c>
      <c r="F275" s="48">
        <v>0</v>
      </c>
      <c r="G275" s="48">
        <v>59488.61</v>
      </c>
      <c r="H275" s="48"/>
      <c r="I275" s="48"/>
      <c r="J275" s="48" t="s">
        <v>24</v>
      </c>
      <c r="K275" s="48" t="s">
        <v>157</v>
      </c>
      <c r="L275" s="24">
        <v>0.88</v>
      </c>
      <c r="M275" s="48" t="s">
        <v>46</v>
      </c>
    </row>
    <row r="276" spans="1:13" x14ac:dyDescent="0.3">
      <c r="A276" s="27">
        <v>45887</v>
      </c>
      <c r="B276" s="28" t="s">
        <v>50</v>
      </c>
      <c r="C276" s="28" t="s">
        <v>429</v>
      </c>
      <c r="D276" s="27">
        <v>45887</v>
      </c>
      <c r="E276" s="28">
        <v>211.32</v>
      </c>
      <c r="F276" s="28">
        <v>0</v>
      </c>
      <c r="G276" s="28">
        <v>59277.29</v>
      </c>
      <c r="H276" s="28"/>
      <c r="I276" s="28"/>
      <c r="J276" s="28" t="s">
        <v>4</v>
      </c>
      <c r="K276" s="28" t="s">
        <v>49</v>
      </c>
      <c r="L276" s="24">
        <v>0.97</v>
      </c>
      <c r="M276" s="28" t="s">
        <v>46</v>
      </c>
    </row>
    <row r="277" spans="1:13" x14ac:dyDescent="0.3">
      <c r="A277" s="27">
        <v>45887</v>
      </c>
      <c r="B277" s="28" t="s">
        <v>50</v>
      </c>
      <c r="C277" s="28" t="s">
        <v>430</v>
      </c>
      <c r="D277" s="27">
        <v>45887</v>
      </c>
      <c r="E277" s="28">
        <v>9465.2800000000007</v>
      </c>
      <c r="F277" s="28">
        <v>0</v>
      </c>
      <c r="G277" s="28">
        <v>49812.01</v>
      </c>
      <c r="H277" s="28"/>
      <c r="I277" s="28"/>
      <c r="J277" s="28" t="s">
        <v>4</v>
      </c>
      <c r="K277" s="28" t="s">
        <v>49</v>
      </c>
      <c r="L277" s="24">
        <v>0.97</v>
      </c>
      <c r="M277" s="28" t="s">
        <v>46</v>
      </c>
    </row>
    <row r="278" spans="1:13" x14ac:dyDescent="0.3">
      <c r="A278" s="27">
        <v>45888</v>
      </c>
      <c r="B278" s="28" t="s">
        <v>50</v>
      </c>
      <c r="C278" s="28" t="s">
        <v>431</v>
      </c>
      <c r="D278" s="27">
        <v>45888</v>
      </c>
      <c r="E278" s="28">
        <v>49.46</v>
      </c>
      <c r="F278" s="28">
        <v>0</v>
      </c>
      <c r="G278" s="28">
        <v>49762.55</v>
      </c>
      <c r="H278" s="28"/>
      <c r="I278" s="28"/>
      <c r="J278" s="28" t="s">
        <v>4</v>
      </c>
      <c r="K278" s="28" t="s">
        <v>49</v>
      </c>
      <c r="L278" s="24">
        <v>0.97</v>
      </c>
      <c r="M278" s="28" t="s">
        <v>46</v>
      </c>
    </row>
    <row r="279" spans="1:13" x14ac:dyDescent="0.3">
      <c r="A279" s="25">
        <v>45889</v>
      </c>
      <c r="B279" s="26" t="s">
        <v>432</v>
      </c>
      <c r="C279" s="26" t="s">
        <v>433</v>
      </c>
      <c r="D279" s="25">
        <v>45889</v>
      </c>
      <c r="E279" s="26">
        <v>0</v>
      </c>
      <c r="F279" s="26">
        <v>898.9</v>
      </c>
      <c r="G279" s="26">
        <v>50661.45</v>
      </c>
      <c r="H279" s="26"/>
      <c r="I279" s="26"/>
      <c r="J279" s="26" t="s">
        <v>3</v>
      </c>
      <c r="K279" s="26" t="s">
        <v>49</v>
      </c>
      <c r="L279" s="24">
        <v>0.93</v>
      </c>
      <c r="M279" s="26" t="s">
        <v>46</v>
      </c>
    </row>
    <row r="280" spans="1:13" x14ac:dyDescent="0.3">
      <c r="A280" s="27">
        <v>45889</v>
      </c>
      <c r="B280" s="28" t="s">
        <v>50</v>
      </c>
      <c r="C280" s="28" t="s">
        <v>434</v>
      </c>
      <c r="D280" s="27">
        <v>45889</v>
      </c>
      <c r="E280" s="28">
        <v>60.58</v>
      </c>
      <c r="F280" s="28">
        <v>0</v>
      </c>
      <c r="G280" s="28">
        <v>50600.87</v>
      </c>
      <c r="H280" s="28"/>
      <c r="I280" s="28"/>
      <c r="J280" s="28" t="s">
        <v>4</v>
      </c>
      <c r="K280" s="28" t="s">
        <v>49</v>
      </c>
      <c r="L280" s="24">
        <v>0.97</v>
      </c>
      <c r="M280" s="28" t="s">
        <v>46</v>
      </c>
    </row>
    <row r="281" spans="1:13" x14ac:dyDescent="0.3">
      <c r="A281" s="49">
        <v>45889</v>
      </c>
      <c r="B281" s="50" t="s">
        <v>435</v>
      </c>
      <c r="C281" s="50" t="s">
        <v>436</v>
      </c>
      <c r="D281" s="49">
        <v>45889</v>
      </c>
      <c r="E281" s="50">
        <v>0</v>
      </c>
      <c r="F281" s="50">
        <v>21</v>
      </c>
      <c r="G281" s="50">
        <v>50621.87</v>
      </c>
      <c r="H281" s="50"/>
      <c r="I281" s="50"/>
      <c r="J281" s="50" t="s">
        <v>17</v>
      </c>
      <c r="K281" s="50" t="s">
        <v>17</v>
      </c>
      <c r="L281" s="24">
        <v>0.88</v>
      </c>
      <c r="M281" s="50" t="s">
        <v>46</v>
      </c>
    </row>
    <row r="282" spans="1:13" x14ac:dyDescent="0.3">
      <c r="A282" s="25">
        <v>45890</v>
      </c>
      <c r="B282" s="26" t="s">
        <v>437</v>
      </c>
      <c r="C282" s="26" t="s">
        <v>438</v>
      </c>
      <c r="D282" s="25">
        <v>45890</v>
      </c>
      <c r="E282" s="26">
        <v>0</v>
      </c>
      <c r="F282" s="26">
        <v>317.25</v>
      </c>
      <c r="G282" s="26">
        <v>50939.12</v>
      </c>
      <c r="H282" s="26"/>
      <c r="I282" s="26"/>
      <c r="J282" s="26" t="s">
        <v>3</v>
      </c>
      <c r="K282" s="26" t="s">
        <v>49</v>
      </c>
      <c r="L282" s="24">
        <v>0.93</v>
      </c>
      <c r="M282" s="26" t="s">
        <v>46</v>
      </c>
    </row>
    <row r="283" spans="1:13" x14ac:dyDescent="0.3">
      <c r="A283" s="27">
        <v>45890</v>
      </c>
      <c r="B283" s="28" t="s">
        <v>50</v>
      </c>
      <c r="C283" s="28" t="s">
        <v>439</v>
      </c>
      <c r="D283" s="27">
        <v>45890</v>
      </c>
      <c r="E283" s="28">
        <v>60.9</v>
      </c>
      <c r="F283" s="28">
        <v>0</v>
      </c>
      <c r="G283" s="28">
        <v>50878.22</v>
      </c>
      <c r="H283" s="28"/>
      <c r="I283" s="28"/>
      <c r="J283" s="28" t="s">
        <v>4</v>
      </c>
      <c r="K283" s="28" t="s">
        <v>49</v>
      </c>
      <c r="L283" s="24">
        <v>0.97</v>
      </c>
      <c r="M283" s="28" t="s">
        <v>46</v>
      </c>
    </row>
    <row r="284" spans="1:13" x14ac:dyDescent="0.3">
      <c r="A284" s="27">
        <v>45890</v>
      </c>
      <c r="B284" s="28" t="s">
        <v>50</v>
      </c>
      <c r="C284" s="28" t="s">
        <v>440</v>
      </c>
      <c r="D284" s="27">
        <v>45890</v>
      </c>
      <c r="E284" s="28">
        <v>44.35</v>
      </c>
      <c r="F284" s="28">
        <v>0</v>
      </c>
      <c r="G284" s="28">
        <v>50833.87</v>
      </c>
      <c r="H284" s="28"/>
      <c r="I284" s="28"/>
      <c r="J284" s="28" t="s">
        <v>4</v>
      </c>
      <c r="K284" s="28" t="s">
        <v>49</v>
      </c>
      <c r="L284" s="24">
        <v>0.97</v>
      </c>
      <c r="M284" s="28" t="s">
        <v>46</v>
      </c>
    </row>
    <row r="285" spans="1:13" x14ac:dyDescent="0.3">
      <c r="A285" s="27">
        <v>45891</v>
      </c>
      <c r="B285" s="28" t="s">
        <v>50</v>
      </c>
      <c r="C285" s="28" t="s">
        <v>441</v>
      </c>
      <c r="D285" s="27">
        <v>45891</v>
      </c>
      <c r="E285" s="28">
        <v>61</v>
      </c>
      <c r="F285" s="28">
        <v>0</v>
      </c>
      <c r="G285" s="28">
        <v>50772.87</v>
      </c>
      <c r="H285" s="28"/>
      <c r="I285" s="28"/>
      <c r="J285" s="28" t="s">
        <v>4</v>
      </c>
      <c r="K285" s="28" t="s">
        <v>49</v>
      </c>
      <c r="L285" s="24">
        <v>0.97</v>
      </c>
      <c r="M285" s="28" t="s">
        <v>46</v>
      </c>
    </row>
    <row r="286" spans="1:13" x14ac:dyDescent="0.3">
      <c r="A286" s="35">
        <v>45891</v>
      </c>
      <c r="B286" s="36" t="s">
        <v>442</v>
      </c>
      <c r="C286" s="36" t="s">
        <v>83</v>
      </c>
      <c r="D286" s="35">
        <v>45891</v>
      </c>
      <c r="E286" s="36">
        <v>460.2</v>
      </c>
      <c r="F286" s="36">
        <v>0</v>
      </c>
      <c r="G286" s="36">
        <v>50312.67</v>
      </c>
      <c r="H286" s="36"/>
      <c r="I286" s="36"/>
      <c r="J286" s="36" t="s">
        <v>9</v>
      </c>
      <c r="K286" s="36" t="s">
        <v>9</v>
      </c>
      <c r="L286" s="24">
        <v>0.93</v>
      </c>
      <c r="M286" s="36" t="s">
        <v>46</v>
      </c>
    </row>
    <row r="287" spans="1:13" x14ac:dyDescent="0.3">
      <c r="A287" s="47">
        <v>45893</v>
      </c>
      <c r="B287" s="48" t="s">
        <v>443</v>
      </c>
      <c r="C287" s="48" t="s">
        <v>444</v>
      </c>
      <c r="D287" s="47">
        <v>45893</v>
      </c>
      <c r="E287" s="48">
        <v>35000</v>
      </c>
      <c r="F287" s="48">
        <v>0</v>
      </c>
      <c r="G287" s="48">
        <v>15312.67</v>
      </c>
      <c r="H287" s="48"/>
      <c r="I287" s="48"/>
      <c r="J287" s="48" t="s">
        <v>24</v>
      </c>
      <c r="K287" s="48" t="s">
        <v>157</v>
      </c>
      <c r="L287" s="24">
        <v>0.88</v>
      </c>
      <c r="M287" s="48" t="s">
        <v>46</v>
      </c>
    </row>
    <row r="288" spans="1:13" x14ac:dyDescent="0.3">
      <c r="A288" s="25">
        <v>45894</v>
      </c>
      <c r="B288" s="26" t="s">
        <v>445</v>
      </c>
      <c r="C288" s="26" t="s">
        <v>446</v>
      </c>
      <c r="D288" s="25">
        <v>45894</v>
      </c>
      <c r="E288" s="26">
        <v>0</v>
      </c>
      <c r="F288" s="26">
        <v>12107.89</v>
      </c>
      <c r="G288" s="26">
        <v>27420.560000000001</v>
      </c>
      <c r="H288" s="26"/>
      <c r="I288" s="26"/>
      <c r="J288" s="26" t="s">
        <v>3</v>
      </c>
      <c r="K288" s="26" t="s">
        <v>49</v>
      </c>
      <c r="L288" s="24">
        <v>0.93</v>
      </c>
      <c r="M288" s="26" t="s">
        <v>46</v>
      </c>
    </row>
    <row r="289" spans="1:13" x14ac:dyDescent="0.3">
      <c r="A289" s="27">
        <v>45894</v>
      </c>
      <c r="B289" s="28" t="s">
        <v>50</v>
      </c>
      <c r="C289" s="28" t="s">
        <v>447</v>
      </c>
      <c r="D289" s="27">
        <v>45894</v>
      </c>
      <c r="E289" s="28">
        <v>183</v>
      </c>
      <c r="F289" s="28">
        <v>0</v>
      </c>
      <c r="G289" s="28">
        <v>27237.56</v>
      </c>
      <c r="H289" s="28"/>
      <c r="I289" s="28"/>
      <c r="J289" s="28" t="s">
        <v>4</v>
      </c>
      <c r="K289" s="28" t="s">
        <v>49</v>
      </c>
      <c r="L289" s="24">
        <v>0.97</v>
      </c>
      <c r="M289" s="28" t="s">
        <v>46</v>
      </c>
    </row>
    <row r="290" spans="1:13" x14ac:dyDescent="0.3">
      <c r="A290" s="27">
        <v>45894</v>
      </c>
      <c r="B290" s="28" t="s">
        <v>50</v>
      </c>
      <c r="C290" s="28" t="s">
        <v>448</v>
      </c>
      <c r="D290" s="27">
        <v>45894</v>
      </c>
      <c r="E290" s="28">
        <v>244.42</v>
      </c>
      <c r="F290" s="28">
        <v>0</v>
      </c>
      <c r="G290" s="28">
        <v>26993.14</v>
      </c>
      <c r="H290" s="28"/>
      <c r="I290" s="28"/>
      <c r="J290" s="28" t="s">
        <v>4</v>
      </c>
      <c r="K290" s="28" t="s">
        <v>49</v>
      </c>
      <c r="L290" s="24">
        <v>0.97</v>
      </c>
      <c r="M290" s="28" t="s">
        <v>46</v>
      </c>
    </row>
    <row r="291" spans="1:13" x14ac:dyDescent="0.3">
      <c r="A291" s="27">
        <v>45895</v>
      </c>
      <c r="B291" s="28" t="s">
        <v>50</v>
      </c>
      <c r="C291" s="28" t="s">
        <v>449</v>
      </c>
      <c r="D291" s="27">
        <v>45895</v>
      </c>
      <c r="E291" s="28">
        <v>57.24</v>
      </c>
      <c r="F291" s="28">
        <v>0</v>
      </c>
      <c r="G291" s="28">
        <v>26935.9</v>
      </c>
      <c r="H291" s="28"/>
      <c r="I291" s="28"/>
      <c r="J291" s="28" t="s">
        <v>4</v>
      </c>
      <c r="K291" s="28" t="s">
        <v>49</v>
      </c>
      <c r="L291" s="24">
        <v>0.97</v>
      </c>
      <c r="M291" s="28" t="s">
        <v>46</v>
      </c>
    </row>
    <row r="292" spans="1:13" x14ac:dyDescent="0.3">
      <c r="A292" s="27">
        <v>45895</v>
      </c>
      <c r="B292" s="28" t="s">
        <v>50</v>
      </c>
      <c r="C292" s="28" t="s">
        <v>450</v>
      </c>
      <c r="D292" s="27">
        <v>45896</v>
      </c>
      <c r="E292" s="28">
        <v>2406.0700000000002</v>
      </c>
      <c r="F292" s="28">
        <v>0</v>
      </c>
      <c r="G292" s="28">
        <v>24529.83</v>
      </c>
      <c r="H292" s="28"/>
      <c r="I292" s="28"/>
      <c r="J292" s="28" t="s">
        <v>4</v>
      </c>
      <c r="K292" s="28" t="s">
        <v>49</v>
      </c>
      <c r="L292" s="24">
        <v>0.97</v>
      </c>
      <c r="M292" s="28" t="s">
        <v>46</v>
      </c>
    </row>
    <row r="293" spans="1:13" x14ac:dyDescent="0.3">
      <c r="A293" s="22">
        <v>45897</v>
      </c>
      <c r="B293" s="23" t="s">
        <v>451</v>
      </c>
      <c r="C293" s="23" t="s">
        <v>452</v>
      </c>
      <c r="D293" s="22">
        <v>45897</v>
      </c>
      <c r="E293" s="23">
        <v>5000</v>
      </c>
      <c r="F293" s="23">
        <v>0</v>
      </c>
      <c r="G293" s="23">
        <v>19529.830000000002</v>
      </c>
      <c r="H293" s="23"/>
      <c r="I293" s="23"/>
      <c r="J293" s="23" t="s">
        <v>2</v>
      </c>
      <c r="K293" s="23" t="s">
        <v>2</v>
      </c>
      <c r="L293" s="24">
        <v>0.95</v>
      </c>
      <c r="M293" s="23" t="s">
        <v>46</v>
      </c>
    </row>
    <row r="294" spans="1:13" x14ac:dyDescent="0.3">
      <c r="A294" s="27">
        <v>45897</v>
      </c>
      <c r="B294" s="28" t="s">
        <v>50</v>
      </c>
      <c r="C294" s="28" t="s">
        <v>453</v>
      </c>
      <c r="D294" s="27">
        <v>45897</v>
      </c>
      <c r="E294" s="28">
        <v>112.76</v>
      </c>
      <c r="F294" s="28">
        <v>0</v>
      </c>
      <c r="G294" s="28">
        <v>19417.07</v>
      </c>
      <c r="H294" s="28"/>
      <c r="I294" s="28"/>
      <c r="J294" s="28" t="s">
        <v>4</v>
      </c>
      <c r="K294" s="28" t="s">
        <v>49</v>
      </c>
      <c r="L294" s="24">
        <v>0.97</v>
      </c>
      <c r="M294" s="28" t="s">
        <v>46</v>
      </c>
    </row>
    <row r="295" spans="1:13" x14ac:dyDescent="0.3">
      <c r="A295" s="49">
        <v>45897</v>
      </c>
      <c r="B295" s="50" t="s">
        <v>454</v>
      </c>
      <c r="C295" s="50" t="s">
        <v>455</v>
      </c>
      <c r="D295" s="49">
        <v>45897</v>
      </c>
      <c r="E295" s="50">
        <v>0</v>
      </c>
      <c r="F295" s="50">
        <v>1</v>
      </c>
      <c r="G295" s="50">
        <v>19418.07</v>
      </c>
      <c r="H295" s="50"/>
      <c r="I295" s="50"/>
      <c r="J295" s="50" t="s">
        <v>17</v>
      </c>
      <c r="K295" s="50" t="s">
        <v>17</v>
      </c>
      <c r="L295" s="24">
        <v>0.88</v>
      </c>
      <c r="M295" s="50" t="s">
        <v>46</v>
      </c>
    </row>
    <row r="296" spans="1:13" x14ac:dyDescent="0.3">
      <c r="A296" s="27">
        <v>45897</v>
      </c>
      <c r="B296" s="28" t="s">
        <v>50</v>
      </c>
      <c r="C296" s="28" t="s">
        <v>456</v>
      </c>
      <c r="D296" s="27">
        <v>45897</v>
      </c>
      <c r="E296" s="28">
        <v>1661.64</v>
      </c>
      <c r="F296" s="28">
        <v>0</v>
      </c>
      <c r="G296" s="28">
        <v>17756.43</v>
      </c>
      <c r="H296" s="28"/>
      <c r="I296" s="28"/>
      <c r="J296" s="28" t="s">
        <v>4</v>
      </c>
      <c r="K296" s="28" t="s">
        <v>49</v>
      </c>
      <c r="L296" s="24">
        <v>0.97</v>
      </c>
      <c r="M296" s="28" t="s">
        <v>46</v>
      </c>
    </row>
    <row r="297" spans="1:13" x14ac:dyDescent="0.3">
      <c r="A297" s="27">
        <v>45898</v>
      </c>
      <c r="B297" s="28" t="s">
        <v>50</v>
      </c>
      <c r="C297" s="28" t="s">
        <v>457</v>
      </c>
      <c r="D297" s="27">
        <v>45898</v>
      </c>
      <c r="E297" s="28">
        <v>55.79</v>
      </c>
      <c r="F297" s="28">
        <v>0</v>
      </c>
      <c r="G297" s="28">
        <v>17700.64</v>
      </c>
      <c r="H297" s="28"/>
      <c r="I297" s="28"/>
      <c r="J297" s="28" t="s">
        <v>4</v>
      </c>
      <c r="K297" s="28" t="s">
        <v>49</v>
      </c>
      <c r="L297" s="24">
        <v>0.97</v>
      </c>
      <c r="M297" s="28" t="s">
        <v>46</v>
      </c>
    </row>
    <row r="298" spans="1:13" x14ac:dyDescent="0.3">
      <c r="A298" s="49">
        <v>45898</v>
      </c>
      <c r="B298" s="50" t="s">
        <v>458</v>
      </c>
      <c r="C298" s="50" t="s">
        <v>459</v>
      </c>
      <c r="D298" s="49">
        <v>45898</v>
      </c>
      <c r="E298" s="50">
        <v>0</v>
      </c>
      <c r="F298" s="50">
        <v>22</v>
      </c>
      <c r="G298" s="50">
        <v>17722.64</v>
      </c>
      <c r="H298" s="50"/>
      <c r="I298" s="50"/>
      <c r="J298" s="50" t="s">
        <v>17</v>
      </c>
      <c r="K298" s="50" t="s">
        <v>17</v>
      </c>
      <c r="L298" s="24">
        <v>0.88</v>
      </c>
      <c r="M298" s="50" t="s">
        <v>46</v>
      </c>
    </row>
    <row r="299" spans="1:13" x14ac:dyDescent="0.3">
      <c r="A299" s="27">
        <v>45898</v>
      </c>
      <c r="B299" s="28" t="s">
        <v>50</v>
      </c>
      <c r="C299" s="28" t="s">
        <v>460</v>
      </c>
      <c r="D299" s="27">
        <v>45898</v>
      </c>
      <c r="E299" s="28">
        <v>722.74</v>
      </c>
      <c r="F299" s="28">
        <v>0</v>
      </c>
      <c r="G299" s="28">
        <v>16999.900000000001</v>
      </c>
      <c r="H299" s="28"/>
      <c r="I299" s="28"/>
      <c r="J299" s="28" t="s">
        <v>4</v>
      </c>
      <c r="K299" s="28" t="s">
        <v>49</v>
      </c>
      <c r="L299" s="24">
        <v>0.97</v>
      </c>
      <c r="M299" s="28" t="s">
        <v>46</v>
      </c>
    </row>
    <row r="300" spans="1:13" x14ac:dyDescent="0.3">
      <c r="A300" s="49">
        <v>45901</v>
      </c>
      <c r="B300" s="50" t="s">
        <v>461</v>
      </c>
      <c r="C300" s="50" t="s">
        <v>462</v>
      </c>
      <c r="D300" s="49">
        <v>45901</v>
      </c>
      <c r="E300" s="50">
        <v>0</v>
      </c>
      <c r="F300" s="50">
        <v>130</v>
      </c>
      <c r="G300" s="50">
        <v>17129.900000000001</v>
      </c>
      <c r="H300" s="50"/>
      <c r="I300" s="50"/>
      <c r="J300" s="50" t="s">
        <v>17</v>
      </c>
      <c r="K300" s="50" t="s">
        <v>17</v>
      </c>
      <c r="L300" s="24">
        <v>0.88</v>
      </c>
      <c r="M300" s="50" t="s">
        <v>46</v>
      </c>
    </row>
    <row r="301" spans="1:13" x14ac:dyDescent="0.3">
      <c r="A301" s="25">
        <v>45902</v>
      </c>
      <c r="B301" s="26" t="s">
        <v>463</v>
      </c>
      <c r="C301" s="26" t="s">
        <v>464</v>
      </c>
      <c r="D301" s="25">
        <v>45902</v>
      </c>
      <c r="E301" s="26">
        <v>0</v>
      </c>
      <c r="F301" s="26">
        <v>2392.4499999999998</v>
      </c>
      <c r="G301" s="26">
        <v>19522.349999999999</v>
      </c>
      <c r="H301" s="26"/>
      <c r="I301" s="26"/>
      <c r="J301" s="26" t="s">
        <v>3</v>
      </c>
      <c r="K301" s="26" t="s">
        <v>49</v>
      </c>
      <c r="L301" s="24">
        <v>0.93</v>
      </c>
      <c r="M301" s="26" t="s">
        <v>46</v>
      </c>
    </row>
    <row r="302" spans="1:13" x14ac:dyDescent="0.3">
      <c r="A302" s="49">
        <v>45903</v>
      </c>
      <c r="B302" s="50" t="s">
        <v>465</v>
      </c>
      <c r="C302" s="50" t="s">
        <v>466</v>
      </c>
      <c r="D302" s="49">
        <v>45903</v>
      </c>
      <c r="E302" s="50">
        <v>0</v>
      </c>
      <c r="F302" s="50">
        <v>605</v>
      </c>
      <c r="G302" s="50">
        <v>20127.349999999999</v>
      </c>
      <c r="H302" s="50"/>
      <c r="I302" s="50"/>
      <c r="J302" s="50" t="s">
        <v>17</v>
      </c>
      <c r="K302" s="50" t="s">
        <v>17</v>
      </c>
      <c r="L302" s="24">
        <v>0.88</v>
      </c>
      <c r="M302" s="50" t="s">
        <v>46</v>
      </c>
    </row>
    <row r="303" spans="1:13" x14ac:dyDescent="0.3">
      <c r="A303" s="27">
        <v>45903</v>
      </c>
      <c r="B303" s="28" t="s">
        <v>50</v>
      </c>
      <c r="C303" s="28" t="s">
        <v>467</v>
      </c>
      <c r="D303" s="27">
        <v>45903</v>
      </c>
      <c r="E303" s="28">
        <v>258.49</v>
      </c>
      <c r="F303" s="28">
        <v>0</v>
      </c>
      <c r="G303" s="28">
        <v>19868.86</v>
      </c>
      <c r="H303" s="28"/>
      <c r="I303" s="28"/>
      <c r="J303" s="28" t="s">
        <v>4</v>
      </c>
      <c r="K303" s="28" t="s">
        <v>49</v>
      </c>
      <c r="L303" s="24">
        <v>0.97</v>
      </c>
      <c r="M303" s="28" t="s">
        <v>46</v>
      </c>
    </row>
    <row r="304" spans="1:13" x14ac:dyDescent="0.3">
      <c r="A304" s="25">
        <v>45904</v>
      </c>
      <c r="B304" s="26" t="s">
        <v>468</v>
      </c>
      <c r="C304" s="26" t="s">
        <v>469</v>
      </c>
      <c r="D304" s="25">
        <v>45904</v>
      </c>
      <c r="E304" s="26">
        <v>0</v>
      </c>
      <c r="F304" s="26">
        <v>258.49</v>
      </c>
      <c r="G304" s="26">
        <v>20127.349999999999</v>
      </c>
      <c r="H304" s="26"/>
      <c r="I304" s="26"/>
      <c r="J304" s="26" t="s">
        <v>3</v>
      </c>
      <c r="K304" s="26" t="s">
        <v>49</v>
      </c>
      <c r="L304" s="24">
        <v>0.93</v>
      </c>
      <c r="M304" s="26" t="s">
        <v>46</v>
      </c>
    </row>
    <row r="305" spans="1:13" x14ac:dyDescent="0.3">
      <c r="A305" s="25">
        <v>45904</v>
      </c>
      <c r="B305" s="26" t="s">
        <v>470</v>
      </c>
      <c r="C305" s="26" t="s">
        <v>471</v>
      </c>
      <c r="D305" s="25">
        <v>45904</v>
      </c>
      <c r="E305" s="26">
        <v>0</v>
      </c>
      <c r="F305" s="26">
        <v>545.79999999999995</v>
      </c>
      <c r="G305" s="26">
        <v>20673.150000000001</v>
      </c>
      <c r="H305" s="26"/>
      <c r="I305" s="26"/>
      <c r="J305" s="26" t="s">
        <v>3</v>
      </c>
      <c r="K305" s="26" t="s">
        <v>49</v>
      </c>
      <c r="L305" s="24">
        <v>0.93</v>
      </c>
      <c r="M305" s="26" t="s">
        <v>46</v>
      </c>
    </row>
    <row r="306" spans="1:13" x14ac:dyDescent="0.3">
      <c r="A306" s="37">
        <v>45904</v>
      </c>
      <c r="B306" s="38" t="s">
        <v>472</v>
      </c>
      <c r="C306" s="38" t="s">
        <v>473</v>
      </c>
      <c r="D306" s="37">
        <v>45904</v>
      </c>
      <c r="E306" s="38">
        <v>0</v>
      </c>
      <c r="F306" s="38">
        <v>11855</v>
      </c>
      <c r="G306" s="38">
        <v>32528.15</v>
      </c>
      <c r="H306" s="38"/>
      <c r="I306" s="38"/>
      <c r="J306" s="38" t="s">
        <v>28</v>
      </c>
      <c r="K306" s="38" t="s">
        <v>91</v>
      </c>
      <c r="L306" s="39">
        <v>0.55000000000000004</v>
      </c>
      <c r="M306" s="38" t="s">
        <v>46</v>
      </c>
    </row>
    <row r="307" spans="1:13" x14ac:dyDescent="0.3">
      <c r="A307" s="27">
        <v>45904</v>
      </c>
      <c r="B307" s="28" t="s">
        <v>50</v>
      </c>
      <c r="C307" s="28" t="s">
        <v>474</v>
      </c>
      <c r="D307" s="27">
        <v>45904</v>
      </c>
      <c r="E307" s="28">
        <v>56.39</v>
      </c>
      <c r="F307" s="28">
        <v>0</v>
      </c>
      <c r="G307" s="28">
        <v>32471.759999999998</v>
      </c>
      <c r="H307" s="28"/>
      <c r="I307" s="28"/>
      <c r="J307" s="28" t="s">
        <v>4</v>
      </c>
      <c r="K307" s="28" t="s">
        <v>49</v>
      </c>
      <c r="L307" s="24">
        <v>0.97</v>
      </c>
      <c r="M307" s="28" t="s">
        <v>46</v>
      </c>
    </row>
    <row r="308" spans="1:13" x14ac:dyDescent="0.3">
      <c r="A308" s="27">
        <v>45904</v>
      </c>
      <c r="B308" s="28" t="s">
        <v>50</v>
      </c>
      <c r="C308" s="28" t="s">
        <v>475</v>
      </c>
      <c r="D308" s="27">
        <v>45905</v>
      </c>
      <c r="E308" s="28">
        <v>372.96</v>
      </c>
      <c r="F308" s="28">
        <v>0</v>
      </c>
      <c r="G308" s="28">
        <v>32098.799999999999</v>
      </c>
      <c r="H308" s="28"/>
      <c r="I308" s="28"/>
      <c r="J308" s="28" t="s">
        <v>4</v>
      </c>
      <c r="K308" s="28" t="s">
        <v>49</v>
      </c>
      <c r="L308" s="24">
        <v>0.97</v>
      </c>
      <c r="M308" s="28" t="s">
        <v>46</v>
      </c>
    </row>
    <row r="309" spans="1:13" x14ac:dyDescent="0.3">
      <c r="A309" s="27">
        <v>45905</v>
      </c>
      <c r="B309" s="28" t="s">
        <v>50</v>
      </c>
      <c r="C309" s="28" t="s">
        <v>476</v>
      </c>
      <c r="D309" s="27">
        <v>45905</v>
      </c>
      <c r="E309" s="28">
        <v>56.54</v>
      </c>
      <c r="F309" s="28">
        <v>0</v>
      </c>
      <c r="G309" s="28">
        <v>32042.26</v>
      </c>
      <c r="H309" s="28"/>
      <c r="I309" s="28"/>
      <c r="J309" s="28" t="s">
        <v>4</v>
      </c>
      <c r="K309" s="28" t="s">
        <v>49</v>
      </c>
      <c r="L309" s="24">
        <v>0.97</v>
      </c>
      <c r="M309" s="28" t="s">
        <v>46</v>
      </c>
    </row>
    <row r="310" spans="1:13" x14ac:dyDescent="0.3">
      <c r="A310" s="31">
        <v>45907</v>
      </c>
      <c r="B310" s="32" t="s">
        <v>477</v>
      </c>
      <c r="C310" s="32" t="s">
        <v>478</v>
      </c>
      <c r="D310" s="31">
        <v>45907</v>
      </c>
      <c r="E310" s="32">
        <v>0</v>
      </c>
      <c r="F310" s="32">
        <v>1880</v>
      </c>
      <c r="G310" s="32">
        <v>33922.26</v>
      </c>
      <c r="H310" s="32"/>
      <c r="I310" s="32"/>
      <c r="J310" s="32" t="s">
        <v>6</v>
      </c>
      <c r="K310" s="32" t="s">
        <v>63</v>
      </c>
      <c r="L310" s="24">
        <v>0.95</v>
      </c>
      <c r="M310" s="32" t="s">
        <v>46</v>
      </c>
    </row>
    <row r="311" spans="1:13" x14ac:dyDescent="0.3">
      <c r="A311" s="49">
        <v>45908</v>
      </c>
      <c r="B311" s="50" t="s">
        <v>479</v>
      </c>
      <c r="C311" s="50" t="s">
        <v>480</v>
      </c>
      <c r="D311" s="49">
        <v>45908</v>
      </c>
      <c r="E311" s="50">
        <v>0</v>
      </c>
      <c r="F311" s="50">
        <v>190</v>
      </c>
      <c r="G311" s="50">
        <v>34112.26</v>
      </c>
      <c r="H311" s="50"/>
      <c r="I311" s="50"/>
      <c r="J311" s="50" t="s">
        <v>17</v>
      </c>
      <c r="K311" s="50" t="s">
        <v>17</v>
      </c>
      <c r="L311" s="24">
        <v>0.88</v>
      </c>
      <c r="M311" s="50" t="s">
        <v>46</v>
      </c>
    </row>
    <row r="312" spans="1:13" x14ac:dyDescent="0.3">
      <c r="A312" s="27">
        <v>45908</v>
      </c>
      <c r="B312" s="28" t="s">
        <v>50</v>
      </c>
      <c r="C312" s="28" t="s">
        <v>481</v>
      </c>
      <c r="D312" s="27">
        <v>45908</v>
      </c>
      <c r="E312" s="28">
        <v>467.11</v>
      </c>
      <c r="F312" s="28">
        <v>0</v>
      </c>
      <c r="G312" s="28">
        <v>33645.15</v>
      </c>
      <c r="H312" s="28"/>
      <c r="I312" s="28"/>
      <c r="J312" s="28" t="s">
        <v>4</v>
      </c>
      <c r="K312" s="28" t="s">
        <v>49</v>
      </c>
      <c r="L312" s="24">
        <v>0.97</v>
      </c>
      <c r="M312" s="28" t="s">
        <v>46</v>
      </c>
    </row>
    <row r="313" spans="1:13" x14ac:dyDescent="0.3">
      <c r="A313" s="25">
        <v>45909</v>
      </c>
      <c r="B313" s="26" t="s">
        <v>482</v>
      </c>
      <c r="C313" s="26" t="s">
        <v>483</v>
      </c>
      <c r="D313" s="25">
        <v>45909</v>
      </c>
      <c r="E313" s="26">
        <v>0</v>
      </c>
      <c r="F313" s="26">
        <v>15853.91</v>
      </c>
      <c r="G313" s="26">
        <v>49499.06</v>
      </c>
      <c r="H313" s="26"/>
      <c r="I313" s="26"/>
      <c r="J313" s="26" t="s">
        <v>3</v>
      </c>
      <c r="K313" s="26" t="s">
        <v>49</v>
      </c>
      <c r="L313" s="24">
        <v>0.93</v>
      </c>
      <c r="M313" s="26" t="s">
        <v>46</v>
      </c>
    </row>
    <row r="314" spans="1:13" x14ac:dyDescent="0.3">
      <c r="A314" s="27">
        <v>45909</v>
      </c>
      <c r="B314" s="28" t="s">
        <v>50</v>
      </c>
      <c r="C314" s="28" t="s">
        <v>484</v>
      </c>
      <c r="D314" s="27">
        <v>45909</v>
      </c>
      <c r="E314" s="28">
        <v>56.44</v>
      </c>
      <c r="F314" s="28">
        <v>0</v>
      </c>
      <c r="G314" s="28">
        <v>49442.62</v>
      </c>
      <c r="H314" s="28"/>
      <c r="I314" s="28"/>
      <c r="J314" s="28" t="s">
        <v>4</v>
      </c>
      <c r="K314" s="28" t="s">
        <v>49</v>
      </c>
      <c r="L314" s="24">
        <v>0.97</v>
      </c>
      <c r="M314" s="28" t="s">
        <v>46</v>
      </c>
    </row>
    <row r="315" spans="1:13" x14ac:dyDescent="0.3">
      <c r="A315" s="27">
        <v>45909</v>
      </c>
      <c r="B315" s="28" t="s">
        <v>50</v>
      </c>
      <c r="C315" s="28" t="s">
        <v>485</v>
      </c>
      <c r="D315" s="27">
        <v>45909</v>
      </c>
      <c r="E315" s="28">
        <v>157.87</v>
      </c>
      <c r="F315" s="28">
        <v>0</v>
      </c>
      <c r="G315" s="28">
        <v>49284.75</v>
      </c>
      <c r="H315" s="28"/>
      <c r="I315" s="28"/>
      <c r="J315" s="28" t="s">
        <v>4</v>
      </c>
      <c r="K315" s="28" t="s">
        <v>49</v>
      </c>
      <c r="L315" s="24">
        <v>0.97</v>
      </c>
      <c r="M315" s="28" t="s">
        <v>46</v>
      </c>
    </row>
    <row r="316" spans="1:13" x14ac:dyDescent="0.3">
      <c r="A316" s="27">
        <v>45910</v>
      </c>
      <c r="B316" s="28" t="s">
        <v>50</v>
      </c>
      <c r="C316" s="28" t="s">
        <v>486</v>
      </c>
      <c r="D316" s="27">
        <v>45910</v>
      </c>
      <c r="E316" s="28">
        <v>56.38</v>
      </c>
      <c r="F316" s="28">
        <v>0</v>
      </c>
      <c r="G316" s="28">
        <v>49228.37</v>
      </c>
      <c r="H316" s="28"/>
      <c r="I316" s="28"/>
      <c r="J316" s="28" t="s">
        <v>4</v>
      </c>
      <c r="K316" s="28" t="s">
        <v>49</v>
      </c>
      <c r="L316" s="24">
        <v>0.97</v>
      </c>
      <c r="M316" s="28" t="s">
        <v>46</v>
      </c>
    </row>
    <row r="317" spans="1:13" x14ac:dyDescent="0.3">
      <c r="A317" s="25">
        <v>45911</v>
      </c>
      <c r="B317" s="26" t="s">
        <v>487</v>
      </c>
      <c r="C317" s="26" t="s">
        <v>488</v>
      </c>
      <c r="D317" s="25">
        <v>45911</v>
      </c>
      <c r="E317" s="26">
        <v>0</v>
      </c>
      <c r="F317" s="26">
        <v>722.92</v>
      </c>
      <c r="G317" s="26">
        <v>49951.29</v>
      </c>
      <c r="H317" s="26"/>
      <c r="I317" s="26"/>
      <c r="J317" s="26" t="s">
        <v>3</v>
      </c>
      <c r="K317" s="26" t="s">
        <v>49</v>
      </c>
      <c r="L317" s="24">
        <v>0.93</v>
      </c>
      <c r="M317" s="26" t="s">
        <v>46</v>
      </c>
    </row>
    <row r="318" spans="1:13" x14ac:dyDescent="0.3">
      <c r="A318" s="33">
        <v>45911</v>
      </c>
      <c r="B318" s="34" t="s">
        <v>489</v>
      </c>
      <c r="C318" s="34" t="s">
        <v>490</v>
      </c>
      <c r="D318" s="33">
        <v>45911</v>
      </c>
      <c r="E318" s="34">
        <v>295</v>
      </c>
      <c r="F318" s="34">
        <v>0</v>
      </c>
      <c r="G318" s="34">
        <v>49656.29</v>
      </c>
      <c r="H318" s="34"/>
      <c r="I318" s="34"/>
      <c r="J318" s="34" t="s">
        <v>7</v>
      </c>
      <c r="K318" s="34" t="s">
        <v>7</v>
      </c>
      <c r="L318" s="24">
        <v>0.9</v>
      </c>
      <c r="M318" s="34" t="s">
        <v>46</v>
      </c>
    </row>
    <row r="319" spans="1:13" x14ac:dyDescent="0.3">
      <c r="A319" s="27">
        <v>45911</v>
      </c>
      <c r="B319" s="28" t="s">
        <v>50</v>
      </c>
      <c r="C319" s="28" t="s">
        <v>491</v>
      </c>
      <c r="D319" s="27">
        <v>45911</v>
      </c>
      <c r="E319" s="28">
        <v>56.38</v>
      </c>
      <c r="F319" s="28">
        <v>0</v>
      </c>
      <c r="G319" s="28">
        <v>49599.91</v>
      </c>
      <c r="H319" s="28"/>
      <c r="I319" s="28"/>
      <c r="J319" s="28" t="s">
        <v>4</v>
      </c>
      <c r="K319" s="28" t="s">
        <v>49</v>
      </c>
      <c r="L319" s="24">
        <v>0.97</v>
      </c>
      <c r="M319" s="28" t="s">
        <v>46</v>
      </c>
    </row>
    <row r="320" spans="1:13" x14ac:dyDescent="0.3">
      <c r="A320" s="27">
        <v>45911</v>
      </c>
      <c r="B320" s="28" t="s">
        <v>50</v>
      </c>
      <c r="C320" s="28" t="s">
        <v>492</v>
      </c>
      <c r="D320" s="27">
        <v>45911</v>
      </c>
      <c r="E320" s="28">
        <v>3033.61</v>
      </c>
      <c r="F320" s="28">
        <v>0</v>
      </c>
      <c r="G320" s="28">
        <v>46566.3</v>
      </c>
      <c r="H320" s="28"/>
      <c r="I320" s="28"/>
      <c r="J320" s="28" t="s">
        <v>4</v>
      </c>
      <c r="K320" s="28" t="s">
        <v>49</v>
      </c>
      <c r="L320" s="24">
        <v>0.97</v>
      </c>
      <c r="M320" s="28" t="s">
        <v>46</v>
      </c>
    </row>
    <row r="321" spans="1:13" x14ac:dyDescent="0.3">
      <c r="A321" s="27">
        <v>45911</v>
      </c>
      <c r="B321" s="28" t="s">
        <v>50</v>
      </c>
      <c r="C321" s="28" t="s">
        <v>493</v>
      </c>
      <c r="D321" s="27">
        <v>45911</v>
      </c>
      <c r="E321" s="28">
        <v>17667.650000000001</v>
      </c>
      <c r="F321" s="28">
        <v>0</v>
      </c>
      <c r="G321" s="28">
        <v>28898.65</v>
      </c>
      <c r="H321" s="28"/>
      <c r="I321" s="28"/>
      <c r="J321" s="28" t="s">
        <v>4</v>
      </c>
      <c r="K321" s="28" t="s">
        <v>49</v>
      </c>
      <c r="L321" s="24">
        <v>0.97</v>
      </c>
      <c r="M321" s="28" t="s">
        <v>46</v>
      </c>
    </row>
    <row r="322" spans="1:13" x14ac:dyDescent="0.3">
      <c r="A322" s="27">
        <v>45912</v>
      </c>
      <c r="B322" s="28" t="s">
        <v>50</v>
      </c>
      <c r="C322" s="28" t="s">
        <v>494</v>
      </c>
      <c r="D322" s="27">
        <v>45912</v>
      </c>
      <c r="E322" s="28">
        <v>49.26</v>
      </c>
      <c r="F322" s="28">
        <v>0</v>
      </c>
      <c r="G322" s="28">
        <v>28849.39</v>
      </c>
      <c r="H322" s="28"/>
      <c r="I322" s="28"/>
      <c r="J322" s="28" t="s">
        <v>4</v>
      </c>
      <c r="K322" s="28" t="s">
        <v>49</v>
      </c>
      <c r="L322" s="24">
        <v>0.97</v>
      </c>
      <c r="M322" s="28" t="s">
        <v>46</v>
      </c>
    </row>
    <row r="323" spans="1:13" x14ac:dyDescent="0.3">
      <c r="A323" s="27">
        <v>45912</v>
      </c>
      <c r="B323" s="28" t="s">
        <v>50</v>
      </c>
      <c r="C323" s="28" t="s">
        <v>495</v>
      </c>
      <c r="D323" s="27">
        <v>45912</v>
      </c>
      <c r="E323" s="28">
        <v>12612.87</v>
      </c>
      <c r="F323" s="28">
        <v>0</v>
      </c>
      <c r="G323" s="28">
        <v>16236.52</v>
      </c>
      <c r="H323" s="28"/>
      <c r="I323" s="28"/>
      <c r="J323" s="28" t="s">
        <v>4</v>
      </c>
      <c r="K323" s="28" t="s">
        <v>49</v>
      </c>
      <c r="L323" s="24">
        <v>0.97</v>
      </c>
      <c r="M323" s="28" t="s">
        <v>46</v>
      </c>
    </row>
    <row r="324" spans="1:13" x14ac:dyDescent="0.3">
      <c r="A324" s="27">
        <v>45915</v>
      </c>
      <c r="B324" s="28" t="s">
        <v>50</v>
      </c>
      <c r="C324" s="28" t="s">
        <v>496</v>
      </c>
      <c r="D324" s="27">
        <v>45915</v>
      </c>
      <c r="E324" s="28">
        <v>182.85</v>
      </c>
      <c r="F324" s="28">
        <v>0</v>
      </c>
      <c r="G324" s="28">
        <v>16053.67</v>
      </c>
      <c r="H324" s="28"/>
      <c r="I324" s="28"/>
      <c r="J324" s="28" t="s">
        <v>4</v>
      </c>
      <c r="K324" s="28" t="s">
        <v>49</v>
      </c>
      <c r="L324" s="24">
        <v>0.97</v>
      </c>
      <c r="M324" s="28" t="s">
        <v>46</v>
      </c>
    </row>
    <row r="325" spans="1:13" x14ac:dyDescent="0.3">
      <c r="A325" s="25">
        <v>45916</v>
      </c>
      <c r="B325" s="26" t="s">
        <v>497</v>
      </c>
      <c r="C325" s="26" t="s">
        <v>498</v>
      </c>
      <c r="D325" s="25">
        <v>45916</v>
      </c>
      <c r="E325" s="26">
        <v>0</v>
      </c>
      <c r="F325" s="26">
        <v>1047.0899999999999</v>
      </c>
      <c r="G325" s="26">
        <v>17100.759999999998</v>
      </c>
      <c r="H325" s="26"/>
      <c r="I325" s="26"/>
      <c r="J325" s="26" t="s">
        <v>3</v>
      </c>
      <c r="K325" s="26" t="s">
        <v>49</v>
      </c>
      <c r="L325" s="24">
        <v>0.93</v>
      </c>
      <c r="M325" s="26" t="s">
        <v>46</v>
      </c>
    </row>
    <row r="326" spans="1:13" x14ac:dyDescent="0.3">
      <c r="A326" s="27">
        <v>45916</v>
      </c>
      <c r="B326" s="28" t="s">
        <v>50</v>
      </c>
      <c r="C326" s="28" t="s">
        <v>499</v>
      </c>
      <c r="D326" s="27">
        <v>45916</v>
      </c>
      <c r="E326" s="28">
        <v>69.86</v>
      </c>
      <c r="F326" s="28">
        <v>0</v>
      </c>
      <c r="G326" s="28">
        <v>17030.900000000001</v>
      </c>
      <c r="H326" s="28"/>
      <c r="I326" s="28"/>
      <c r="J326" s="28" t="s">
        <v>4</v>
      </c>
      <c r="K326" s="28" t="s">
        <v>49</v>
      </c>
      <c r="L326" s="24">
        <v>0.97</v>
      </c>
      <c r="M326" s="28" t="s">
        <v>46</v>
      </c>
    </row>
    <row r="327" spans="1:13" x14ac:dyDescent="0.3">
      <c r="A327" s="25">
        <v>45917</v>
      </c>
      <c r="B327" s="26" t="s">
        <v>500</v>
      </c>
      <c r="C327" s="26" t="s">
        <v>501</v>
      </c>
      <c r="D327" s="25">
        <v>45917</v>
      </c>
      <c r="E327" s="26">
        <v>0</v>
      </c>
      <c r="F327" s="26">
        <v>1073.49</v>
      </c>
      <c r="G327" s="26">
        <v>18104.39</v>
      </c>
      <c r="H327" s="26"/>
      <c r="I327" s="26"/>
      <c r="J327" s="26" t="s">
        <v>3</v>
      </c>
      <c r="K327" s="26" t="s">
        <v>49</v>
      </c>
      <c r="L327" s="24">
        <v>0.93</v>
      </c>
      <c r="M327" s="26" t="s">
        <v>46</v>
      </c>
    </row>
    <row r="328" spans="1:13" x14ac:dyDescent="0.3">
      <c r="A328" s="27">
        <v>45917</v>
      </c>
      <c r="B328" s="28" t="s">
        <v>50</v>
      </c>
      <c r="C328" s="28" t="s">
        <v>502</v>
      </c>
      <c r="D328" s="27">
        <v>45917</v>
      </c>
      <c r="E328" s="28">
        <v>70.23</v>
      </c>
      <c r="F328" s="28">
        <v>0</v>
      </c>
      <c r="G328" s="28">
        <v>18034.16</v>
      </c>
      <c r="H328" s="28"/>
      <c r="I328" s="28"/>
      <c r="J328" s="28" t="s">
        <v>4</v>
      </c>
      <c r="K328" s="28" t="s">
        <v>49</v>
      </c>
      <c r="L328" s="24">
        <v>0.97</v>
      </c>
      <c r="M328" s="28" t="s">
        <v>46</v>
      </c>
    </row>
    <row r="329" spans="1:13" x14ac:dyDescent="0.3">
      <c r="A329" s="35">
        <v>45917</v>
      </c>
      <c r="B329" s="36" t="s">
        <v>503</v>
      </c>
      <c r="C329" s="36" t="s">
        <v>83</v>
      </c>
      <c r="D329" s="35">
        <v>45917</v>
      </c>
      <c r="E329" s="36">
        <v>330.4</v>
      </c>
      <c r="F329" s="36">
        <v>0</v>
      </c>
      <c r="G329" s="36">
        <v>17703.759999999998</v>
      </c>
      <c r="H329" s="36"/>
      <c r="I329" s="36"/>
      <c r="J329" s="36" t="s">
        <v>9</v>
      </c>
      <c r="K329" s="36" t="s">
        <v>9</v>
      </c>
      <c r="L329" s="24">
        <v>0.93</v>
      </c>
      <c r="M329" s="36" t="s">
        <v>46</v>
      </c>
    </row>
    <row r="330" spans="1:13" x14ac:dyDescent="0.3">
      <c r="A330" s="27">
        <v>45917</v>
      </c>
      <c r="B330" s="28" t="s">
        <v>50</v>
      </c>
      <c r="C330" s="28" t="s">
        <v>504</v>
      </c>
      <c r="D330" s="27">
        <v>45917</v>
      </c>
      <c r="E330" s="28">
        <v>11962.97</v>
      </c>
      <c r="F330" s="28">
        <v>0</v>
      </c>
      <c r="G330" s="28">
        <v>5740.79</v>
      </c>
      <c r="H330" s="28"/>
      <c r="I330" s="28"/>
      <c r="J330" s="28" t="s">
        <v>4</v>
      </c>
      <c r="K330" s="28" t="s">
        <v>49</v>
      </c>
      <c r="L330" s="24">
        <v>0.97</v>
      </c>
      <c r="M330" s="28" t="s">
        <v>46</v>
      </c>
    </row>
    <row r="331" spans="1:13" x14ac:dyDescent="0.3">
      <c r="A331" s="25">
        <v>45918</v>
      </c>
      <c r="B331" s="26" t="s">
        <v>505</v>
      </c>
      <c r="C331" s="26" t="s">
        <v>506</v>
      </c>
      <c r="D331" s="25">
        <v>45918</v>
      </c>
      <c r="E331" s="26">
        <v>0</v>
      </c>
      <c r="F331" s="26">
        <v>12258.05</v>
      </c>
      <c r="G331" s="26">
        <v>17998.84</v>
      </c>
      <c r="H331" s="26"/>
      <c r="I331" s="26"/>
      <c r="J331" s="26" t="s">
        <v>3</v>
      </c>
      <c r="K331" s="26" t="s">
        <v>49</v>
      </c>
      <c r="L331" s="24">
        <v>0.93</v>
      </c>
      <c r="M331" s="26" t="s">
        <v>46</v>
      </c>
    </row>
    <row r="332" spans="1:13" x14ac:dyDescent="0.3">
      <c r="A332" s="27">
        <v>45918</v>
      </c>
      <c r="B332" s="28" t="s">
        <v>50</v>
      </c>
      <c r="C332" s="28" t="s">
        <v>507</v>
      </c>
      <c r="D332" s="27">
        <v>45918</v>
      </c>
      <c r="E332" s="28">
        <v>66.349999999999994</v>
      </c>
      <c r="F332" s="28">
        <v>0</v>
      </c>
      <c r="G332" s="28">
        <v>17932.490000000002</v>
      </c>
      <c r="H332" s="28"/>
      <c r="I332" s="28"/>
      <c r="J332" s="28" t="s">
        <v>4</v>
      </c>
      <c r="K332" s="28" t="s">
        <v>49</v>
      </c>
      <c r="L332" s="24">
        <v>0.97</v>
      </c>
      <c r="M332" s="28" t="s">
        <v>46</v>
      </c>
    </row>
    <row r="333" spans="1:13" x14ac:dyDescent="0.3">
      <c r="A333" s="27">
        <v>45918</v>
      </c>
      <c r="B333" s="28" t="s">
        <v>50</v>
      </c>
      <c r="C333" s="28" t="s">
        <v>508</v>
      </c>
      <c r="D333" s="27">
        <v>45918</v>
      </c>
      <c r="E333" s="28">
        <v>647.36</v>
      </c>
      <c r="F333" s="28">
        <v>0</v>
      </c>
      <c r="G333" s="28">
        <v>17285.13</v>
      </c>
      <c r="H333" s="28"/>
      <c r="I333" s="28"/>
      <c r="J333" s="28" t="s">
        <v>4</v>
      </c>
      <c r="K333" s="28" t="s">
        <v>49</v>
      </c>
      <c r="L333" s="24">
        <v>0.97</v>
      </c>
      <c r="M333" s="28" t="s">
        <v>46</v>
      </c>
    </row>
    <row r="334" spans="1:13" x14ac:dyDescent="0.3">
      <c r="A334" s="27">
        <v>45919</v>
      </c>
      <c r="B334" s="28" t="s">
        <v>50</v>
      </c>
      <c r="C334" s="28" t="s">
        <v>509</v>
      </c>
      <c r="D334" s="27">
        <v>45919</v>
      </c>
      <c r="E334" s="28">
        <v>77.5</v>
      </c>
      <c r="F334" s="28">
        <v>0</v>
      </c>
      <c r="G334" s="28">
        <v>17207.63</v>
      </c>
      <c r="H334" s="28"/>
      <c r="I334" s="28"/>
      <c r="J334" s="28" t="s">
        <v>4</v>
      </c>
      <c r="K334" s="28" t="s">
        <v>49</v>
      </c>
      <c r="L334" s="24">
        <v>0.97</v>
      </c>
      <c r="M334" s="28" t="s">
        <v>46</v>
      </c>
    </row>
    <row r="335" spans="1:13" x14ac:dyDescent="0.3">
      <c r="A335" s="25">
        <v>45922</v>
      </c>
      <c r="B335" s="26" t="s">
        <v>510</v>
      </c>
      <c r="C335" s="26" t="s">
        <v>511</v>
      </c>
      <c r="D335" s="25">
        <v>45922</v>
      </c>
      <c r="E335" s="26">
        <v>0</v>
      </c>
      <c r="F335" s="26">
        <v>7815</v>
      </c>
      <c r="G335" s="26">
        <v>25022.63</v>
      </c>
      <c r="H335" s="26"/>
      <c r="I335" s="26"/>
      <c r="J335" s="26" t="s">
        <v>3</v>
      </c>
      <c r="K335" s="26" t="s">
        <v>49</v>
      </c>
      <c r="L335" s="24">
        <v>0.93</v>
      </c>
      <c r="M335" s="26" t="s">
        <v>46</v>
      </c>
    </row>
    <row r="336" spans="1:13" x14ac:dyDescent="0.3">
      <c r="A336" s="49">
        <v>45922</v>
      </c>
      <c r="B336" s="50" t="s">
        <v>512</v>
      </c>
      <c r="C336" s="50" t="s">
        <v>513</v>
      </c>
      <c r="D336" s="49">
        <v>45922</v>
      </c>
      <c r="E336" s="50">
        <v>0</v>
      </c>
      <c r="F336" s="50">
        <v>150</v>
      </c>
      <c r="G336" s="50">
        <v>25172.63</v>
      </c>
      <c r="H336" s="50"/>
      <c r="I336" s="50"/>
      <c r="J336" s="50" t="s">
        <v>17</v>
      </c>
      <c r="K336" s="50" t="s">
        <v>17</v>
      </c>
      <c r="L336" s="24">
        <v>0.85</v>
      </c>
      <c r="M336" s="50" t="s">
        <v>46</v>
      </c>
    </row>
    <row r="337" spans="1:13" x14ac:dyDescent="0.3">
      <c r="A337" s="27">
        <v>45922</v>
      </c>
      <c r="B337" s="28" t="s">
        <v>50</v>
      </c>
      <c r="C337" s="28" t="s">
        <v>514</v>
      </c>
      <c r="D337" s="27">
        <v>45922</v>
      </c>
      <c r="E337" s="28">
        <v>232.5</v>
      </c>
      <c r="F337" s="28">
        <v>0</v>
      </c>
      <c r="G337" s="28">
        <v>24940.13</v>
      </c>
      <c r="H337" s="28"/>
      <c r="I337" s="28"/>
      <c r="J337" s="28" t="s">
        <v>4</v>
      </c>
      <c r="K337" s="28" t="s">
        <v>49</v>
      </c>
      <c r="L337" s="24">
        <v>0.97</v>
      </c>
      <c r="M337" s="28" t="s">
        <v>46</v>
      </c>
    </row>
    <row r="338" spans="1:13" x14ac:dyDescent="0.3">
      <c r="A338" s="25">
        <v>45923</v>
      </c>
      <c r="B338" s="26" t="s">
        <v>515</v>
      </c>
      <c r="C338" s="26" t="s">
        <v>516</v>
      </c>
      <c r="D338" s="25">
        <v>45923</v>
      </c>
      <c r="E338" s="26">
        <v>0</v>
      </c>
      <c r="F338" s="26">
        <v>5999.63</v>
      </c>
      <c r="G338" s="26">
        <v>30939.759999999998</v>
      </c>
      <c r="H338" s="26"/>
      <c r="I338" s="26"/>
      <c r="J338" s="26" t="s">
        <v>3</v>
      </c>
      <c r="K338" s="26" t="s">
        <v>49</v>
      </c>
      <c r="L338" s="24">
        <v>0.93</v>
      </c>
      <c r="M338" s="26" t="s">
        <v>46</v>
      </c>
    </row>
    <row r="339" spans="1:13" x14ac:dyDescent="0.3">
      <c r="A339" s="27">
        <v>45923</v>
      </c>
      <c r="B339" s="28" t="s">
        <v>50</v>
      </c>
      <c r="C339" s="28" t="s">
        <v>517</v>
      </c>
      <c r="D339" s="27">
        <v>45923</v>
      </c>
      <c r="E339" s="28">
        <v>74.92</v>
      </c>
      <c r="F339" s="28">
        <v>0</v>
      </c>
      <c r="G339" s="28">
        <v>30864.84</v>
      </c>
      <c r="H339" s="28"/>
      <c r="I339" s="28"/>
      <c r="J339" s="28" t="s">
        <v>4</v>
      </c>
      <c r="K339" s="28" t="s">
        <v>49</v>
      </c>
      <c r="L339" s="24">
        <v>0.97</v>
      </c>
      <c r="M339" s="28" t="s">
        <v>46</v>
      </c>
    </row>
    <row r="340" spans="1:13" x14ac:dyDescent="0.3">
      <c r="A340" s="49">
        <v>45923</v>
      </c>
      <c r="B340" s="50" t="s">
        <v>518</v>
      </c>
      <c r="C340" s="50" t="s">
        <v>519</v>
      </c>
      <c r="D340" s="49">
        <v>45923</v>
      </c>
      <c r="E340" s="50">
        <v>0</v>
      </c>
      <c r="F340" s="50">
        <v>112.5</v>
      </c>
      <c r="G340" s="50">
        <v>30977.34</v>
      </c>
      <c r="H340" s="50"/>
      <c r="I340" s="50"/>
      <c r="J340" s="50" t="s">
        <v>17</v>
      </c>
      <c r="K340" s="50" t="s">
        <v>17</v>
      </c>
      <c r="L340" s="24">
        <v>0.85</v>
      </c>
      <c r="M340" s="50" t="s">
        <v>46</v>
      </c>
    </row>
    <row r="341" spans="1:13" x14ac:dyDescent="0.3">
      <c r="A341" s="27">
        <v>45923</v>
      </c>
      <c r="B341" s="28" t="s">
        <v>50</v>
      </c>
      <c r="C341" s="28" t="s">
        <v>520</v>
      </c>
      <c r="D341" s="27">
        <v>45923</v>
      </c>
      <c r="E341" s="28">
        <v>4903.6499999999996</v>
      </c>
      <c r="F341" s="28">
        <v>0</v>
      </c>
      <c r="G341" s="28">
        <v>26073.69</v>
      </c>
      <c r="H341" s="28"/>
      <c r="I341" s="28"/>
      <c r="J341" s="28" t="s">
        <v>4</v>
      </c>
      <c r="K341" s="28" t="s">
        <v>49</v>
      </c>
      <c r="L341" s="24">
        <v>0.97</v>
      </c>
      <c r="M341" s="28" t="s">
        <v>46</v>
      </c>
    </row>
    <row r="342" spans="1:13" x14ac:dyDescent="0.3">
      <c r="A342" s="27">
        <v>45924</v>
      </c>
      <c r="B342" s="28" t="s">
        <v>50</v>
      </c>
      <c r="C342" s="28" t="s">
        <v>521</v>
      </c>
      <c r="D342" s="27">
        <v>45924</v>
      </c>
      <c r="E342" s="28">
        <v>66.010000000000005</v>
      </c>
      <c r="F342" s="28">
        <v>0</v>
      </c>
      <c r="G342" s="28">
        <v>26007.68</v>
      </c>
      <c r="H342" s="28"/>
      <c r="I342" s="28"/>
      <c r="J342" s="28" t="s">
        <v>4</v>
      </c>
      <c r="K342" s="28" t="s">
        <v>49</v>
      </c>
      <c r="L342" s="24">
        <v>0.97</v>
      </c>
      <c r="M342" s="28" t="s">
        <v>46</v>
      </c>
    </row>
    <row r="343" spans="1:13" x14ac:dyDescent="0.3">
      <c r="A343" s="27">
        <v>45924</v>
      </c>
      <c r="B343" s="28" t="s">
        <v>50</v>
      </c>
      <c r="C343" s="28" t="s">
        <v>522</v>
      </c>
      <c r="D343" s="27">
        <v>45924</v>
      </c>
      <c r="E343" s="28">
        <v>897.38</v>
      </c>
      <c r="F343" s="28">
        <v>0</v>
      </c>
      <c r="G343" s="28">
        <v>25110.3</v>
      </c>
      <c r="H343" s="28"/>
      <c r="I343" s="28"/>
      <c r="J343" s="28" t="s">
        <v>4</v>
      </c>
      <c r="K343" s="28" t="s">
        <v>49</v>
      </c>
      <c r="L343" s="24">
        <v>0.97</v>
      </c>
      <c r="M343" s="28" t="s">
        <v>46</v>
      </c>
    </row>
    <row r="344" spans="1:13" x14ac:dyDescent="0.3">
      <c r="A344" s="27">
        <v>45925</v>
      </c>
      <c r="B344" s="28" t="s">
        <v>50</v>
      </c>
      <c r="C344" s="28" t="s">
        <v>523</v>
      </c>
      <c r="D344" s="27">
        <v>45925</v>
      </c>
      <c r="E344" s="28">
        <v>68.14</v>
      </c>
      <c r="F344" s="28">
        <v>0</v>
      </c>
      <c r="G344" s="28">
        <v>25042.16</v>
      </c>
      <c r="H344" s="28"/>
      <c r="I344" s="28"/>
      <c r="J344" s="28" t="s">
        <v>4</v>
      </c>
      <c r="K344" s="28" t="s">
        <v>49</v>
      </c>
      <c r="L344" s="24">
        <v>0.97</v>
      </c>
      <c r="M344" s="28" t="s">
        <v>46</v>
      </c>
    </row>
    <row r="345" spans="1:13" x14ac:dyDescent="0.3">
      <c r="A345" s="27">
        <v>45925</v>
      </c>
      <c r="B345" s="28" t="s">
        <v>50</v>
      </c>
      <c r="C345" s="28" t="s">
        <v>524</v>
      </c>
      <c r="D345" s="27">
        <v>45925</v>
      </c>
      <c r="E345" s="28">
        <v>2325.06</v>
      </c>
      <c r="F345" s="28">
        <v>0</v>
      </c>
      <c r="G345" s="28">
        <v>22717.1</v>
      </c>
      <c r="H345" s="28"/>
      <c r="I345" s="28"/>
      <c r="J345" s="28" t="s">
        <v>4</v>
      </c>
      <c r="K345" s="28" t="s">
        <v>49</v>
      </c>
      <c r="L345" s="24">
        <v>0.97</v>
      </c>
      <c r="M345" s="28" t="s">
        <v>46</v>
      </c>
    </row>
    <row r="346" spans="1:13" x14ac:dyDescent="0.3">
      <c r="A346" s="25">
        <v>45926</v>
      </c>
      <c r="B346" s="26" t="s">
        <v>525</v>
      </c>
      <c r="C346" s="26" t="s">
        <v>526</v>
      </c>
      <c r="D346" s="25">
        <v>45926</v>
      </c>
      <c r="E346" s="26">
        <v>0</v>
      </c>
      <c r="F346" s="26">
        <v>52800.160000000003</v>
      </c>
      <c r="G346" s="26">
        <v>75517.259999999995</v>
      </c>
      <c r="H346" s="26"/>
      <c r="I346" s="26"/>
      <c r="J346" s="26" t="s">
        <v>3</v>
      </c>
      <c r="K346" s="26" t="s">
        <v>49</v>
      </c>
      <c r="L346" s="24">
        <v>0.93</v>
      </c>
      <c r="M346" s="26" t="s">
        <v>46</v>
      </c>
    </row>
    <row r="347" spans="1:13" x14ac:dyDescent="0.3">
      <c r="A347" s="27">
        <v>45926</v>
      </c>
      <c r="B347" s="28" t="s">
        <v>50</v>
      </c>
      <c r="C347" s="28" t="s">
        <v>527</v>
      </c>
      <c r="D347" s="27">
        <v>45926</v>
      </c>
      <c r="E347" s="28">
        <v>67.31</v>
      </c>
      <c r="F347" s="28">
        <v>0</v>
      </c>
      <c r="G347" s="28">
        <v>75449.95</v>
      </c>
      <c r="H347" s="28"/>
      <c r="I347" s="28"/>
      <c r="J347" s="28" t="s">
        <v>4</v>
      </c>
      <c r="K347" s="28" t="s">
        <v>49</v>
      </c>
      <c r="L347" s="24">
        <v>0.97</v>
      </c>
      <c r="M347" s="28" t="s">
        <v>46</v>
      </c>
    </row>
    <row r="348" spans="1:13" x14ac:dyDescent="0.3">
      <c r="A348" s="27">
        <v>45926</v>
      </c>
      <c r="B348" s="28" t="s">
        <v>50</v>
      </c>
      <c r="C348" s="28" t="s">
        <v>528</v>
      </c>
      <c r="D348" s="27">
        <v>45926</v>
      </c>
      <c r="E348" s="28">
        <v>15304.83</v>
      </c>
      <c r="F348" s="28">
        <v>0</v>
      </c>
      <c r="G348" s="28">
        <v>60145.120000000003</v>
      </c>
      <c r="H348" s="28"/>
      <c r="I348" s="28"/>
      <c r="J348" s="28" t="s">
        <v>4</v>
      </c>
      <c r="K348" s="28" t="s">
        <v>49</v>
      </c>
      <c r="L348" s="24">
        <v>0.97</v>
      </c>
      <c r="M348" s="28" t="s">
        <v>46</v>
      </c>
    </row>
    <row r="349" spans="1:13" x14ac:dyDescent="0.3">
      <c r="A349" s="25">
        <v>45929</v>
      </c>
      <c r="B349" s="26" t="s">
        <v>529</v>
      </c>
      <c r="C349" s="26" t="s">
        <v>530</v>
      </c>
      <c r="D349" s="25">
        <v>45929</v>
      </c>
      <c r="E349" s="26">
        <v>0</v>
      </c>
      <c r="F349" s="26">
        <v>92107.53</v>
      </c>
      <c r="G349" s="26">
        <v>152252.65</v>
      </c>
      <c r="H349" s="26"/>
      <c r="I349" s="26"/>
      <c r="J349" s="26" t="s">
        <v>3</v>
      </c>
      <c r="K349" s="26" t="s">
        <v>49</v>
      </c>
      <c r="L349" s="24">
        <v>0.93</v>
      </c>
      <c r="M349" s="26" t="s">
        <v>46</v>
      </c>
    </row>
    <row r="350" spans="1:13" x14ac:dyDescent="0.3">
      <c r="A350" s="51">
        <v>45929</v>
      </c>
      <c r="B350" s="52" t="s">
        <v>531</v>
      </c>
      <c r="C350" s="52" t="s">
        <v>532</v>
      </c>
      <c r="D350" s="51">
        <v>45929</v>
      </c>
      <c r="E350" s="52">
        <v>25000</v>
      </c>
      <c r="F350" s="52">
        <v>0</v>
      </c>
      <c r="G350" s="52">
        <v>127252.65</v>
      </c>
      <c r="H350" s="52"/>
      <c r="I350" s="52"/>
      <c r="J350" s="52" t="s">
        <v>18</v>
      </c>
      <c r="K350" s="52" t="s">
        <v>181</v>
      </c>
      <c r="L350" s="24">
        <v>0.85</v>
      </c>
      <c r="M350" s="52" t="s">
        <v>46</v>
      </c>
    </row>
    <row r="351" spans="1:13" x14ac:dyDescent="0.3">
      <c r="A351" s="22">
        <v>45929</v>
      </c>
      <c r="B351" s="23" t="s">
        <v>533</v>
      </c>
      <c r="C351" s="23" t="s">
        <v>534</v>
      </c>
      <c r="D351" s="22">
        <v>45929</v>
      </c>
      <c r="E351" s="23">
        <v>5000</v>
      </c>
      <c r="F351" s="23">
        <v>0</v>
      </c>
      <c r="G351" s="23">
        <v>122252.65</v>
      </c>
      <c r="H351" s="23"/>
      <c r="I351" s="23"/>
      <c r="J351" s="23" t="s">
        <v>2</v>
      </c>
      <c r="K351" s="23" t="s">
        <v>2</v>
      </c>
      <c r="L351" s="24">
        <v>0.95</v>
      </c>
      <c r="M351" s="23" t="s">
        <v>46</v>
      </c>
    </row>
    <row r="352" spans="1:13" x14ac:dyDescent="0.3">
      <c r="A352" s="27">
        <v>45929</v>
      </c>
      <c r="B352" s="28" t="s">
        <v>50</v>
      </c>
      <c r="C352" s="28" t="s">
        <v>535</v>
      </c>
      <c r="D352" s="27">
        <v>45929</v>
      </c>
      <c r="E352" s="28">
        <v>185.58</v>
      </c>
      <c r="F352" s="28">
        <v>0</v>
      </c>
      <c r="G352" s="28">
        <v>122067.07</v>
      </c>
      <c r="H352" s="28"/>
      <c r="I352" s="28"/>
      <c r="J352" s="28" t="s">
        <v>4</v>
      </c>
      <c r="K352" s="28" t="s">
        <v>49</v>
      </c>
      <c r="L352" s="24">
        <v>0.97</v>
      </c>
      <c r="M352" s="28" t="s">
        <v>46</v>
      </c>
    </row>
    <row r="353" spans="1:13" x14ac:dyDescent="0.3">
      <c r="A353" s="27">
        <v>45929</v>
      </c>
      <c r="B353" s="28" t="s">
        <v>50</v>
      </c>
      <c r="C353" s="28" t="s">
        <v>536</v>
      </c>
      <c r="D353" s="27">
        <v>45929</v>
      </c>
      <c r="E353" s="28">
        <v>28087.66</v>
      </c>
      <c r="F353" s="28">
        <v>0</v>
      </c>
      <c r="G353" s="28">
        <v>93979.41</v>
      </c>
      <c r="H353" s="28"/>
      <c r="I353" s="28"/>
      <c r="J353" s="28" t="s">
        <v>4</v>
      </c>
      <c r="K353" s="28" t="s">
        <v>49</v>
      </c>
      <c r="L353" s="24">
        <v>0.97</v>
      </c>
      <c r="M353" s="28" t="s">
        <v>46</v>
      </c>
    </row>
    <row r="354" spans="1:13" x14ac:dyDescent="0.3">
      <c r="A354" s="27">
        <v>45929</v>
      </c>
      <c r="B354" s="28" t="s">
        <v>50</v>
      </c>
      <c r="C354" s="28" t="s">
        <v>537</v>
      </c>
      <c r="D354" s="27">
        <v>45929</v>
      </c>
      <c r="E354" s="28">
        <v>8404.8700000000008</v>
      </c>
      <c r="F354" s="28">
        <v>0</v>
      </c>
      <c r="G354" s="28">
        <v>85574.54</v>
      </c>
      <c r="H354" s="28"/>
      <c r="I354" s="28"/>
      <c r="J354" s="28" t="s">
        <v>4</v>
      </c>
      <c r="K354" s="28" t="s">
        <v>49</v>
      </c>
      <c r="L354" s="24">
        <v>0.97</v>
      </c>
      <c r="M354" s="28" t="s">
        <v>46</v>
      </c>
    </row>
    <row r="355" spans="1:13" x14ac:dyDescent="0.3">
      <c r="A355" s="22">
        <v>45930</v>
      </c>
      <c r="B355" s="23" t="s">
        <v>538</v>
      </c>
      <c r="C355" s="23" t="s">
        <v>539</v>
      </c>
      <c r="D355" s="22">
        <v>45930</v>
      </c>
      <c r="E355" s="23">
        <v>5000</v>
      </c>
      <c r="F355" s="23">
        <v>0</v>
      </c>
      <c r="G355" s="23">
        <v>80574.539999999994</v>
      </c>
      <c r="H355" s="23"/>
      <c r="I355" s="23"/>
      <c r="J355" s="23" t="s">
        <v>2</v>
      </c>
      <c r="K355" s="23" t="s">
        <v>2</v>
      </c>
      <c r="L355" s="24">
        <v>0.95</v>
      </c>
      <c r="M355" s="23" t="s">
        <v>46</v>
      </c>
    </row>
    <row r="356" spans="1:13" x14ac:dyDescent="0.3">
      <c r="A356" s="27">
        <v>45930</v>
      </c>
      <c r="B356" s="28" t="s">
        <v>50</v>
      </c>
      <c r="C356" s="28" t="s">
        <v>540</v>
      </c>
      <c r="D356" s="27">
        <v>45930</v>
      </c>
      <c r="E356" s="28">
        <v>61.37</v>
      </c>
      <c r="F356" s="28">
        <v>0</v>
      </c>
      <c r="G356" s="28">
        <v>80513.17</v>
      </c>
      <c r="H356" s="28"/>
      <c r="I356" s="28"/>
      <c r="J356" s="28" t="s">
        <v>4</v>
      </c>
      <c r="K356" s="28" t="s">
        <v>49</v>
      </c>
      <c r="L356" s="24">
        <v>0.97</v>
      </c>
      <c r="M356" s="28" t="s">
        <v>46</v>
      </c>
    </row>
    <row r="357" spans="1:13" x14ac:dyDescent="0.3">
      <c r="A357" s="27">
        <v>45930</v>
      </c>
      <c r="B357" s="28" t="s">
        <v>50</v>
      </c>
      <c r="C357" s="28" t="s">
        <v>541</v>
      </c>
      <c r="D357" s="27">
        <v>45930</v>
      </c>
      <c r="E357" s="28">
        <v>37698.99</v>
      </c>
      <c r="F357" s="28">
        <v>0</v>
      </c>
      <c r="G357" s="28">
        <v>42814.18</v>
      </c>
      <c r="H357" s="28"/>
      <c r="I357" s="28"/>
      <c r="J357" s="28" t="s">
        <v>4</v>
      </c>
      <c r="K357" s="28" t="s">
        <v>49</v>
      </c>
      <c r="L357" s="24">
        <v>0.97</v>
      </c>
      <c r="M357" s="28" t="s">
        <v>46</v>
      </c>
    </row>
    <row r="358" spans="1:13" x14ac:dyDescent="0.3">
      <c r="A358" s="27">
        <v>45930</v>
      </c>
      <c r="B358" s="28" t="s">
        <v>50</v>
      </c>
      <c r="C358" s="28" t="s">
        <v>542</v>
      </c>
      <c r="D358" s="27">
        <v>45930</v>
      </c>
      <c r="E358" s="28">
        <v>574.41</v>
      </c>
      <c r="F358" s="28">
        <v>0</v>
      </c>
      <c r="G358" s="28">
        <v>42239.77</v>
      </c>
      <c r="H358" s="28"/>
      <c r="I358" s="28"/>
      <c r="J358" s="28" t="s">
        <v>4</v>
      </c>
      <c r="K358" s="28" t="s">
        <v>49</v>
      </c>
      <c r="L358" s="24">
        <v>0.97</v>
      </c>
      <c r="M358" s="28" t="s">
        <v>46</v>
      </c>
    </row>
    <row r="359" spans="1:13" x14ac:dyDescent="0.3">
      <c r="A359" s="55">
        <v>45931</v>
      </c>
      <c r="B359" s="56" t="s">
        <v>543</v>
      </c>
      <c r="C359" s="56" t="s">
        <v>83</v>
      </c>
      <c r="D359" s="55">
        <v>45930</v>
      </c>
      <c r="E359" s="56">
        <v>0</v>
      </c>
      <c r="F359" s="56">
        <v>208</v>
      </c>
      <c r="G359" s="56">
        <v>42447.77</v>
      </c>
      <c r="H359" s="56"/>
      <c r="I359" s="56"/>
      <c r="J359" s="56" t="s">
        <v>22</v>
      </c>
      <c r="K359" s="56" t="s">
        <v>22</v>
      </c>
      <c r="L359" s="24">
        <v>0.95</v>
      </c>
      <c r="M359" s="56" t="s">
        <v>46</v>
      </c>
    </row>
    <row r="360" spans="1:13" x14ac:dyDescent="0.3">
      <c r="A360" s="27">
        <v>45931</v>
      </c>
      <c r="B360" s="28" t="s">
        <v>50</v>
      </c>
      <c r="C360" s="28" t="s">
        <v>544</v>
      </c>
      <c r="D360" s="27">
        <v>45931</v>
      </c>
      <c r="E360" s="28">
        <v>65.52</v>
      </c>
      <c r="F360" s="28">
        <v>0</v>
      </c>
      <c r="G360" s="28">
        <v>42382.25</v>
      </c>
      <c r="H360" s="28"/>
      <c r="I360" s="28"/>
      <c r="J360" s="28" t="s">
        <v>4</v>
      </c>
      <c r="K360" s="28" t="s">
        <v>49</v>
      </c>
      <c r="L360" s="24">
        <v>0.97</v>
      </c>
      <c r="M360" s="28" t="s">
        <v>46</v>
      </c>
    </row>
    <row r="361" spans="1:13" x14ac:dyDescent="0.3">
      <c r="A361" s="49">
        <v>45931</v>
      </c>
      <c r="B361" s="50" t="s">
        <v>545</v>
      </c>
      <c r="C361" s="50" t="s">
        <v>546</v>
      </c>
      <c r="D361" s="49">
        <v>45931</v>
      </c>
      <c r="E361" s="50">
        <v>0</v>
      </c>
      <c r="F361" s="50">
        <v>25</v>
      </c>
      <c r="G361" s="50">
        <v>42407.25</v>
      </c>
      <c r="H361" s="50"/>
      <c r="I361" s="50"/>
      <c r="J361" s="50" t="s">
        <v>17</v>
      </c>
      <c r="K361" s="50" t="s">
        <v>17</v>
      </c>
      <c r="L361" s="24">
        <v>0.88</v>
      </c>
      <c r="M361" s="50" t="s">
        <v>46</v>
      </c>
    </row>
    <row r="362" spans="1:13" x14ac:dyDescent="0.3">
      <c r="A362" s="25">
        <v>45933</v>
      </c>
      <c r="B362" s="26" t="s">
        <v>547</v>
      </c>
      <c r="C362" s="26" t="s">
        <v>548</v>
      </c>
      <c r="D362" s="25">
        <v>45933</v>
      </c>
      <c r="E362" s="26">
        <v>0</v>
      </c>
      <c r="F362" s="26">
        <v>2341.13</v>
      </c>
      <c r="G362" s="26">
        <v>44748.38</v>
      </c>
      <c r="H362" s="26"/>
      <c r="I362" s="26"/>
      <c r="J362" s="26" t="s">
        <v>3</v>
      </c>
      <c r="K362" s="26" t="s">
        <v>49</v>
      </c>
      <c r="L362" s="24">
        <v>0.93</v>
      </c>
      <c r="M362" s="26" t="s">
        <v>46</v>
      </c>
    </row>
    <row r="363" spans="1:13" x14ac:dyDescent="0.3">
      <c r="A363" s="47">
        <v>45933</v>
      </c>
      <c r="B363" s="48" t="s">
        <v>549</v>
      </c>
      <c r="C363" s="48" t="s">
        <v>550</v>
      </c>
      <c r="D363" s="47">
        <v>45933</v>
      </c>
      <c r="E363" s="48">
        <v>20000</v>
      </c>
      <c r="F363" s="48">
        <v>0</v>
      </c>
      <c r="G363" s="48">
        <v>24748.38</v>
      </c>
      <c r="H363" s="48"/>
      <c r="I363" s="48"/>
      <c r="J363" s="48" t="s">
        <v>24</v>
      </c>
      <c r="K363" s="48" t="s">
        <v>157</v>
      </c>
      <c r="L363" s="24">
        <v>0.88</v>
      </c>
      <c r="M363" s="48" t="s">
        <v>46</v>
      </c>
    </row>
    <row r="364" spans="1:13" x14ac:dyDescent="0.3">
      <c r="A364" s="27">
        <v>45933</v>
      </c>
      <c r="B364" s="28" t="s">
        <v>50</v>
      </c>
      <c r="C364" s="28" t="s">
        <v>551</v>
      </c>
      <c r="D364" s="27">
        <v>45933</v>
      </c>
      <c r="E364" s="28">
        <v>157.9</v>
      </c>
      <c r="F364" s="28">
        <v>0</v>
      </c>
      <c r="G364" s="28">
        <v>24590.48</v>
      </c>
      <c r="H364" s="28"/>
      <c r="I364" s="28"/>
      <c r="J364" s="28" t="s">
        <v>4</v>
      </c>
      <c r="K364" s="28" t="s">
        <v>49</v>
      </c>
      <c r="L364" s="24">
        <v>0.97</v>
      </c>
      <c r="M364" s="28" t="s">
        <v>46</v>
      </c>
    </row>
    <row r="365" spans="1:13" x14ac:dyDescent="0.3">
      <c r="A365" s="29">
        <v>45933</v>
      </c>
      <c r="B365" s="30" t="s">
        <v>59</v>
      </c>
      <c r="C365" s="30" t="s">
        <v>552</v>
      </c>
      <c r="D365" s="29">
        <v>45933</v>
      </c>
      <c r="E365" s="30">
        <v>0</v>
      </c>
      <c r="F365" s="30">
        <v>6563.08</v>
      </c>
      <c r="G365" s="30">
        <v>31153.56</v>
      </c>
      <c r="H365" s="30"/>
      <c r="I365" s="30"/>
      <c r="J365" s="30" t="s">
        <v>5</v>
      </c>
      <c r="K365" s="30" t="s">
        <v>49</v>
      </c>
      <c r="L365" s="24">
        <v>0.97</v>
      </c>
      <c r="M365" s="30" t="s">
        <v>46</v>
      </c>
    </row>
    <row r="366" spans="1:13" x14ac:dyDescent="0.3">
      <c r="A366" s="27">
        <v>45936</v>
      </c>
      <c r="B366" s="28" t="s">
        <v>50</v>
      </c>
      <c r="C366" s="28" t="s">
        <v>553</v>
      </c>
      <c r="D366" s="27">
        <v>45936</v>
      </c>
      <c r="E366" s="28">
        <v>246.36</v>
      </c>
      <c r="F366" s="28">
        <v>0</v>
      </c>
      <c r="G366" s="28">
        <v>30907.200000000001</v>
      </c>
      <c r="H366" s="28"/>
      <c r="I366" s="28"/>
      <c r="J366" s="28" t="s">
        <v>4</v>
      </c>
      <c r="K366" s="28" t="s">
        <v>49</v>
      </c>
      <c r="L366" s="24">
        <v>0.97</v>
      </c>
      <c r="M366" s="28" t="s">
        <v>46</v>
      </c>
    </row>
    <row r="367" spans="1:13" x14ac:dyDescent="0.3">
      <c r="A367" s="25">
        <v>45937</v>
      </c>
      <c r="B367" s="26" t="s">
        <v>554</v>
      </c>
      <c r="C367" s="26" t="s">
        <v>555</v>
      </c>
      <c r="D367" s="25">
        <v>45937</v>
      </c>
      <c r="E367" s="26">
        <v>0</v>
      </c>
      <c r="F367" s="26">
        <v>78820.179999999993</v>
      </c>
      <c r="G367" s="26">
        <v>109727.38</v>
      </c>
      <c r="H367" s="26"/>
      <c r="I367" s="26"/>
      <c r="J367" s="26" t="s">
        <v>3</v>
      </c>
      <c r="K367" s="26" t="s">
        <v>49</v>
      </c>
      <c r="L367" s="24">
        <v>0.93</v>
      </c>
      <c r="M367" s="26" t="s">
        <v>46</v>
      </c>
    </row>
    <row r="368" spans="1:13" x14ac:dyDescent="0.3">
      <c r="A368" s="25">
        <v>45937</v>
      </c>
      <c r="B368" s="26" t="s">
        <v>556</v>
      </c>
      <c r="C368" s="26" t="s">
        <v>557</v>
      </c>
      <c r="D368" s="25">
        <v>45937</v>
      </c>
      <c r="E368" s="26">
        <v>0</v>
      </c>
      <c r="F368" s="26">
        <v>8511.14</v>
      </c>
      <c r="G368" s="26">
        <v>118238.52</v>
      </c>
      <c r="H368" s="26"/>
      <c r="I368" s="26"/>
      <c r="J368" s="26" t="s">
        <v>3</v>
      </c>
      <c r="K368" s="26" t="s">
        <v>49</v>
      </c>
      <c r="L368" s="24">
        <v>0.93</v>
      </c>
      <c r="M368" s="26" t="s">
        <v>46</v>
      </c>
    </row>
    <row r="369" spans="1:13" x14ac:dyDescent="0.3">
      <c r="A369" s="31">
        <v>45937</v>
      </c>
      <c r="B369" s="32" t="s">
        <v>558</v>
      </c>
      <c r="C369" s="32" t="s">
        <v>559</v>
      </c>
      <c r="D369" s="31">
        <v>45937</v>
      </c>
      <c r="E369" s="32">
        <v>0</v>
      </c>
      <c r="F369" s="32">
        <v>1880</v>
      </c>
      <c r="G369" s="32">
        <v>120118.52</v>
      </c>
      <c r="H369" s="32"/>
      <c r="I369" s="32"/>
      <c r="J369" s="32" t="s">
        <v>6</v>
      </c>
      <c r="K369" s="32" t="s">
        <v>63</v>
      </c>
      <c r="L369" s="24">
        <v>0.95</v>
      </c>
      <c r="M369" s="32" t="s">
        <v>46</v>
      </c>
    </row>
    <row r="370" spans="1:13" x14ac:dyDescent="0.3">
      <c r="A370" s="47">
        <v>45937</v>
      </c>
      <c r="B370" s="48" t="s">
        <v>560</v>
      </c>
      <c r="C370" s="48" t="s">
        <v>561</v>
      </c>
      <c r="D370" s="47">
        <v>45937</v>
      </c>
      <c r="E370" s="48">
        <v>100000</v>
      </c>
      <c r="F370" s="48">
        <v>0</v>
      </c>
      <c r="G370" s="48">
        <v>20118.52</v>
      </c>
      <c r="H370" s="48"/>
      <c r="I370" s="48"/>
      <c r="J370" s="48" t="s">
        <v>24</v>
      </c>
      <c r="K370" s="48" t="s">
        <v>157</v>
      </c>
      <c r="L370" s="24">
        <v>0.88</v>
      </c>
      <c r="M370" s="48" t="s">
        <v>46</v>
      </c>
    </row>
    <row r="371" spans="1:13" x14ac:dyDescent="0.3">
      <c r="A371" s="27">
        <v>45937</v>
      </c>
      <c r="B371" s="28" t="s">
        <v>50</v>
      </c>
      <c r="C371" s="28" t="s">
        <v>562</v>
      </c>
      <c r="D371" s="27">
        <v>45937</v>
      </c>
      <c r="E371" s="28">
        <v>87</v>
      </c>
      <c r="F371" s="28">
        <v>0</v>
      </c>
      <c r="G371" s="28">
        <v>20031.52</v>
      </c>
      <c r="H371" s="28"/>
      <c r="I371" s="28"/>
      <c r="J371" s="28" t="s">
        <v>4</v>
      </c>
      <c r="K371" s="28" t="s">
        <v>49</v>
      </c>
      <c r="L371" s="24">
        <v>0.97</v>
      </c>
      <c r="M371" s="28" t="s">
        <v>46</v>
      </c>
    </row>
    <row r="372" spans="1:13" x14ac:dyDescent="0.3">
      <c r="A372" s="27">
        <v>45937</v>
      </c>
      <c r="B372" s="28" t="s">
        <v>50</v>
      </c>
      <c r="C372" s="28" t="s">
        <v>563</v>
      </c>
      <c r="D372" s="27">
        <v>45937</v>
      </c>
      <c r="E372" s="28">
        <v>7631.26</v>
      </c>
      <c r="F372" s="28">
        <v>0</v>
      </c>
      <c r="G372" s="28">
        <v>12400.26</v>
      </c>
      <c r="H372" s="28"/>
      <c r="I372" s="28"/>
      <c r="J372" s="28" t="s">
        <v>4</v>
      </c>
      <c r="K372" s="28" t="s">
        <v>49</v>
      </c>
      <c r="L372" s="24">
        <v>0.97</v>
      </c>
      <c r="M372" s="28" t="s">
        <v>46</v>
      </c>
    </row>
    <row r="373" spans="1:13" x14ac:dyDescent="0.3">
      <c r="A373" s="27">
        <v>45938</v>
      </c>
      <c r="B373" s="28" t="s">
        <v>50</v>
      </c>
      <c r="C373" s="28" t="s">
        <v>564</v>
      </c>
      <c r="D373" s="27">
        <v>45938</v>
      </c>
      <c r="E373" s="28">
        <v>79.569999999999993</v>
      </c>
      <c r="F373" s="28">
        <v>0</v>
      </c>
      <c r="G373" s="28">
        <v>12320.69</v>
      </c>
      <c r="H373" s="28"/>
      <c r="I373" s="28"/>
      <c r="J373" s="28" t="s">
        <v>4</v>
      </c>
      <c r="K373" s="28" t="s">
        <v>49</v>
      </c>
      <c r="L373" s="24">
        <v>0.97</v>
      </c>
      <c r="M373" s="28" t="s">
        <v>46</v>
      </c>
    </row>
    <row r="374" spans="1:13" x14ac:dyDescent="0.3">
      <c r="A374" s="25">
        <v>45939</v>
      </c>
      <c r="B374" s="26" t="s">
        <v>565</v>
      </c>
      <c r="C374" s="26" t="s">
        <v>566</v>
      </c>
      <c r="D374" s="25">
        <v>45939</v>
      </c>
      <c r="E374" s="26">
        <v>0</v>
      </c>
      <c r="F374" s="26">
        <v>2401.5700000000002</v>
      </c>
      <c r="G374" s="26">
        <v>14722.26</v>
      </c>
      <c r="H374" s="26"/>
      <c r="I374" s="26"/>
      <c r="J374" s="26" t="s">
        <v>3</v>
      </c>
      <c r="K374" s="26" t="s">
        <v>49</v>
      </c>
      <c r="L374" s="24">
        <v>0.93</v>
      </c>
      <c r="M374" s="26" t="s">
        <v>46</v>
      </c>
    </row>
    <row r="375" spans="1:13" x14ac:dyDescent="0.3">
      <c r="A375" s="27">
        <v>45939</v>
      </c>
      <c r="B375" s="28" t="s">
        <v>50</v>
      </c>
      <c r="C375" s="28" t="s">
        <v>567</v>
      </c>
      <c r="D375" s="27">
        <v>45939</v>
      </c>
      <c r="E375" s="28">
        <v>79.569999999999993</v>
      </c>
      <c r="F375" s="28">
        <v>0</v>
      </c>
      <c r="G375" s="28">
        <v>14642.69</v>
      </c>
      <c r="H375" s="28"/>
      <c r="I375" s="28"/>
      <c r="J375" s="28" t="s">
        <v>4</v>
      </c>
      <c r="K375" s="28" t="s">
        <v>49</v>
      </c>
      <c r="L375" s="24">
        <v>0.97</v>
      </c>
      <c r="M375" s="28" t="s">
        <v>46</v>
      </c>
    </row>
    <row r="376" spans="1:13" x14ac:dyDescent="0.3">
      <c r="A376" s="25">
        <v>45940</v>
      </c>
      <c r="B376" s="26" t="s">
        <v>568</v>
      </c>
      <c r="C376" s="26" t="s">
        <v>569</v>
      </c>
      <c r="D376" s="25">
        <v>45940</v>
      </c>
      <c r="E376" s="26">
        <v>0</v>
      </c>
      <c r="F376" s="26">
        <v>1102.5</v>
      </c>
      <c r="G376" s="26">
        <v>15745.19</v>
      </c>
      <c r="H376" s="26"/>
      <c r="I376" s="26"/>
      <c r="J376" s="26" t="s">
        <v>3</v>
      </c>
      <c r="K376" s="26" t="s">
        <v>49</v>
      </c>
      <c r="L376" s="24">
        <v>0.93</v>
      </c>
      <c r="M376" s="26" t="s">
        <v>46</v>
      </c>
    </row>
    <row r="377" spans="1:13" x14ac:dyDescent="0.3">
      <c r="A377" s="25">
        <v>45940</v>
      </c>
      <c r="B377" s="26" t="s">
        <v>570</v>
      </c>
      <c r="C377" s="26" t="s">
        <v>571</v>
      </c>
      <c r="D377" s="25">
        <v>45940</v>
      </c>
      <c r="E377" s="26">
        <v>0</v>
      </c>
      <c r="F377" s="26">
        <v>18547.34</v>
      </c>
      <c r="G377" s="26">
        <v>34292.53</v>
      </c>
      <c r="H377" s="26"/>
      <c r="I377" s="26"/>
      <c r="J377" s="26" t="s">
        <v>3</v>
      </c>
      <c r="K377" s="26" t="s">
        <v>49</v>
      </c>
      <c r="L377" s="24">
        <v>0.93</v>
      </c>
      <c r="M377" s="26" t="s">
        <v>46</v>
      </c>
    </row>
    <row r="378" spans="1:13" x14ac:dyDescent="0.3">
      <c r="A378" s="27">
        <v>45940</v>
      </c>
      <c r="B378" s="28" t="s">
        <v>50</v>
      </c>
      <c r="C378" s="28" t="s">
        <v>572</v>
      </c>
      <c r="D378" s="27">
        <v>45940</v>
      </c>
      <c r="E378" s="28">
        <v>80.42</v>
      </c>
      <c r="F378" s="28">
        <v>0</v>
      </c>
      <c r="G378" s="28">
        <v>34212.11</v>
      </c>
      <c r="H378" s="28"/>
      <c r="I378" s="28"/>
      <c r="J378" s="28" t="s">
        <v>4</v>
      </c>
      <c r="K378" s="28" t="s">
        <v>49</v>
      </c>
      <c r="L378" s="24">
        <v>0.97</v>
      </c>
      <c r="M378" s="28" t="s">
        <v>46</v>
      </c>
    </row>
    <row r="379" spans="1:13" x14ac:dyDescent="0.3">
      <c r="A379" s="25">
        <v>45943</v>
      </c>
      <c r="B379" s="26" t="s">
        <v>573</v>
      </c>
      <c r="C379" s="26" t="s">
        <v>574</v>
      </c>
      <c r="D379" s="25">
        <v>45943</v>
      </c>
      <c r="E379" s="26">
        <v>0</v>
      </c>
      <c r="F379" s="26">
        <v>1577.21</v>
      </c>
      <c r="G379" s="26">
        <v>35789.32</v>
      </c>
      <c r="H379" s="26"/>
      <c r="I379" s="26"/>
      <c r="J379" s="26" t="s">
        <v>3</v>
      </c>
      <c r="K379" s="26" t="s">
        <v>49</v>
      </c>
      <c r="L379" s="24">
        <v>0.93</v>
      </c>
      <c r="M379" s="26" t="s">
        <v>46</v>
      </c>
    </row>
    <row r="380" spans="1:13" x14ac:dyDescent="0.3">
      <c r="A380" s="27">
        <v>45943</v>
      </c>
      <c r="B380" s="28" t="s">
        <v>50</v>
      </c>
      <c r="C380" s="28" t="s">
        <v>575</v>
      </c>
      <c r="D380" s="27">
        <v>45943</v>
      </c>
      <c r="E380" s="28">
        <v>242.43</v>
      </c>
      <c r="F380" s="28">
        <v>0</v>
      </c>
      <c r="G380" s="28">
        <v>35546.89</v>
      </c>
      <c r="H380" s="28"/>
      <c r="I380" s="28"/>
      <c r="J380" s="28" t="s">
        <v>4</v>
      </c>
      <c r="K380" s="28" t="s">
        <v>49</v>
      </c>
      <c r="L380" s="24">
        <v>0.97</v>
      </c>
      <c r="M380" s="28" t="s">
        <v>46</v>
      </c>
    </row>
    <row r="381" spans="1:13" x14ac:dyDescent="0.3">
      <c r="A381" s="27">
        <v>45943</v>
      </c>
      <c r="B381" s="28" t="s">
        <v>50</v>
      </c>
      <c r="C381" s="28" t="s">
        <v>576</v>
      </c>
      <c r="D381" s="27">
        <v>45943</v>
      </c>
      <c r="E381" s="28">
        <v>410.51</v>
      </c>
      <c r="F381" s="28">
        <v>0</v>
      </c>
      <c r="G381" s="28">
        <v>35136.379999999997</v>
      </c>
      <c r="H381" s="28"/>
      <c r="I381" s="28"/>
      <c r="J381" s="28" t="s">
        <v>4</v>
      </c>
      <c r="K381" s="28" t="s">
        <v>49</v>
      </c>
      <c r="L381" s="24">
        <v>0.97</v>
      </c>
      <c r="M381" s="28" t="s">
        <v>46</v>
      </c>
    </row>
    <row r="382" spans="1:13" x14ac:dyDescent="0.3">
      <c r="A382" s="27">
        <v>45944</v>
      </c>
      <c r="B382" s="28" t="s">
        <v>50</v>
      </c>
      <c r="C382" s="28" t="s">
        <v>577</v>
      </c>
      <c r="D382" s="27">
        <v>45944</v>
      </c>
      <c r="E382" s="28">
        <v>81.23</v>
      </c>
      <c r="F382" s="28">
        <v>0</v>
      </c>
      <c r="G382" s="28">
        <v>35055.15</v>
      </c>
      <c r="H382" s="28"/>
      <c r="I382" s="28"/>
      <c r="J382" s="28" t="s">
        <v>4</v>
      </c>
      <c r="K382" s="28" t="s">
        <v>49</v>
      </c>
      <c r="L382" s="24">
        <v>0.97</v>
      </c>
      <c r="M382" s="28" t="s">
        <v>46</v>
      </c>
    </row>
    <row r="383" spans="1:13" x14ac:dyDescent="0.3">
      <c r="A383" s="27">
        <v>45944</v>
      </c>
      <c r="B383" s="28" t="s">
        <v>50</v>
      </c>
      <c r="C383" s="28" t="s">
        <v>578</v>
      </c>
      <c r="D383" s="27">
        <v>45944</v>
      </c>
      <c r="E383" s="28">
        <v>983.08</v>
      </c>
      <c r="F383" s="28">
        <v>0</v>
      </c>
      <c r="G383" s="28">
        <v>34072.07</v>
      </c>
      <c r="H383" s="28"/>
      <c r="I383" s="28"/>
      <c r="J383" s="28" t="s">
        <v>4</v>
      </c>
      <c r="K383" s="28" t="s">
        <v>49</v>
      </c>
      <c r="L383" s="24">
        <v>0.97</v>
      </c>
      <c r="M383" s="28" t="s">
        <v>46</v>
      </c>
    </row>
    <row r="384" spans="1:13" x14ac:dyDescent="0.3">
      <c r="A384" s="25">
        <v>45945</v>
      </c>
      <c r="B384" s="26" t="s">
        <v>579</v>
      </c>
      <c r="C384" s="26" t="s">
        <v>580</v>
      </c>
      <c r="D384" s="25">
        <v>45945</v>
      </c>
      <c r="E384" s="26">
        <v>0</v>
      </c>
      <c r="F384" s="26">
        <v>37380.81</v>
      </c>
      <c r="G384" s="26">
        <v>71452.88</v>
      </c>
      <c r="H384" s="26"/>
      <c r="I384" s="26"/>
      <c r="J384" s="26" t="s">
        <v>3</v>
      </c>
      <c r="K384" s="26" t="s">
        <v>49</v>
      </c>
      <c r="L384" s="24">
        <v>0.93</v>
      </c>
      <c r="M384" s="26" t="s">
        <v>46</v>
      </c>
    </row>
    <row r="385" spans="1:13" x14ac:dyDescent="0.3">
      <c r="A385" s="49">
        <v>45945</v>
      </c>
      <c r="B385" s="50" t="s">
        <v>581</v>
      </c>
      <c r="C385" s="50" t="s">
        <v>582</v>
      </c>
      <c r="D385" s="49">
        <v>45945</v>
      </c>
      <c r="E385" s="50">
        <v>0</v>
      </c>
      <c r="F385" s="50">
        <v>265</v>
      </c>
      <c r="G385" s="50">
        <v>71717.88</v>
      </c>
      <c r="H385" s="50"/>
      <c r="I385" s="50"/>
      <c r="J385" s="50" t="s">
        <v>17</v>
      </c>
      <c r="K385" s="50" t="s">
        <v>17</v>
      </c>
      <c r="L385" s="24">
        <v>0.88</v>
      </c>
      <c r="M385" s="50" t="s">
        <v>46</v>
      </c>
    </row>
    <row r="386" spans="1:13" x14ac:dyDescent="0.3">
      <c r="A386" s="27">
        <v>45945</v>
      </c>
      <c r="B386" s="28" t="s">
        <v>50</v>
      </c>
      <c r="C386" s="28" t="s">
        <v>583</v>
      </c>
      <c r="D386" s="27">
        <v>45945</v>
      </c>
      <c r="E386" s="28">
        <v>80.88</v>
      </c>
      <c r="F386" s="28">
        <v>0</v>
      </c>
      <c r="G386" s="28">
        <v>71637</v>
      </c>
      <c r="H386" s="28"/>
      <c r="I386" s="28"/>
      <c r="J386" s="28" t="s">
        <v>4</v>
      </c>
      <c r="K386" s="28" t="s">
        <v>49</v>
      </c>
      <c r="L386" s="24">
        <v>0.97</v>
      </c>
      <c r="M386" s="28" t="s">
        <v>46</v>
      </c>
    </row>
    <row r="387" spans="1:13" x14ac:dyDescent="0.3">
      <c r="A387" s="27">
        <v>45945</v>
      </c>
      <c r="B387" s="28" t="s">
        <v>50</v>
      </c>
      <c r="C387" s="28" t="s">
        <v>584</v>
      </c>
      <c r="D387" s="27">
        <v>45945</v>
      </c>
      <c r="E387" s="28">
        <v>5547.67</v>
      </c>
      <c r="F387" s="28">
        <v>0</v>
      </c>
      <c r="G387" s="28">
        <v>66089.33</v>
      </c>
      <c r="H387" s="28"/>
      <c r="I387" s="28"/>
      <c r="J387" s="28" t="s">
        <v>4</v>
      </c>
      <c r="K387" s="28" t="s">
        <v>49</v>
      </c>
      <c r="L387" s="24">
        <v>0.97</v>
      </c>
      <c r="M387" s="28" t="s">
        <v>46</v>
      </c>
    </row>
    <row r="388" spans="1:13" x14ac:dyDescent="0.3">
      <c r="A388" s="25">
        <v>45946</v>
      </c>
      <c r="B388" s="26" t="s">
        <v>585</v>
      </c>
      <c r="C388" s="26" t="s">
        <v>586</v>
      </c>
      <c r="D388" s="25">
        <v>45946</v>
      </c>
      <c r="E388" s="26">
        <v>0</v>
      </c>
      <c r="F388" s="26">
        <v>39264.83</v>
      </c>
      <c r="G388" s="26">
        <v>105354.16</v>
      </c>
      <c r="H388" s="26"/>
      <c r="I388" s="26"/>
      <c r="J388" s="26" t="s">
        <v>3</v>
      </c>
      <c r="K388" s="26" t="s">
        <v>49</v>
      </c>
      <c r="L388" s="24">
        <v>0.93</v>
      </c>
      <c r="M388" s="26" t="s">
        <v>46</v>
      </c>
    </row>
    <row r="389" spans="1:13" x14ac:dyDescent="0.3">
      <c r="A389" s="27">
        <v>45946</v>
      </c>
      <c r="B389" s="28" t="s">
        <v>50</v>
      </c>
      <c r="C389" s="28" t="s">
        <v>587</v>
      </c>
      <c r="D389" s="27">
        <v>45946</v>
      </c>
      <c r="E389" s="28">
        <v>78.900000000000006</v>
      </c>
      <c r="F389" s="28">
        <v>0</v>
      </c>
      <c r="G389" s="28">
        <v>105275.26</v>
      </c>
      <c r="H389" s="28"/>
      <c r="I389" s="28"/>
      <c r="J389" s="28" t="s">
        <v>4</v>
      </c>
      <c r="K389" s="28" t="s">
        <v>49</v>
      </c>
      <c r="L389" s="24">
        <v>0.97</v>
      </c>
      <c r="M389" s="28" t="s">
        <v>46</v>
      </c>
    </row>
    <row r="390" spans="1:13" x14ac:dyDescent="0.3">
      <c r="A390" s="25">
        <v>45947</v>
      </c>
      <c r="B390" s="26" t="s">
        <v>588</v>
      </c>
      <c r="C390" s="26" t="s">
        <v>589</v>
      </c>
      <c r="D390" s="25">
        <v>45947</v>
      </c>
      <c r="E390" s="26">
        <v>0</v>
      </c>
      <c r="F390" s="26">
        <v>2695.61</v>
      </c>
      <c r="G390" s="26">
        <v>107970.87</v>
      </c>
      <c r="H390" s="26"/>
      <c r="I390" s="26"/>
      <c r="J390" s="26" t="s">
        <v>3</v>
      </c>
      <c r="K390" s="26" t="s">
        <v>49</v>
      </c>
      <c r="L390" s="24">
        <v>0.93</v>
      </c>
      <c r="M390" s="26" t="s">
        <v>46</v>
      </c>
    </row>
    <row r="391" spans="1:13" x14ac:dyDescent="0.3">
      <c r="A391" s="35">
        <v>45947</v>
      </c>
      <c r="B391" s="36" t="s">
        <v>590</v>
      </c>
      <c r="C391" s="36" t="s">
        <v>83</v>
      </c>
      <c r="D391" s="35">
        <v>45947</v>
      </c>
      <c r="E391" s="36">
        <v>637.20000000000005</v>
      </c>
      <c r="F391" s="36">
        <v>0</v>
      </c>
      <c r="G391" s="36">
        <v>107333.67</v>
      </c>
      <c r="H391" s="36"/>
      <c r="I391" s="36"/>
      <c r="J391" s="36" t="s">
        <v>9</v>
      </c>
      <c r="K391" s="36" t="s">
        <v>9</v>
      </c>
      <c r="L391" s="24">
        <v>0.93</v>
      </c>
      <c r="M391" s="36" t="s">
        <v>46</v>
      </c>
    </row>
    <row r="392" spans="1:13" x14ac:dyDescent="0.3">
      <c r="A392" s="27">
        <v>45947</v>
      </c>
      <c r="B392" s="28" t="s">
        <v>50</v>
      </c>
      <c r="C392" s="28" t="s">
        <v>591</v>
      </c>
      <c r="D392" s="27">
        <v>45947</v>
      </c>
      <c r="E392" s="28">
        <v>87.37</v>
      </c>
      <c r="F392" s="28">
        <v>0</v>
      </c>
      <c r="G392" s="28">
        <v>107246.3</v>
      </c>
      <c r="H392" s="28"/>
      <c r="I392" s="28"/>
      <c r="J392" s="28" t="s">
        <v>4</v>
      </c>
      <c r="K392" s="28" t="s">
        <v>49</v>
      </c>
      <c r="L392" s="24">
        <v>0.97</v>
      </c>
      <c r="M392" s="28" t="s">
        <v>46</v>
      </c>
    </row>
    <row r="393" spans="1:13" x14ac:dyDescent="0.3">
      <c r="A393" s="25">
        <v>45950</v>
      </c>
      <c r="B393" s="26" t="s">
        <v>592</v>
      </c>
      <c r="C393" s="26" t="s">
        <v>593</v>
      </c>
      <c r="D393" s="25">
        <v>45950</v>
      </c>
      <c r="E393" s="26">
        <v>0</v>
      </c>
      <c r="F393" s="26">
        <v>18258.91</v>
      </c>
      <c r="G393" s="26">
        <v>125505.21</v>
      </c>
      <c r="H393" s="26"/>
      <c r="I393" s="26"/>
      <c r="J393" s="26" t="s">
        <v>3</v>
      </c>
      <c r="K393" s="26" t="s">
        <v>49</v>
      </c>
      <c r="L393" s="24">
        <v>0.93</v>
      </c>
      <c r="M393" s="26" t="s">
        <v>46</v>
      </c>
    </row>
    <row r="394" spans="1:13" x14ac:dyDescent="0.3">
      <c r="A394" s="25">
        <v>45950</v>
      </c>
      <c r="B394" s="26" t="s">
        <v>594</v>
      </c>
      <c r="C394" s="26" t="s">
        <v>595</v>
      </c>
      <c r="D394" s="25">
        <v>45950</v>
      </c>
      <c r="E394" s="26">
        <v>0</v>
      </c>
      <c r="F394" s="26">
        <v>18179.96</v>
      </c>
      <c r="G394" s="26">
        <v>143685.17000000001</v>
      </c>
      <c r="H394" s="26"/>
      <c r="I394" s="26"/>
      <c r="J394" s="26" t="s">
        <v>3</v>
      </c>
      <c r="K394" s="26" t="s">
        <v>49</v>
      </c>
      <c r="L394" s="24">
        <v>0.93</v>
      </c>
      <c r="M394" s="26" t="s">
        <v>46</v>
      </c>
    </row>
    <row r="395" spans="1:13" x14ac:dyDescent="0.3">
      <c r="A395" s="49">
        <v>45950</v>
      </c>
      <c r="B395" s="50" t="s">
        <v>596</v>
      </c>
      <c r="C395" s="50" t="s">
        <v>597</v>
      </c>
      <c r="D395" s="49">
        <v>45950</v>
      </c>
      <c r="E395" s="50">
        <v>0</v>
      </c>
      <c r="F395" s="50">
        <v>437.5</v>
      </c>
      <c r="G395" s="50">
        <v>144122.67000000001</v>
      </c>
      <c r="H395" s="50"/>
      <c r="I395" s="50"/>
      <c r="J395" s="50" t="s">
        <v>17</v>
      </c>
      <c r="K395" s="50" t="s">
        <v>17</v>
      </c>
      <c r="L395" s="24">
        <v>0.88</v>
      </c>
      <c r="M395" s="50" t="s">
        <v>46</v>
      </c>
    </row>
    <row r="396" spans="1:13" x14ac:dyDescent="0.3">
      <c r="A396" s="27">
        <v>45950</v>
      </c>
      <c r="B396" s="28" t="s">
        <v>50</v>
      </c>
      <c r="C396" s="28" t="s">
        <v>598</v>
      </c>
      <c r="D396" s="27">
        <v>45950</v>
      </c>
      <c r="E396" s="28">
        <v>264.99</v>
      </c>
      <c r="F396" s="28">
        <v>0</v>
      </c>
      <c r="G396" s="28">
        <v>143857.68</v>
      </c>
      <c r="H396" s="28"/>
      <c r="I396" s="28"/>
      <c r="J396" s="28" t="s">
        <v>4</v>
      </c>
      <c r="K396" s="28" t="s">
        <v>49</v>
      </c>
      <c r="L396" s="24">
        <v>0.97</v>
      </c>
      <c r="M396" s="28" t="s">
        <v>46</v>
      </c>
    </row>
    <row r="397" spans="1:13" x14ac:dyDescent="0.3">
      <c r="A397" s="27">
        <v>45950</v>
      </c>
      <c r="B397" s="28" t="s">
        <v>50</v>
      </c>
      <c r="C397" s="28" t="s">
        <v>599</v>
      </c>
      <c r="D397" s="27">
        <v>45950</v>
      </c>
      <c r="E397" s="28">
        <v>3856.78</v>
      </c>
      <c r="F397" s="28">
        <v>0</v>
      </c>
      <c r="G397" s="28">
        <v>140000.9</v>
      </c>
      <c r="H397" s="28"/>
      <c r="I397" s="28"/>
      <c r="J397" s="28" t="s">
        <v>4</v>
      </c>
      <c r="K397" s="28" t="s">
        <v>49</v>
      </c>
      <c r="L397" s="24">
        <v>0.97</v>
      </c>
      <c r="M397" s="28" t="s">
        <v>46</v>
      </c>
    </row>
    <row r="398" spans="1:13" x14ac:dyDescent="0.3">
      <c r="A398" s="47">
        <v>45951</v>
      </c>
      <c r="B398" s="48" t="s">
        <v>549</v>
      </c>
      <c r="C398" s="48" t="s">
        <v>600</v>
      </c>
      <c r="D398" s="47">
        <v>45951</v>
      </c>
      <c r="E398" s="48">
        <v>100000</v>
      </c>
      <c r="F398" s="48">
        <v>0</v>
      </c>
      <c r="G398" s="48">
        <v>40000.9</v>
      </c>
      <c r="H398" s="48"/>
      <c r="I398" s="48"/>
      <c r="J398" s="48" t="s">
        <v>24</v>
      </c>
      <c r="K398" s="48" t="s">
        <v>157</v>
      </c>
      <c r="L398" s="24">
        <v>0.88</v>
      </c>
      <c r="M398" s="48" t="s">
        <v>46</v>
      </c>
    </row>
    <row r="399" spans="1:13" x14ac:dyDescent="0.3">
      <c r="A399" s="27">
        <v>45951</v>
      </c>
      <c r="B399" s="28" t="s">
        <v>50</v>
      </c>
      <c r="C399" s="28" t="s">
        <v>601</v>
      </c>
      <c r="D399" s="27">
        <v>45951</v>
      </c>
      <c r="E399" s="28">
        <v>22927.360000000001</v>
      </c>
      <c r="F399" s="28">
        <v>0</v>
      </c>
      <c r="G399" s="28">
        <v>17073.54</v>
      </c>
      <c r="H399" s="28"/>
      <c r="I399" s="28"/>
      <c r="J399" s="28" t="s">
        <v>4</v>
      </c>
      <c r="K399" s="28" t="s">
        <v>49</v>
      </c>
      <c r="L399" s="24">
        <v>0.97</v>
      </c>
      <c r="M399" s="28" t="s">
        <v>46</v>
      </c>
    </row>
    <row r="400" spans="1:13" x14ac:dyDescent="0.3">
      <c r="A400" s="25">
        <v>45953</v>
      </c>
      <c r="B400" s="26" t="s">
        <v>602</v>
      </c>
      <c r="C400" s="26" t="s">
        <v>603</v>
      </c>
      <c r="D400" s="25">
        <v>45953</v>
      </c>
      <c r="E400" s="26">
        <v>0</v>
      </c>
      <c r="F400" s="26">
        <v>29878.36</v>
      </c>
      <c r="G400" s="26">
        <v>46951.9</v>
      </c>
      <c r="H400" s="26"/>
      <c r="I400" s="26"/>
      <c r="J400" s="26" t="s">
        <v>3</v>
      </c>
      <c r="K400" s="26" t="s">
        <v>49</v>
      </c>
      <c r="L400" s="24">
        <v>0.93</v>
      </c>
      <c r="M400" s="26" t="s">
        <v>46</v>
      </c>
    </row>
    <row r="401" spans="1:13" x14ac:dyDescent="0.3">
      <c r="A401" s="59">
        <v>45953</v>
      </c>
      <c r="B401" s="60" t="s">
        <v>604</v>
      </c>
      <c r="C401" s="60" t="s">
        <v>605</v>
      </c>
      <c r="D401" s="59">
        <v>45953</v>
      </c>
      <c r="E401" s="60">
        <v>0</v>
      </c>
      <c r="F401" s="60">
        <v>42932.800000000003</v>
      </c>
      <c r="G401" s="60">
        <v>89884.7</v>
      </c>
      <c r="H401" s="60"/>
      <c r="I401" s="60"/>
      <c r="J401" s="60" t="s">
        <v>29</v>
      </c>
      <c r="K401" s="60" t="s">
        <v>606</v>
      </c>
      <c r="L401" s="24">
        <v>0.9</v>
      </c>
      <c r="M401" s="60" t="s">
        <v>46</v>
      </c>
    </row>
    <row r="402" spans="1:13" x14ac:dyDescent="0.3">
      <c r="A402" s="27">
        <v>45953</v>
      </c>
      <c r="B402" s="28" t="s">
        <v>50</v>
      </c>
      <c r="C402" s="28" t="s">
        <v>607</v>
      </c>
      <c r="D402" s="27">
        <v>45953</v>
      </c>
      <c r="E402" s="28">
        <v>193.92</v>
      </c>
      <c r="F402" s="28">
        <v>0</v>
      </c>
      <c r="G402" s="28">
        <v>89690.78</v>
      </c>
      <c r="H402" s="28"/>
      <c r="I402" s="28"/>
      <c r="J402" s="28" t="s">
        <v>4</v>
      </c>
      <c r="K402" s="28" t="s">
        <v>49</v>
      </c>
      <c r="L402" s="24">
        <v>0.97</v>
      </c>
      <c r="M402" s="28" t="s">
        <v>46</v>
      </c>
    </row>
    <row r="403" spans="1:13" x14ac:dyDescent="0.3">
      <c r="A403" s="25">
        <v>45954</v>
      </c>
      <c r="B403" s="26" t="s">
        <v>608</v>
      </c>
      <c r="C403" s="26" t="s">
        <v>609</v>
      </c>
      <c r="D403" s="25">
        <v>45954</v>
      </c>
      <c r="E403" s="26">
        <v>0</v>
      </c>
      <c r="F403" s="26">
        <v>27821.56</v>
      </c>
      <c r="G403" s="26">
        <v>117512.34</v>
      </c>
      <c r="H403" s="26"/>
      <c r="I403" s="26"/>
      <c r="J403" s="26" t="s">
        <v>3</v>
      </c>
      <c r="K403" s="26" t="s">
        <v>49</v>
      </c>
      <c r="L403" s="24">
        <v>0.93</v>
      </c>
      <c r="M403" s="26" t="s">
        <v>46</v>
      </c>
    </row>
    <row r="404" spans="1:13" x14ac:dyDescent="0.3">
      <c r="A404" s="25">
        <v>45954</v>
      </c>
      <c r="B404" s="26" t="s">
        <v>610</v>
      </c>
      <c r="C404" s="26" t="s">
        <v>611</v>
      </c>
      <c r="D404" s="25">
        <v>45954</v>
      </c>
      <c r="E404" s="26">
        <v>0</v>
      </c>
      <c r="F404" s="26">
        <v>14.76</v>
      </c>
      <c r="G404" s="26">
        <v>117527.1</v>
      </c>
      <c r="H404" s="26"/>
      <c r="I404" s="26"/>
      <c r="J404" s="26" t="s">
        <v>3</v>
      </c>
      <c r="K404" s="26" t="s">
        <v>49</v>
      </c>
      <c r="L404" s="24">
        <v>0.93</v>
      </c>
      <c r="M404" s="26" t="s">
        <v>46</v>
      </c>
    </row>
    <row r="405" spans="1:13" x14ac:dyDescent="0.3">
      <c r="A405" s="27">
        <v>45954</v>
      </c>
      <c r="B405" s="28" t="s">
        <v>50</v>
      </c>
      <c r="C405" s="28" t="s">
        <v>612</v>
      </c>
      <c r="D405" s="27">
        <v>45954</v>
      </c>
      <c r="E405" s="28">
        <v>99.34</v>
      </c>
      <c r="F405" s="28">
        <v>0</v>
      </c>
      <c r="G405" s="28">
        <v>117427.76</v>
      </c>
      <c r="H405" s="28"/>
      <c r="I405" s="28"/>
      <c r="J405" s="28" t="s">
        <v>4</v>
      </c>
      <c r="K405" s="28" t="s">
        <v>49</v>
      </c>
      <c r="L405" s="24">
        <v>0.97</v>
      </c>
      <c r="M405" s="28" t="s">
        <v>46</v>
      </c>
    </row>
    <row r="406" spans="1:13" x14ac:dyDescent="0.3">
      <c r="A406" s="47">
        <v>45956</v>
      </c>
      <c r="B406" s="48" t="s">
        <v>613</v>
      </c>
      <c r="C406" s="48" t="s">
        <v>614</v>
      </c>
      <c r="D406" s="47">
        <v>45956</v>
      </c>
      <c r="E406" s="48">
        <v>0</v>
      </c>
      <c r="F406" s="48">
        <v>50000</v>
      </c>
      <c r="G406" s="48">
        <v>167427.76</v>
      </c>
      <c r="H406" s="48"/>
      <c r="I406" s="48"/>
      <c r="J406" s="48" t="s">
        <v>16</v>
      </c>
      <c r="K406" s="48" t="s">
        <v>157</v>
      </c>
      <c r="L406" s="24">
        <v>0.88</v>
      </c>
      <c r="M406" s="48" t="s">
        <v>46</v>
      </c>
    </row>
    <row r="407" spans="1:13" x14ac:dyDescent="0.3">
      <c r="A407" s="25">
        <v>45957</v>
      </c>
      <c r="B407" s="26" t="s">
        <v>615</v>
      </c>
      <c r="C407" s="26" t="s">
        <v>616</v>
      </c>
      <c r="D407" s="25">
        <v>45957</v>
      </c>
      <c r="E407" s="26">
        <v>0</v>
      </c>
      <c r="F407" s="26">
        <v>86.26</v>
      </c>
      <c r="G407" s="26">
        <v>167514.01999999999</v>
      </c>
      <c r="H407" s="26"/>
      <c r="I407" s="26"/>
      <c r="J407" s="26" t="s">
        <v>3</v>
      </c>
      <c r="K407" s="26" t="s">
        <v>49</v>
      </c>
      <c r="L407" s="24">
        <v>0.93</v>
      </c>
      <c r="M407" s="26" t="s">
        <v>46</v>
      </c>
    </row>
    <row r="408" spans="1:13" x14ac:dyDescent="0.3">
      <c r="A408" s="27">
        <v>45957</v>
      </c>
      <c r="B408" s="28" t="s">
        <v>50</v>
      </c>
      <c r="C408" s="28" t="s">
        <v>617</v>
      </c>
      <c r="D408" s="27">
        <v>45957</v>
      </c>
      <c r="E408" s="28">
        <v>298.05</v>
      </c>
      <c r="F408" s="28">
        <v>0</v>
      </c>
      <c r="G408" s="28">
        <v>167215.97</v>
      </c>
      <c r="H408" s="28"/>
      <c r="I408" s="28"/>
      <c r="J408" s="28" t="s">
        <v>4</v>
      </c>
      <c r="K408" s="28" t="s">
        <v>49</v>
      </c>
      <c r="L408" s="24">
        <v>0.97</v>
      </c>
      <c r="M408" s="28" t="s">
        <v>46</v>
      </c>
    </row>
    <row r="409" spans="1:13" x14ac:dyDescent="0.3">
      <c r="A409" s="47">
        <v>45957</v>
      </c>
      <c r="B409" s="48" t="s">
        <v>618</v>
      </c>
      <c r="C409" s="48" t="s">
        <v>619</v>
      </c>
      <c r="D409" s="47">
        <v>45957</v>
      </c>
      <c r="E409" s="48">
        <v>0</v>
      </c>
      <c r="F409" s="48">
        <v>90000</v>
      </c>
      <c r="G409" s="48">
        <v>257215.97</v>
      </c>
      <c r="H409" s="48"/>
      <c r="I409" s="48"/>
      <c r="J409" s="48" t="s">
        <v>16</v>
      </c>
      <c r="K409" s="48" t="s">
        <v>157</v>
      </c>
      <c r="L409" s="24">
        <v>0.88</v>
      </c>
      <c r="M409" s="48" t="s">
        <v>46</v>
      </c>
    </row>
    <row r="410" spans="1:13" x14ac:dyDescent="0.3">
      <c r="A410" s="25">
        <v>45958</v>
      </c>
      <c r="B410" s="26" t="s">
        <v>620</v>
      </c>
      <c r="C410" s="26" t="s">
        <v>621</v>
      </c>
      <c r="D410" s="25">
        <v>45958</v>
      </c>
      <c r="E410" s="26">
        <v>0</v>
      </c>
      <c r="F410" s="26">
        <v>24182.18</v>
      </c>
      <c r="G410" s="26">
        <v>281398.15000000002</v>
      </c>
      <c r="H410" s="26"/>
      <c r="I410" s="26"/>
      <c r="J410" s="26" t="s">
        <v>3</v>
      </c>
      <c r="K410" s="26" t="s">
        <v>49</v>
      </c>
      <c r="L410" s="24">
        <v>0.93</v>
      </c>
      <c r="M410" s="26" t="s">
        <v>46</v>
      </c>
    </row>
    <row r="411" spans="1:13" x14ac:dyDescent="0.3">
      <c r="A411" s="25">
        <v>45958</v>
      </c>
      <c r="B411" s="26" t="s">
        <v>622</v>
      </c>
      <c r="C411" s="26" t="s">
        <v>623</v>
      </c>
      <c r="D411" s="25">
        <v>45958</v>
      </c>
      <c r="E411" s="26">
        <v>0</v>
      </c>
      <c r="F411" s="26">
        <v>28940.91</v>
      </c>
      <c r="G411" s="26">
        <v>310339.06</v>
      </c>
      <c r="H411" s="26"/>
      <c r="I411" s="26"/>
      <c r="J411" s="26" t="s">
        <v>3</v>
      </c>
      <c r="K411" s="26" t="s">
        <v>49</v>
      </c>
      <c r="L411" s="24">
        <v>0.93</v>
      </c>
      <c r="M411" s="26" t="s">
        <v>46</v>
      </c>
    </row>
    <row r="412" spans="1:13" x14ac:dyDescent="0.3">
      <c r="A412" s="57">
        <v>45958</v>
      </c>
      <c r="B412" s="58" t="s">
        <v>624</v>
      </c>
      <c r="C412" s="58" t="s">
        <v>625</v>
      </c>
      <c r="D412" s="57">
        <v>45958</v>
      </c>
      <c r="E412" s="58">
        <v>122488</v>
      </c>
      <c r="F412" s="58">
        <v>0</v>
      </c>
      <c r="G412" s="58">
        <v>187851.06</v>
      </c>
      <c r="H412" s="58"/>
      <c r="I412" s="58"/>
      <c r="J412" s="58" t="s">
        <v>25</v>
      </c>
      <c r="K412" s="58" t="s">
        <v>343</v>
      </c>
      <c r="L412" s="24">
        <v>0.95</v>
      </c>
      <c r="M412" s="58" t="s">
        <v>46</v>
      </c>
    </row>
    <row r="413" spans="1:13" x14ac:dyDescent="0.3">
      <c r="A413" s="57">
        <v>45958</v>
      </c>
      <c r="B413" s="58" t="s">
        <v>626</v>
      </c>
      <c r="C413" s="58" t="s">
        <v>627</v>
      </c>
      <c r="D413" s="57">
        <v>45958</v>
      </c>
      <c r="E413" s="58">
        <v>128000</v>
      </c>
      <c r="F413" s="58">
        <v>0</v>
      </c>
      <c r="G413" s="58">
        <v>59851.06</v>
      </c>
      <c r="H413" s="58"/>
      <c r="I413" s="58"/>
      <c r="J413" s="58" t="s">
        <v>25</v>
      </c>
      <c r="K413" s="58" t="s">
        <v>343</v>
      </c>
      <c r="L413" s="24">
        <v>0.95</v>
      </c>
      <c r="M413" s="58" t="s">
        <v>46</v>
      </c>
    </row>
    <row r="414" spans="1:13" x14ac:dyDescent="0.3">
      <c r="A414" s="22">
        <v>45958</v>
      </c>
      <c r="B414" s="23" t="s">
        <v>628</v>
      </c>
      <c r="C414" s="23" t="s">
        <v>629</v>
      </c>
      <c r="D414" s="22">
        <v>45958</v>
      </c>
      <c r="E414" s="23">
        <v>5000</v>
      </c>
      <c r="F414" s="23">
        <v>0</v>
      </c>
      <c r="G414" s="23">
        <v>54851.06</v>
      </c>
      <c r="H414" s="23"/>
      <c r="I414" s="23"/>
      <c r="J414" s="23" t="s">
        <v>2</v>
      </c>
      <c r="K414" s="23" t="s">
        <v>2</v>
      </c>
      <c r="L414" s="24">
        <v>0.95</v>
      </c>
      <c r="M414" s="23" t="s">
        <v>46</v>
      </c>
    </row>
    <row r="415" spans="1:13" x14ac:dyDescent="0.3">
      <c r="A415" s="27">
        <v>45958</v>
      </c>
      <c r="B415" s="28" t="s">
        <v>50</v>
      </c>
      <c r="C415" s="28" t="s">
        <v>630</v>
      </c>
      <c r="D415" s="27">
        <v>45958</v>
      </c>
      <c r="E415" s="28">
        <v>99.38</v>
      </c>
      <c r="F415" s="28">
        <v>0</v>
      </c>
      <c r="G415" s="28">
        <v>54751.68</v>
      </c>
      <c r="H415" s="28"/>
      <c r="I415" s="28"/>
      <c r="J415" s="28" t="s">
        <v>4</v>
      </c>
      <c r="K415" s="28" t="s">
        <v>49</v>
      </c>
      <c r="L415" s="24">
        <v>0.97</v>
      </c>
      <c r="M415" s="28" t="s">
        <v>46</v>
      </c>
    </row>
    <row r="416" spans="1:13" x14ac:dyDescent="0.3">
      <c r="A416" s="27">
        <v>45958</v>
      </c>
      <c r="B416" s="28" t="s">
        <v>50</v>
      </c>
      <c r="C416" s="28" t="s">
        <v>631</v>
      </c>
      <c r="D416" s="27">
        <v>45958</v>
      </c>
      <c r="E416" s="28">
        <v>1024.76</v>
      </c>
      <c r="F416" s="28">
        <v>0</v>
      </c>
      <c r="G416" s="28">
        <v>53726.92</v>
      </c>
      <c r="H416" s="28"/>
      <c r="I416" s="28"/>
      <c r="J416" s="28" t="s">
        <v>4</v>
      </c>
      <c r="K416" s="28" t="s">
        <v>49</v>
      </c>
      <c r="L416" s="24">
        <v>0.97</v>
      </c>
      <c r="M416" s="28" t="s">
        <v>46</v>
      </c>
    </row>
    <row r="417" spans="1:13" x14ac:dyDescent="0.3">
      <c r="A417" s="59">
        <v>45959</v>
      </c>
      <c r="B417" s="60" t="s">
        <v>632</v>
      </c>
      <c r="C417" s="60" t="s">
        <v>633</v>
      </c>
      <c r="D417" s="59">
        <v>45959</v>
      </c>
      <c r="E417" s="60">
        <v>0</v>
      </c>
      <c r="F417" s="60">
        <v>72923.839999999997</v>
      </c>
      <c r="G417" s="60">
        <v>126650.76</v>
      </c>
      <c r="H417" s="60"/>
      <c r="I417" s="60"/>
      <c r="J417" s="60" t="s">
        <v>29</v>
      </c>
      <c r="K417" s="60" t="s">
        <v>606</v>
      </c>
      <c r="L417" s="24">
        <v>0.9</v>
      </c>
      <c r="M417" s="60" t="s">
        <v>46</v>
      </c>
    </row>
    <row r="418" spans="1:13" x14ac:dyDescent="0.3">
      <c r="A418" s="27">
        <v>45959</v>
      </c>
      <c r="B418" s="28" t="s">
        <v>50</v>
      </c>
      <c r="C418" s="28" t="s">
        <v>634</v>
      </c>
      <c r="D418" s="27">
        <v>45959</v>
      </c>
      <c r="E418" s="28">
        <v>93.09</v>
      </c>
      <c r="F418" s="28">
        <v>0</v>
      </c>
      <c r="G418" s="28">
        <v>126557.67</v>
      </c>
      <c r="H418" s="28"/>
      <c r="I418" s="28"/>
      <c r="J418" s="28" t="s">
        <v>4</v>
      </c>
      <c r="K418" s="28" t="s">
        <v>49</v>
      </c>
      <c r="L418" s="24">
        <v>0.97</v>
      </c>
      <c r="M418" s="28" t="s">
        <v>46</v>
      </c>
    </row>
    <row r="419" spans="1:13" x14ac:dyDescent="0.3">
      <c r="A419" s="25">
        <v>45960</v>
      </c>
      <c r="B419" s="26" t="s">
        <v>635</v>
      </c>
      <c r="C419" s="26" t="s">
        <v>636</v>
      </c>
      <c r="D419" s="25">
        <v>45960</v>
      </c>
      <c r="E419" s="26">
        <v>0</v>
      </c>
      <c r="F419" s="26">
        <v>15828.87</v>
      </c>
      <c r="G419" s="26">
        <v>142386.54</v>
      </c>
      <c r="H419" s="26"/>
      <c r="I419" s="26"/>
      <c r="J419" s="26" t="s">
        <v>3</v>
      </c>
      <c r="K419" s="26" t="s">
        <v>49</v>
      </c>
      <c r="L419" s="24">
        <v>0.93</v>
      </c>
      <c r="M419" s="26" t="s">
        <v>46</v>
      </c>
    </row>
    <row r="420" spans="1:13" x14ac:dyDescent="0.3">
      <c r="A420" s="22">
        <v>45960</v>
      </c>
      <c r="B420" s="23" t="s">
        <v>637</v>
      </c>
      <c r="C420" s="23" t="s">
        <v>638</v>
      </c>
      <c r="D420" s="22">
        <v>45960</v>
      </c>
      <c r="E420" s="23">
        <v>5000</v>
      </c>
      <c r="F420" s="23">
        <v>0</v>
      </c>
      <c r="G420" s="23">
        <v>137386.54</v>
      </c>
      <c r="H420" s="23"/>
      <c r="I420" s="23"/>
      <c r="J420" s="23" t="s">
        <v>2</v>
      </c>
      <c r="K420" s="23" t="s">
        <v>2</v>
      </c>
      <c r="L420" s="24">
        <v>0.95</v>
      </c>
      <c r="M420" s="23" t="s">
        <v>46</v>
      </c>
    </row>
    <row r="421" spans="1:13" x14ac:dyDescent="0.3">
      <c r="A421" s="27">
        <v>45960</v>
      </c>
      <c r="B421" s="28" t="s">
        <v>50</v>
      </c>
      <c r="C421" s="28" t="s">
        <v>639</v>
      </c>
      <c r="D421" s="27">
        <v>45960</v>
      </c>
      <c r="E421" s="28">
        <v>93.09</v>
      </c>
      <c r="F421" s="28">
        <v>0</v>
      </c>
      <c r="G421" s="28">
        <v>137293.45000000001</v>
      </c>
      <c r="H421" s="28"/>
      <c r="I421" s="28"/>
      <c r="J421" s="28" t="s">
        <v>4</v>
      </c>
      <c r="K421" s="28" t="s">
        <v>49</v>
      </c>
      <c r="L421" s="24">
        <v>0.97</v>
      </c>
      <c r="M421" s="28" t="s">
        <v>46</v>
      </c>
    </row>
    <row r="422" spans="1:13" x14ac:dyDescent="0.3">
      <c r="A422" s="47">
        <v>45960</v>
      </c>
      <c r="B422" s="48" t="s">
        <v>640</v>
      </c>
      <c r="C422" s="48" t="s">
        <v>641</v>
      </c>
      <c r="D422" s="47">
        <v>45960</v>
      </c>
      <c r="E422" s="48">
        <v>120000</v>
      </c>
      <c r="F422" s="48">
        <v>0</v>
      </c>
      <c r="G422" s="48">
        <v>17293.45</v>
      </c>
      <c r="H422" s="48"/>
      <c r="I422" s="48"/>
      <c r="J422" s="48" t="s">
        <v>24</v>
      </c>
      <c r="K422" s="48" t="s">
        <v>157</v>
      </c>
      <c r="L422" s="24">
        <v>0.88</v>
      </c>
      <c r="M422" s="48" t="s">
        <v>46</v>
      </c>
    </row>
    <row r="423" spans="1:13" x14ac:dyDescent="0.3">
      <c r="A423" s="27">
        <v>45960</v>
      </c>
      <c r="B423" s="28" t="s">
        <v>50</v>
      </c>
      <c r="C423" s="28" t="s">
        <v>642</v>
      </c>
      <c r="D423" s="27">
        <v>45960</v>
      </c>
      <c r="E423" s="28">
        <v>32.270000000000003</v>
      </c>
      <c r="F423" s="28">
        <v>0</v>
      </c>
      <c r="G423" s="28">
        <v>17261.18</v>
      </c>
      <c r="H423" s="28"/>
      <c r="I423" s="28"/>
      <c r="J423" s="28" t="s">
        <v>4</v>
      </c>
      <c r="K423" s="28" t="s">
        <v>49</v>
      </c>
      <c r="L423" s="24">
        <v>0.97</v>
      </c>
      <c r="M423" s="28" t="s">
        <v>46</v>
      </c>
    </row>
    <row r="424" spans="1:13" x14ac:dyDescent="0.3">
      <c r="A424" s="27">
        <v>45961</v>
      </c>
      <c r="B424" s="28" t="s">
        <v>50</v>
      </c>
      <c r="C424" s="28" t="s">
        <v>643</v>
      </c>
      <c r="D424" s="27">
        <v>45961</v>
      </c>
      <c r="E424" s="28">
        <v>82.34</v>
      </c>
      <c r="F424" s="28">
        <v>0</v>
      </c>
      <c r="G424" s="28">
        <v>17178.84</v>
      </c>
      <c r="H424" s="28"/>
      <c r="I424" s="28"/>
      <c r="J424" s="28" t="s">
        <v>4</v>
      </c>
      <c r="K424" s="28" t="s">
        <v>49</v>
      </c>
      <c r="L424" s="24">
        <v>0.97</v>
      </c>
      <c r="M424" s="28" t="s">
        <v>46</v>
      </c>
    </row>
    <row r="425" spans="1:13" x14ac:dyDescent="0.3">
      <c r="A425" s="49">
        <v>45961</v>
      </c>
      <c r="B425" s="50" t="s">
        <v>644</v>
      </c>
      <c r="C425" s="50" t="s">
        <v>645</v>
      </c>
      <c r="D425" s="49">
        <v>45961</v>
      </c>
      <c r="E425" s="50">
        <v>0</v>
      </c>
      <c r="F425" s="50">
        <v>40</v>
      </c>
      <c r="G425" s="50">
        <v>17218.84</v>
      </c>
      <c r="H425" s="50"/>
      <c r="I425" s="50"/>
      <c r="J425" s="50" t="s">
        <v>17</v>
      </c>
      <c r="K425" s="50" t="s">
        <v>17</v>
      </c>
      <c r="L425" s="24">
        <v>0.85</v>
      </c>
      <c r="M425" s="50" t="s">
        <v>46</v>
      </c>
    </row>
    <row r="426" spans="1:13" x14ac:dyDescent="0.3">
      <c r="A426" s="27">
        <v>45961</v>
      </c>
      <c r="B426" s="28" t="s">
        <v>50</v>
      </c>
      <c r="C426" s="28" t="s">
        <v>646</v>
      </c>
      <c r="D426" s="27">
        <v>45961</v>
      </c>
      <c r="E426" s="28">
        <v>1060.19</v>
      </c>
      <c r="F426" s="28">
        <v>0</v>
      </c>
      <c r="G426" s="28">
        <v>16158.65</v>
      </c>
      <c r="H426" s="28"/>
      <c r="I426" s="28"/>
      <c r="J426" s="28" t="s">
        <v>4</v>
      </c>
      <c r="K426" s="28" t="s">
        <v>49</v>
      </c>
      <c r="L426" s="24">
        <v>0.97</v>
      </c>
      <c r="M426" s="28" t="s">
        <v>46</v>
      </c>
    </row>
    <row r="427" spans="1:13" x14ac:dyDescent="0.3">
      <c r="A427" s="25">
        <v>45965</v>
      </c>
      <c r="B427" s="26" t="s">
        <v>647</v>
      </c>
      <c r="C427" s="26" t="s">
        <v>648</v>
      </c>
      <c r="D427" s="25">
        <v>45965</v>
      </c>
      <c r="E427" s="26">
        <v>0</v>
      </c>
      <c r="F427" s="26">
        <v>224.4</v>
      </c>
      <c r="G427" s="26">
        <v>16383.05</v>
      </c>
      <c r="H427" s="26"/>
      <c r="I427" s="26"/>
      <c r="J427" s="26" t="s">
        <v>3</v>
      </c>
      <c r="K427" s="26" t="s">
        <v>49</v>
      </c>
      <c r="L427" s="24">
        <v>0.93</v>
      </c>
      <c r="M427" s="26" t="s">
        <v>46</v>
      </c>
    </row>
    <row r="428" spans="1:13" x14ac:dyDescent="0.3">
      <c r="A428" s="49">
        <v>45965</v>
      </c>
      <c r="B428" s="50" t="s">
        <v>649</v>
      </c>
      <c r="C428" s="50" t="s">
        <v>650</v>
      </c>
      <c r="D428" s="49">
        <v>45965</v>
      </c>
      <c r="E428" s="50">
        <v>0</v>
      </c>
      <c r="F428" s="50">
        <v>165</v>
      </c>
      <c r="G428" s="50">
        <v>16548.05</v>
      </c>
      <c r="H428" s="50"/>
      <c r="I428" s="50"/>
      <c r="J428" s="50" t="s">
        <v>17</v>
      </c>
      <c r="K428" s="50" t="s">
        <v>17</v>
      </c>
      <c r="L428" s="24">
        <v>0.88</v>
      </c>
      <c r="M428" s="50" t="s">
        <v>46</v>
      </c>
    </row>
    <row r="429" spans="1:13" x14ac:dyDescent="0.3">
      <c r="A429" s="27">
        <v>45965</v>
      </c>
      <c r="B429" s="28" t="s">
        <v>50</v>
      </c>
      <c r="C429" s="28" t="s">
        <v>651</v>
      </c>
      <c r="D429" s="27">
        <v>45965</v>
      </c>
      <c r="E429" s="28">
        <v>82.05</v>
      </c>
      <c r="F429" s="28">
        <v>0</v>
      </c>
      <c r="G429" s="28">
        <v>16466</v>
      </c>
      <c r="H429" s="28"/>
      <c r="I429" s="28"/>
      <c r="J429" s="28" t="s">
        <v>4</v>
      </c>
      <c r="K429" s="28" t="s">
        <v>49</v>
      </c>
      <c r="L429" s="24">
        <v>0.97</v>
      </c>
      <c r="M429" s="28" t="s">
        <v>46</v>
      </c>
    </row>
    <row r="430" spans="1:13" x14ac:dyDescent="0.3">
      <c r="A430" s="25">
        <v>45967</v>
      </c>
      <c r="B430" s="26" t="s">
        <v>652</v>
      </c>
      <c r="C430" s="26" t="s">
        <v>653</v>
      </c>
      <c r="D430" s="25">
        <v>45967</v>
      </c>
      <c r="E430" s="26">
        <v>0</v>
      </c>
      <c r="F430" s="26">
        <v>10475.290000000001</v>
      </c>
      <c r="G430" s="26">
        <v>26941.29</v>
      </c>
      <c r="H430" s="26"/>
      <c r="I430" s="26"/>
      <c r="J430" s="26" t="s">
        <v>3</v>
      </c>
      <c r="K430" s="26" t="s">
        <v>49</v>
      </c>
      <c r="L430" s="24">
        <v>0.93</v>
      </c>
      <c r="M430" s="26" t="s">
        <v>46</v>
      </c>
    </row>
    <row r="431" spans="1:13" x14ac:dyDescent="0.3">
      <c r="A431" s="27">
        <v>45967</v>
      </c>
      <c r="B431" s="28" t="s">
        <v>50</v>
      </c>
      <c r="C431" s="28" t="s">
        <v>654</v>
      </c>
      <c r="D431" s="27">
        <v>45967</v>
      </c>
      <c r="E431" s="28">
        <v>164.26</v>
      </c>
      <c r="F431" s="28">
        <v>0</v>
      </c>
      <c r="G431" s="28">
        <v>26777.03</v>
      </c>
      <c r="H431" s="28"/>
      <c r="I431" s="28"/>
      <c r="J431" s="28" t="s">
        <v>4</v>
      </c>
      <c r="K431" s="28" t="s">
        <v>49</v>
      </c>
      <c r="L431" s="24">
        <v>0.97</v>
      </c>
      <c r="M431" s="28" t="s">
        <v>46</v>
      </c>
    </row>
    <row r="432" spans="1:13" x14ac:dyDescent="0.3">
      <c r="A432" s="27">
        <v>45967</v>
      </c>
      <c r="B432" s="28" t="s">
        <v>50</v>
      </c>
      <c r="C432" s="28" t="s">
        <v>655</v>
      </c>
      <c r="D432" s="27">
        <v>45967</v>
      </c>
      <c r="E432" s="28">
        <v>360.34</v>
      </c>
      <c r="F432" s="28">
        <v>0</v>
      </c>
      <c r="G432" s="28">
        <v>26416.69</v>
      </c>
      <c r="H432" s="28"/>
      <c r="I432" s="28"/>
      <c r="J432" s="28" t="s">
        <v>4</v>
      </c>
      <c r="K432" s="28" t="s">
        <v>49</v>
      </c>
      <c r="L432" s="24">
        <v>0.97</v>
      </c>
      <c r="M432" s="28" t="s">
        <v>46</v>
      </c>
    </row>
    <row r="433" spans="1:13" x14ac:dyDescent="0.3">
      <c r="A433" s="31">
        <v>45968</v>
      </c>
      <c r="B433" s="32" t="s">
        <v>656</v>
      </c>
      <c r="C433" s="32" t="s">
        <v>657</v>
      </c>
      <c r="D433" s="31">
        <v>45968</v>
      </c>
      <c r="E433" s="32">
        <v>0</v>
      </c>
      <c r="F433" s="32">
        <v>1880</v>
      </c>
      <c r="G433" s="32">
        <v>28296.69</v>
      </c>
      <c r="H433" s="32"/>
      <c r="I433" s="32"/>
      <c r="J433" s="32" t="s">
        <v>6</v>
      </c>
      <c r="K433" s="32" t="s">
        <v>63</v>
      </c>
      <c r="L433" s="24">
        <v>0.95</v>
      </c>
      <c r="M433" s="32" t="s">
        <v>46</v>
      </c>
    </row>
    <row r="434" spans="1:13" x14ac:dyDescent="0.3">
      <c r="A434" s="27">
        <v>45968</v>
      </c>
      <c r="B434" s="28" t="s">
        <v>50</v>
      </c>
      <c r="C434" s="28" t="s">
        <v>658</v>
      </c>
      <c r="D434" s="27">
        <v>45968</v>
      </c>
      <c r="E434" s="28">
        <v>76.86</v>
      </c>
      <c r="F434" s="28">
        <v>0</v>
      </c>
      <c r="G434" s="28">
        <v>28219.83</v>
      </c>
      <c r="H434" s="28"/>
      <c r="I434" s="28"/>
      <c r="J434" s="28" t="s">
        <v>4</v>
      </c>
      <c r="K434" s="28" t="s">
        <v>49</v>
      </c>
      <c r="L434" s="24">
        <v>0.97</v>
      </c>
      <c r="M434" s="28" t="s">
        <v>46</v>
      </c>
    </row>
    <row r="435" spans="1:13" x14ac:dyDescent="0.3">
      <c r="A435" s="27">
        <v>45969</v>
      </c>
      <c r="B435" s="28" t="s">
        <v>50</v>
      </c>
      <c r="C435" s="28" t="s">
        <v>659</v>
      </c>
      <c r="D435" s="27">
        <v>45969</v>
      </c>
      <c r="E435" s="28">
        <v>12.81</v>
      </c>
      <c r="F435" s="28">
        <v>0</v>
      </c>
      <c r="G435" s="28">
        <v>28207.02</v>
      </c>
      <c r="H435" s="28"/>
      <c r="I435" s="28"/>
      <c r="J435" s="28" t="s">
        <v>4</v>
      </c>
      <c r="K435" s="28" t="s">
        <v>49</v>
      </c>
      <c r="L435" s="24">
        <v>0.97</v>
      </c>
      <c r="M435" s="28" t="s">
        <v>46</v>
      </c>
    </row>
    <row r="436" spans="1:13" x14ac:dyDescent="0.3">
      <c r="A436" s="27">
        <v>45971</v>
      </c>
      <c r="B436" s="28" t="s">
        <v>50</v>
      </c>
      <c r="C436" s="28" t="s">
        <v>660</v>
      </c>
      <c r="D436" s="27">
        <v>45971</v>
      </c>
      <c r="E436" s="28">
        <v>230.55</v>
      </c>
      <c r="F436" s="28">
        <v>0</v>
      </c>
      <c r="G436" s="28">
        <v>27976.47</v>
      </c>
      <c r="H436" s="28"/>
      <c r="I436" s="28"/>
      <c r="J436" s="28" t="s">
        <v>4</v>
      </c>
      <c r="K436" s="28" t="s">
        <v>49</v>
      </c>
      <c r="L436" s="24">
        <v>0.97</v>
      </c>
      <c r="M436" s="28" t="s">
        <v>46</v>
      </c>
    </row>
    <row r="437" spans="1:13" x14ac:dyDescent="0.3">
      <c r="A437" s="25">
        <v>45972</v>
      </c>
      <c r="B437" s="26" t="s">
        <v>661</v>
      </c>
      <c r="C437" s="26" t="s">
        <v>662</v>
      </c>
      <c r="D437" s="25">
        <v>45972</v>
      </c>
      <c r="E437" s="26">
        <v>0</v>
      </c>
      <c r="F437" s="26">
        <v>6068.09</v>
      </c>
      <c r="G437" s="26">
        <v>34044.559999999998</v>
      </c>
      <c r="H437" s="26"/>
      <c r="I437" s="26"/>
      <c r="J437" s="26" t="s">
        <v>3</v>
      </c>
      <c r="K437" s="26" t="s">
        <v>49</v>
      </c>
      <c r="L437" s="24">
        <v>0.93</v>
      </c>
      <c r="M437" s="26" t="s">
        <v>46</v>
      </c>
    </row>
    <row r="438" spans="1:13" x14ac:dyDescent="0.3">
      <c r="A438" s="27">
        <v>45972</v>
      </c>
      <c r="B438" s="28" t="s">
        <v>50</v>
      </c>
      <c r="C438" s="28" t="s">
        <v>663</v>
      </c>
      <c r="D438" s="27">
        <v>45972</v>
      </c>
      <c r="E438" s="28">
        <v>76.849999999999994</v>
      </c>
      <c r="F438" s="28">
        <v>0</v>
      </c>
      <c r="G438" s="28">
        <v>33967.71</v>
      </c>
      <c r="H438" s="28"/>
      <c r="I438" s="28"/>
      <c r="J438" s="28" t="s">
        <v>4</v>
      </c>
      <c r="K438" s="28" t="s">
        <v>49</v>
      </c>
      <c r="L438" s="24">
        <v>0.97</v>
      </c>
      <c r="M438" s="28" t="s">
        <v>46</v>
      </c>
    </row>
    <row r="439" spans="1:13" x14ac:dyDescent="0.3">
      <c r="A439" s="25">
        <v>45973</v>
      </c>
      <c r="B439" s="26" t="s">
        <v>664</v>
      </c>
      <c r="C439" s="26" t="s">
        <v>665</v>
      </c>
      <c r="D439" s="25">
        <v>45973</v>
      </c>
      <c r="E439" s="26">
        <v>0</v>
      </c>
      <c r="F439" s="26">
        <v>749.26</v>
      </c>
      <c r="G439" s="26">
        <v>34716.97</v>
      </c>
      <c r="H439" s="26"/>
      <c r="I439" s="26"/>
      <c r="J439" s="26" t="s">
        <v>3</v>
      </c>
      <c r="K439" s="26" t="s">
        <v>49</v>
      </c>
      <c r="L439" s="24">
        <v>0.93</v>
      </c>
      <c r="M439" s="26" t="s">
        <v>46</v>
      </c>
    </row>
    <row r="440" spans="1:13" x14ac:dyDescent="0.3">
      <c r="A440" s="27">
        <v>45973</v>
      </c>
      <c r="B440" s="28" t="s">
        <v>50</v>
      </c>
      <c r="C440" s="28" t="s">
        <v>666</v>
      </c>
      <c r="D440" s="27">
        <v>45973</v>
      </c>
      <c r="E440" s="28">
        <v>70.010000000000005</v>
      </c>
      <c r="F440" s="28">
        <v>0</v>
      </c>
      <c r="G440" s="28">
        <v>34646.959999999999</v>
      </c>
      <c r="H440" s="28"/>
      <c r="I440" s="28"/>
      <c r="J440" s="28" t="s">
        <v>4</v>
      </c>
      <c r="K440" s="28" t="s">
        <v>49</v>
      </c>
      <c r="L440" s="24">
        <v>0.97</v>
      </c>
      <c r="M440" s="28" t="s">
        <v>46</v>
      </c>
    </row>
    <row r="441" spans="1:13" x14ac:dyDescent="0.3">
      <c r="A441" s="27">
        <v>45973</v>
      </c>
      <c r="B441" s="28" t="s">
        <v>50</v>
      </c>
      <c r="C441" s="28" t="s">
        <v>667</v>
      </c>
      <c r="D441" s="27">
        <v>45973</v>
      </c>
      <c r="E441" s="28">
        <v>13975.1</v>
      </c>
      <c r="F441" s="28">
        <v>0</v>
      </c>
      <c r="G441" s="28">
        <v>20671.86</v>
      </c>
      <c r="H441" s="28"/>
      <c r="I441" s="28"/>
      <c r="J441" s="28" t="s">
        <v>4</v>
      </c>
      <c r="K441" s="28" t="s">
        <v>49</v>
      </c>
      <c r="L441" s="24">
        <v>0.97</v>
      </c>
      <c r="M441" s="28" t="s">
        <v>46</v>
      </c>
    </row>
    <row r="442" spans="1:13" x14ac:dyDescent="0.3">
      <c r="A442" s="27">
        <v>45974</v>
      </c>
      <c r="B442" s="28" t="s">
        <v>50</v>
      </c>
      <c r="C442" s="28" t="s">
        <v>668</v>
      </c>
      <c r="D442" s="27">
        <v>45974</v>
      </c>
      <c r="E442" s="28">
        <v>65.3</v>
      </c>
      <c r="F442" s="28">
        <v>0</v>
      </c>
      <c r="G442" s="28">
        <v>20606.560000000001</v>
      </c>
      <c r="H442" s="28"/>
      <c r="I442" s="28"/>
      <c r="J442" s="28" t="s">
        <v>4</v>
      </c>
      <c r="K442" s="28" t="s">
        <v>49</v>
      </c>
      <c r="L442" s="24">
        <v>0.97</v>
      </c>
      <c r="M442" s="28" t="s">
        <v>46</v>
      </c>
    </row>
    <row r="443" spans="1:13" x14ac:dyDescent="0.3">
      <c r="A443" s="27">
        <v>45974</v>
      </c>
      <c r="B443" s="28" t="s">
        <v>50</v>
      </c>
      <c r="C443" s="28" t="s">
        <v>669</v>
      </c>
      <c r="D443" s="27">
        <v>45974</v>
      </c>
      <c r="E443" s="28">
        <v>538.01</v>
      </c>
      <c r="F443" s="28">
        <v>0</v>
      </c>
      <c r="G443" s="28">
        <v>20068.55</v>
      </c>
      <c r="H443" s="28"/>
      <c r="I443" s="28"/>
      <c r="J443" s="28" t="s">
        <v>4</v>
      </c>
      <c r="K443" s="28" t="s">
        <v>49</v>
      </c>
      <c r="L443" s="24">
        <v>0.97</v>
      </c>
      <c r="M443" s="28" t="s">
        <v>46</v>
      </c>
    </row>
    <row r="444" spans="1:13" x14ac:dyDescent="0.3">
      <c r="A444" s="49">
        <v>45975</v>
      </c>
      <c r="B444" s="50" t="s">
        <v>670</v>
      </c>
      <c r="C444" s="50" t="s">
        <v>671</v>
      </c>
      <c r="D444" s="49">
        <v>45975</v>
      </c>
      <c r="E444" s="50">
        <v>0</v>
      </c>
      <c r="F444" s="50">
        <v>780</v>
      </c>
      <c r="G444" s="50">
        <v>20848.55</v>
      </c>
      <c r="H444" s="50"/>
      <c r="I444" s="50"/>
      <c r="J444" s="50" t="s">
        <v>17</v>
      </c>
      <c r="K444" s="50" t="s">
        <v>17</v>
      </c>
      <c r="L444" s="24">
        <v>0.88</v>
      </c>
      <c r="M444" s="50" t="s">
        <v>46</v>
      </c>
    </row>
    <row r="445" spans="1:13" x14ac:dyDescent="0.3">
      <c r="A445" s="27">
        <v>45975</v>
      </c>
      <c r="B445" s="28" t="s">
        <v>50</v>
      </c>
      <c r="C445" s="28" t="s">
        <v>672</v>
      </c>
      <c r="D445" s="27">
        <v>45975</v>
      </c>
      <c r="E445" s="28">
        <v>65.11</v>
      </c>
      <c r="F445" s="28">
        <v>0</v>
      </c>
      <c r="G445" s="28">
        <v>20783.439999999999</v>
      </c>
      <c r="H445" s="28"/>
      <c r="I445" s="28"/>
      <c r="J445" s="28" t="s">
        <v>4</v>
      </c>
      <c r="K445" s="28" t="s">
        <v>49</v>
      </c>
      <c r="L445" s="24">
        <v>0.97</v>
      </c>
      <c r="M445" s="28" t="s">
        <v>46</v>
      </c>
    </row>
    <row r="446" spans="1:13" x14ac:dyDescent="0.3">
      <c r="A446" s="25">
        <v>45978</v>
      </c>
      <c r="B446" s="26" t="s">
        <v>673</v>
      </c>
      <c r="C446" s="26" t="s">
        <v>674</v>
      </c>
      <c r="D446" s="25">
        <v>45978</v>
      </c>
      <c r="E446" s="26">
        <v>0</v>
      </c>
      <c r="F446" s="26">
        <v>580.16999999999996</v>
      </c>
      <c r="G446" s="26">
        <v>21363.61</v>
      </c>
      <c r="H446" s="26"/>
      <c r="I446" s="26"/>
      <c r="J446" s="26" t="s">
        <v>3</v>
      </c>
      <c r="K446" s="26" t="s">
        <v>49</v>
      </c>
      <c r="L446" s="24">
        <v>0.93</v>
      </c>
      <c r="M446" s="26" t="s">
        <v>46</v>
      </c>
    </row>
    <row r="447" spans="1:13" x14ac:dyDescent="0.3">
      <c r="A447" s="35">
        <v>45978</v>
      </c>
      <c r="B447" s="36" t="s">
        <v>675</v>
      </c>
      <c r="C447" s="36" t="s">
        <v>83</v>
      </c>
      <c r="D447" s="35">
        <v>45978</v>
      </c>
      <c r="E447" s="36">
        <v>1109.2</v>
      </c>
      <c r="F447" s="36">
        <v>0</v>
      </c>
      <c r="G447" s="36">
        <v>20254.41</v>
      </c>
      <c r="H447" s="36"/>
      <c r="I447" s="36"/>
      <c r="J447" s="36" t="s">
        <v>9</v>
      </c>
      <c r="K447" s="36" t="s">
        <v>9</v>
      </c>
      <c r="L447" s="24">
        <v>0.93</v>
      </c>
      <c r="M447" s="36" t="s">
        <v>46</v>
      </c>
    </row>
    <row r="448" spans="1:13" x14ac:dyDescent="0.3">
      <c r="A448" s="27">
        <v>45978</v>
      </c>
      <c r="B448" s="28" t="s">
        <v>50</v>
      </c>
      <c r="C448" s="28" t="s">
        <v>676</v>
      </c>
      <c r="D448" s="27">
        <v>45978</v>
      </c>
      <c r="E448" s="28">
        <v>195.33</v>
      </c>
      <c r="F448" s="28">
        <v>0</v>
      </c>
      <c r="G448" s="28">
        <v>20059.080000000002</v>
      </c>
      <c r="H448" s="28"/>
      <c r="I448" s="28"/>
      <c r="J448" s="28" t="s">
        <v>4</v>
      </c>
      <c r="K448" s="28" t="s">
        <v>49</v>
      </c>
      <c r="L448" s="24">
        <v>0.97</v>
      </c>
      <c r="M448" s="28" t="s">
        <v>46</v>
      </c>
    </row>
    <row r="449" spans="1:13" x14ac:dyDescent="0.3">
      <c r="A449" s="25">
        <v>45979</v>
      </c>
      <c r="B449" s="26" t="s">
        <v>677</v>
      </c>
      <c r="C449" s="26" t="s">
        <v>678</v>
      </c>
      <c r="D449" s="25">
        <v>45979</v>
      </c>
      <c r="E449" s="26">
        <v>0</v>
      </c>
      <c r="F449" s="26">
        <v>720.5</v>
      </c>
      <c r="G449" s="26">
        <v>20779.580000000002</v>
      </c>
      <c r="H449" s="26"/>
      <c r="I449" s="26"/>
      <c r="J449" s="26" t="s">
        <v>3</v>
      </c>
      <c r="K449" s="26" t="s">
        <v>49</v>
      </c>
      <c r="L449" s="24">
        <v>0.93</v>
      </c>
      <c r="M449" s="26" t="s">
        <v>46</v>
      </c>
    </row>
    <row r="450" spans="1:13" x14ac:dyDescent="0.3">
      <c r="A450" s="27">
        <v>45979</v>
      </c>
      <c r="B450" s="28" t="s">
        <v>50</v>
      </c>
      <c r="C450" s="28" t="s">
        <v>679</v>
      </c>
      <c r="D450" s="27">
        <v>45979</v>
      </c>
      <c r="E450" s="28">
        <v>65.319999999999993</v>
      </c>
      <c r="F450" s="28">
        <v>0</v>
      </c>
      <c r="G450" s="28">
        <v>20714.259999999998</v>
      </c>
      <c r="H450" s="28"/>
      <c r="I450" s="28"/>
      <c r="J450" s="28" t="s">
        <v>4</v>
      </c>
      <c r="K450" s="28" t="s">
        <v>49</v>
      </c>
      <c r="L450" s="24">
        <v>0.97</v>
      </c>
      <c r="M450" s="28" t="s">
        <v>46</v>
      </c>
    </row>
    <row r="451" spans="1:13" x14ac:dyDescent="0.3">
      <c r="A451" s="27">
        <v>45979</v>
      </c>
      <c r="B451" s="28" t="s">
        <v>50</v>
      </c>
      <c r="C451" s="28" t="s">
        <v>680</v>
      </c>
      <c r="D451" s="27">
        <v>45979</v>
      </c>
      <c r="E451" s="28">
        <v>499.82</v>
      </c>
      <c r="F451" s="28">
        <v>0</v>
      </c>
      <c r="G451" s="28">
        <v>20214.439999999999</v>
      </c>
      <c r="H451" s="28"/>
      <c r="I451" s="28"/>
      <c r="J451" s="28" t="s">
        <v>4</v>
      </c>
      <c r="K451" s="28" t="s">
        <v>49</v>
      </c>
      <c r="L451" s="24">
        <v>0.97</v>
      </c>
      <c r="M451" s="28" t="s">
        <v>46</v>
      </c>
    </row>
    <row r="452" spans="1:13" x14ac:dyDescent="0.3">
      <c r="A452" s="27">
        <v>45980</v>
      </c>
      <c r="B452" s="28" t="s">
        <v>50</v>
      </c>
      <c r="C452" s="28" t="s">
        <v>681</v>
      </c>
      <c r="D452" s="27">
        <v>45980</v>
      </c>
      <c r="E452" s="28">
        <v>65.39</v>
      </c>
      <c r="F452" s="28">
        <v>0</v>
      </c>
      <c r="G452" s="28">
        <v>20149.05</v>
      </c>
      <c r="H452" s="28"/>
      <c r="I452" s="28"/>
      <c r="J452" s="28" t="s">
        <v>4</v>
      </c>
      <c r="K452" s="28" t="s">
        <v>49</v>
      </c>
      <c r="L452" s="24">
        <v>0.97</v>
      </c>
      <c r="M452" s="28" t="s">
        <v>46</v>
      </c>
    </row>
    <row r="453" spans="1:13" x14ac:dyDescent="0.3">
      <c r="A453" s="25">
        <v>45981</v>
      </c>
      <c r="B453" s="26" t="s">
        <v>682</v>
      </c>
      <c r="C453" s="26" t="s">
        <v>683</v>
      </c>
      <c r="D453" s="25">
        <v>45981</v>
      </c>
      <c r="E453" s="26">
        <v>0</v>
      </c>
      <c r="F453" s="26">
        <v>43.25</v>
      </c>
      <c r="G453" s="26">
        <v>20192.3</v>
      </c>
      <c r="H453" s="26"/>
      <c r="I453" s="26"/>
      <c r="J453" s="26" t="s">
        <v>3</v>
      </c>
      <c r="K453" s="26" t="s">
        <v>49</v>
      </c>
      <c r="L453" s="24">
        <v>0.93</v>
      </c>
      <c r="M453" s="26" t="s">
        <v>46</v>
      </c>
    </row>
    <row r="454" spans="1:13" x14ac:dyDescent="0.3">
      <c r="A454" s="27">
        <v>45981</v>
      </c>
      <c r="B454" s="28" t="s">
        <v>50</v>
      </c>
      <c r="C454" s="28" t="s">
        <v>684</v>
      </c>
      <c r="D454" s="27">
        <v>45981</v>
      </c>
      <c r="E454" s="28">
        <v>65.39</v>
      </c>
      <c r="F454" s="28">
        <v>0</v>
      </c>
      <c r="G454" s="28">
        <v>20126.91</v>
      </c>
      <c r="H454" s="28"/>
      <c r="I454" s="28"/>
      <c r="J454" s="28" t="s">
        <v>4</v>
      </c>
      <c r="K454" s="28" t="s">
        <v>49</v>
      </c>
      <c r="L454" s="24">
        <v>0.97</v>
      </c>
      <c r="M454" s="28" t="s">
        <v>46</v>
      </c>
    </row>
    <row r="455" spans="1:13" x14ac:dyDescent="0.3">
      <c r="A455" s="25">
        <v>45982</v>
      </c>
      <c r="B455" s="26" t="s">
        <v>685</v>
      </c>
      <c r="C455" s="26" t="s">
        <v>686</v>
      </c>
      <c r="D455" s="25">
        <v>45982</v>
      </c>
      <c r="E455" s="26">
        <v>0</v>
      </c>
      <c r="F455" s="26">
        <v>315.37</v>
      </c>
      <c r="G455" s="26">
        <v>20442.28</v>
      </c>
      <c r="H455" s="26"/>
      <c r="I455" s="26"/>
      <c r="J455" s="26" t="s">
        <v>3</v>
      </c>
      <c r="K455" s="26" t="s">
        <v>49</v>
      </c>
      <c r="L455" s="24">
        <v>0.93</v>
      </c>
      <c r="M455" s="26" t="s">
        <v>46</v>
      </c>
    </row>
    <row r="456" spans="1:13" x14ac:dyDescent="0.3">
      <c r="A456" s="27">
        <v>45982</v>
      </c>
      <c r="B456" s="28" t="s">
        <v>50</v>
      </c>
      <c r="C456" s="28" t="s">
        <v>687</v>
      </c>
      <c r="D456" s="27">
        <v>45982</v>
      </c>
      <c r="E456" s="28">
        <v>65.41</v>
      </c>
      <c r="F456" s="28">
        <v>0</v>
      </c>
      <c r="G456" s="28">
        <v>20376.87</v>
      </c>
      <c r="H456" s="28"/>
      <c r="I456" s="28"/>
      <c r="J456" s="28" t="s">
        <v>4</v>
      </c>
      <c r="K456" s="28" t="s">
        <v>49</v>
      </c>
      <c r="L456" s="24">
        <v>0.97</v>
      </c>
      <c r="M456" s="28" t="s">
        <v>46</v>
      </c>
    </row>
    <row r="457" spans="1:13" x14ac:dyDescent="0.3">
      <c r="A457" s="27">
        <v>45982</v>
      </c>
      <c r="B457" s="28" t="s">
        <v>50</v>
      </c>
      <c r="C457" s="28" t="s">
        <v>688</v>
      </c>
      <c r="D457" s="27">
        <v>45982</v>
      </c>
      <c r="E457" s="28">
        <v>580.03</v>
      </c>
      <c r="F457" s="28">
        <v>0</v>
      </c>
      <c r="G457" s="28">
        <v>19796.84</v>
      </c>
      <c r="H457" s="28"/>
      <c r="I457" s="28"/>
      <c r="J457" s="28" t="s">
        <v>4</v>
      </c>
      <c r="K457" s="28" t="s">
        <v>49</v>
      </c>
      <c r="L457" s="24">
        <v>0.97</v>
      </c>
      <c r="M457" s="28" t="s">
        <v>46</v>
      </c>
    </row>
    <row r="458" spans="1:13" x14ac:dyDescent="0.3">
      <c r="A458" s="27">
        <v>45985</v>
      </c>
      <c r="B458" s="28" t="s">
        <v>50</v>
      </c>
      <c r="C458" s="28" t="s">
        <v>689</v>
      </c>
      <c r="D458" s="27">
        <v>45985</v>
      </c>
      <c r="E458" s="28">
        <v>195.96</v>
      </c>
      <c r="F458" s="28">
        <v>0</v>
      </c>
      <c r="G458" s="28">
        <v>19600.88</v>
      </c>
      <c r="H458" s="28"/>
      <c r="I458" s="28"/>
      <c r="J458" s="28" t="s">
        <v>4</v>
      </c>
      <c r="K458" s="28" t="s">
        <v>49</v>
      </c>
      <c r="L458" s="24">
        <v>0.97</v>
      </c>
      <c r="M458" s="28" t="s">
        <v>46</v>
      </c>
    </row>
    <row r="459" spans="1:13" x14ac:dyDescent="0.3">
      <c r="A459" s="27">
        <v>45985</v>
      </c>
      <c r="B459" s="28" t="s">
        <v>50</v>
      </c>
      <c r="C459" s="28" t="s">
        <v>690</v>
      </c>
      <c r="D459" s="27">
        <v>45985</v>
      </c>
      <c r="E459" s="28">
        <v>728.47</v>
      </c>
      <c r="F459" s="28">
        <v>0</v>
      </c>
      <c r="G459" s="28">
        <v>18872.41</v>
      </c>
      <c r="H459" s="28"/>
      <c r="I459" s="28"/>
      <c r="J459" s="28" t="s">
        <v>4</v>
      </c>
      <c r="K459" s="28" t="s">
        <v>49</v>
      </c>
      <c r="L459" s="24">
        <v>0.97</v>
      </c>
      <c r="M459" s="28" t="s">
        <v>46</v>
      </c>
    </row>
    <row r="460" spans="1:13" x14ac:dyDescent="0.3">
      <c r="A460" s="27">
        <v>45986</v>
      </c>
      <c r="B460" s="28" t="s">
        <v>50</v>
      </c>
      <c r="C460" s="28" t="s">
        <v>691</v>
      </c>
      <c r="D460" s="27">
        <v>45986</v>
      </c>
      <c r="E460" s="28">
        <v>65.06</v>
      </c>
      <c r="F460" s="28">
        <v>0</v>
      </c>
      <c r="G460" s="28">
        <v>18807.349999999999</v>
      </c>
      <c r="H460" s="28"/>
      <c r="I460" s="28"/>
      <c r="J460" s="28" t="s">
        <v>4</v>
      </c>
      <c r="K460" s="28" t="s">
        <v>49</v>
      </c>
      <c r="L460" s="24">
        <v>0.97</v>
      </c>
      <c r="M460" s="28" t="s">
        <v>46</v>
      </c>
    </row>
    <row r="461" spans="1:13" x14ac:dyDescent="0.3">
      <c r="A461" s="25">
        <v>45987</v>
      </c>
      <c r="B461" s="26" t="s">
        <v>692</v>
      </c>
      <c r="C461" s="26" t="s">
        <v>693</v>
      </c>
      <c r="D461" s="25">
        <v>45987</v>
      </c>
      <c r="E461" s="26">
        <v>0</v>
      </c>
      <c r="F461" s="26">
        <v>6473.54</v>
      </c>
      <c r="G461" s="26">
        <v>25280.89</v>
      </c>
      <c r="H461" s="26"/>
      <c r="I461" s="26"/>
      <c r="J461" s="26" t="s">
        <v>3</v>
      </c>
      <c r="K461" s="26" t="s">
        <v>49</v>
      </c>
      <c r="L461" s="24">
        <v>0.93</v>
      </c>
      <c r="M461" s="26" t="s">
        <v>46</v>
      </c>
    </row>
    <row r="462" spans="1:13" x14ac:dyDescent="0.3">
      <c r="A462" s="25">
        <v>45987</v>
      </c>
      <c r="B462" s="26" t="s">
        <v>694</v>
      </c>
      <c r="C462" s="26" t="s">
        <v>695</v>
      </c>
      <c r="D462" s="25">
        <v>45987</v>
      </c>
      <c r="E462" s="26">
        <v>0</v>
      </c>
      <c r="F462" s="26">
        <v>18149.099999999999</v>
      </c>
      <c r="G462" s="26">
        <v>43429.99</v>
      </c>
      <c r="H462" s="26"/>
      <c r="I462" s="26"/>
      <c r="J462" s="26" t="s">
        <v>3</v>
      </c>
      <c r="K462" s="26" t="s">
        <v>49</v>
      </c>
      <c r="L462" s="24">
        <v>0.93</v>
      </c>
      <c r="M462" s="26" t="s">
        <v>46</v>
      </c>
    </row>
    <row r="463" spans="1:13" x14ac:dyDescent="0.3">
      <c r="A463" s="27">
        <v>45987</v>
      </c>
      <c r="B463" s="28" t="s">
        <v>50</v>
      </c>
      <c r="C463" s="28" t="s">
        <v>696</v>
      </c>
      <c r="D463" s="27">
        <v>45987</v>
      </c>
      <c r="E463" s="28">
        <v>65.06</v>
      </c>
      <c r="F463" s="28">
        <v>0</v>
      </c>
      <c r="G463" s="28">
        <v>43364.93</v>
      </c>
      <c r="H463" s="28"/>
      <c r="I463" s="28"/>
      <c r="J463" s="28" t="s">
        <v>4</v>
      </c>
      <c r="K463" s="28" t="s">
        <v>49</v>
      </c>
      <c r="L463" s="24">
        <v>0.97</v>
      </c>
      <c r="M463" s="28" t="s">
        <v>46</v>
      </c>
    </row>
    <row r="464" spans="1:13" x14ac:dyDescent="0.3">
      <c r="A464" s="25">
        <v>45988</v>
      </c>
      <c r="B464" s="26" t="s">
        <v>697</v>
      </c>
      <c r="C464" s="26" t="s">
        <v>698</v>
      </c>
      <c r="D464" s="25">
        <v>45988</v>
      </c>
      <c r="E464" s="26">
        <v>0</v>
      </c>
      <c r="F464" s="26">
        <v>1021.48</v>
      </c>
      <c r="G464" s="26">
        <v>44386.41</v>
      </c>
      <c r="H464" s="26"/>
      <c r="I464" s="26"/>
      <c r="J464" s="26" t="s">
        <v>3</v>
      </c>
      <c r="K464" s="26" t="s">
        <v>49</v>
      </c>
      <c r="L464" s="24">
        <v>0.93</v>
      </c>
      <c r="M464" s="26" t="s">
        <v>46</v>
      </c>
    </row>
    <row r="465" spans="1:13" x14ac:dyDescent="0.3">
      <c r="A465" s="47">
        <v>45988</v>
      </c>
      <c r="B465" s="48" t="s">
        <v>699</v>
      </c>
      <c r="C465" s="48" t="s">
        <v>700</v>
      </c>
      <c r="D465" s="47">
        <v>45988</v>
      </c>
      <c r="E465" s="48">
        <v>30000</v>
      </c>
      <c r="F465" s="48">
        <v>0</v>
      </c>
      <c r="G465" s="48">
        <v>14386.41</v>
      </c>
      <c r="H465" s="48"/>
      <c r="I465" s="48"/>
      <c r="J465" s="48" t="s">
        <v>24</v>
      </c>
      <c r="K465" s="48" t="s">
        <v>157</v>
      </c>
      <c r="L465" s="24">
        <v>0.88</v>
      </c>
      <c r="M465" s="48" t="s">
        <v>46</v>
      </c>
    </row>
    <row r="466" spans="1:13" x14ac:dyDescent="0.3">
      <c r="A466" s="27">
        <v>45988</v>
      </c>
      <c r="B466" s="28" t="s">
        <v>50</v>
      </c>
      <c r="C466" s="28" t="s">
        <v>701</v>
      </c>
      <c r="D466" s="27">
        <v>45988</v>
      </c>
      <c r="E466" s="28">
        <v>58.6</v>
      </c>
      <c r="F466" s="28">
        <v>0</v>
      </c>
      <c r="G466" s="28">
        <v>14327.81</v>
      </c>
      <c r="H466" s="28"/>
      <c r="I466" s="28"/>
      <c r="J466" s="28" t="s">
        <v>4</v>
      </c>
      <c r="K466" s="28" t="s">
        <v>49</v>
      </c>
      <c r="L466" s="24">
        <v>0.97</v>
      </c>
      <c r="M466" s="28" t="s">
        <v>46</v>
      </c>
    </row>
    <row r="467" spans="1:13" x14ac:dyDescent="0.3">
      <c r="A467" s="27">
        <v>45988</v>
      </c>
      <c r="B467" s="28" t="s">
        <v>50</v>
      </c>
      <c r="C467" s="28" t="s">
        <v>702</v>
      </c>
      <c r="D467" s="27">
        <v>45988</v>
      </c>
      <c r="E467" s="28">
        <v>142.46</v>
      </c>
      <c r="F467" s="28">
        <v>0</v>
      </c>
      <c r="G467" s="28">
        <v>14185.35</v>
      </c>
      <c r="H467" s="28"/>
      <c r="I467" s="28"/>
      <c r="J467" s="28" t="s">
        <v>4</v>
      </c>
      <c r="K467" s="28" t="s">
        <v>49</v>
      </c>
      <c r="L467" s="24">
        <v>0.97</v>
      </c>
      <c r="M467" s="28" t="s">
        <v>46</v>
      </c>
    </row>
    <row r="468" spans="1:13" x14ac:dyDescent="0.3">
      <c r="A468" s="25">
        <v>45989</v>
      </c>
      <c r="B468" s="26" t="s">
        <v>703</v>
      </c>
      <c r="C468" s="26" t="s">
        <v>704</v>
      </c>
      <c r="D468" s="25">
        <v>45989</v>
      </c>
      <c r="E468" s="26">
        <v>0</v>
      </c>
      <c r="F468" s="26">
        <v>30064.62</v>
      </c>
      <c r="G468" s="26">
        <v>44249.97</v>
      </c>
      <c r="H468" s="26"/>
      <c r="I468" s="26"/>
      <c r="J468" s="26" t="s">
        <v>3</v>
      </c>
      <c r="K468" s="26" t="s">
        <v>49</v>
      </c>
      <c r="L468" s="24">
        <v>0.93</v>
      </c>
      <c r="M468" s="26" t="s">
        <v>46</v>
      </c>
    </row>
    <row r="469" spans="1:13" x14ac:dyDescent="0.3">
      <c r="A469" s="22">
        <v>45989</v>
      </c>
      <c r="B469" s="23" t="s">
        <v>705</v>
      </c>
      <c r="C469" s="23" t="s">
        <v>706</v>
      </c>
      <c r="D469" s="22">
        <v>45989</v>
      </c>
      <c r="E469" s="23">
        <v>5000</v>
      </c>
      <c r="F469" s="23">
        <v>0</v>
      </c>
      <c r="G469" s="23">
        <v>39249.97</v>
      </c>
      <c r="H469" s="23"/>
      <c r="I469" s="23"/>
      <c r="J469" s="23" t="s">
        <v>2</v>
      </c>
      <c r="K469" s="23" t="s">
        <v>2</v>
      </c>
      <c r="L469" s="24">
        <v>0.95</v>
      </c>
      <c r="M469" s="23" t="s">
        <v>46</v>
      </c>
    </row>
    <row r="470" spans="1:13" x14ac:dyDescent="0.3">
      <c r="A470" s="27">
        <v>45989</v>
      </c>
      <c r="B470" s="28" t="s">
        <v>50</v>
      </c>
      <c r="C470" s="28" t="s">
        <v>707</v>
      </c>
      <c r="D470" s="27">
        <v>45989</v>
      </c>
      <c r="E470" s="28">
        <v>58.91</v>
      </c>
      <c r="F470" s="28">
        <v>0</v>
      </c>
      <c r="G470" s="28">
        <v>39191.06</v>
      </c>
      <c r="H470" s="28"/>
      <c r="I470" s="28"/>
      <c r="J470" s="28" t="s">
        <v>4</v>
      </c>
      <c r="K470" s="28" t="s">
        <v>49</v>
      </c>
      <c r="L470" s="24">
        <v>0.97</v>
      </c>
      <c r="M470" s="28" t="s">
        <v>46</v>
      </c>
    </row>
    <row r="471" spans="1:13" x14ac:dyDescent="0.3">
      <c r="A471" s="49">
        <v>45989</v>
      </c>
      <c r="B471" s="50" t="s">
        <v>708</v>
      </c>
      <c r="C471" s="50" t="s">
        <v>709</v>
      </c>
      <c r="D471" s="49">
        <v>45989</v>
      </c>
      <c r="E471" s="50">
        <v>0</v>
      </c>
      <c r="F471" s="50">
        <v>600</v>
      </c>
      <c r="G471" s="50">
        <v>39791.06</v>
      </c>
      <c r="H471" s="50"/>
      <c r="I471" s="50"/>
      <c r="J471" s="50" t="s">
        <v>17</v>
      </c>
      <c r="K471" s="50" t="s">
        <v>17</v>
      </c>
      <c r="L471" s="24">
        <v>0.85</v>
      </c>
      <c r="M471" s="50" t="s">
        <v>46</v>
      </c>
    </row>
    <row r="472" spans="1:13" x14ac:dyDescent="0.3">
      <c r="A472" s="27">
        <v>45989</v>
      </c>
      <c r="B472" s="28" t="s">
        <v>50</v>
      </c>
      <c r="C472" s="28" t="s">
        <v>710</v>
      </c>
      <c r="D472" s="27">
        <v>45989</v>
      </c>
      <c r="E472" s="28">
        <v>158.30000000000001</v>
      </c>
      <c r="F472" s="28">
        <v>0</v>
      </c>
      <c r="G472" s="28">
        <v>39632.76</v>
      </c>
      <c r="H472" s="28"/>
      <c r="I472" s="28"/>
      <c r="J472" s="28" t="s">
        <v>4</v>
      </c>
      <c r="K472" s="28" t="s">
        <v>49</v>
      </c>
      <c r="L472" s="24">
        <v>0.97</v>
      </c>
      <c r="M472" s="28" t="s">
        <v>46</v>
      </c>
    </row>
    <row r="473" spans="1:13" x14ac:dyDescent="0.3">
      <c r="A473" s="22">
        <v>45992</v>
      </c>
      <c r="B473" s="23" t="s">
        <v>711</v>
      </c>
      <c r="C473" s="23" t="s">
        <v>712</v>
      </c>
      <c r="D473" s="22">
        <v>45992</v>
      </c>
      <c r="E473" s="23">
        <v>5000</v>
      </c>
      <c r="F473" s="23">
        <v>0</v>
      </c>
      <c r="G473" s="23">
        <v>34632.76</v>
      </c>
      <c r="H473" s="23"/>
      <c r="I473" s="23"/>
      <c r="J473" s="23" t="s">
        <v>2</v>
      </c>
      <c r="K473" s="23" t="s">
        <v>2</v>
      </c>
      <c r="L473" s="24">
        <v>0.95</v>
      </c>
      <c r="M473" s="23" t="s">
        <v>46</v>
      </c>
    </row>
    <row r="474" spans="1:13" x14ac:dyDescent="0.3">
      <c r="A474" s="27">
        <v>45992</v>
      </c>
      <c r="B474" s="28" t="s">
        <v>50</v>
      </c>
      <c r="C474" s="28" t="s">
        <v>713</v>
      </c>
      <c r="D474" s="27">
        <v>45992</v>
      </c>
      <c r="E474" s="28">
        <v>176.58</v>
      </c>
      <c r="F474" s="28">
        <v>0</v>
      </c>
      <c r="G474" s="28">
        <v>34456.18</v>
      </c>
      <c r="H474" s="28"/>
      <c r="I474" s="28"/>
      <c r="J474" s="28" t="s">
        <v>4</v>
      </c>
      <c r="K474" s="28" t="s">
        <v>49</v>
      </c>
      <c r="L474" s="24">
        <v>0.97</v>
      </c>
      <c r="M474" s="28" t="s">
        <v>46</v>
      </c>
    </row>
    <row r="475" spans="1:13" x14ac:dyDescent="0.3">
      <c r="A475" s="27">
        <v>45992</v>
      </c>
      <c r="B475" s="28" t="s">
        <v>50</v>
      </c>
      <c r="C475" s="28" t="s">
        <v>714</v>
      </c>
      <c r="D475" s="27">
        <v>45992</v>
      </c>
      <c r="E475" s="28">
        <v>424.5</v>
      </c>
      <c r="F475" s="28">
        <v>0</v>
      </c>
      <c r="G475" s="28">
        <v>34031.68</v>
      </c>
      <c r="H475" s="28"/>
      <c r="I475" s="28"/>
      <c r="J475" s="28" t="s">
        <v>4</v>
      </c>
      <c r="K475" s="28" t="s">
        <v>49</v>
      </c>
      <c r="L475" s="24">
        <v>0.97</v>
      </c>
      <c r="M475" s="28" t="s">
        <v>46</v>
      </c>
    </row>
    <row r="476" spans="1:13" x14ac:dyDescent="0.3">
      <c r="A476" s="49">
        <v>45993</v>
      </c>
      <c r="B476" s="50" t="s">
        <v>715</v>
      </c>
      <c r="C476" s="50" t="s">
        <v>716</v>
      </c>
      <c r="D476" s="49">
        <v>45993</v>
      </c>
      <c r="E476" s="50">
        <v>0</v>
      </c>
      <c r="F476" s="50">
        <v>700</v>
      </c>
      <c r="G476" s="50">
        <v>34731.68</v>
      </c>
      <c r="H476" s="50"/>
      <c r="I476" s="50"/>
      <c r="J476" s="50" t="s">
        <v>17</v>
      </c>
      <c r="K476" s="50" t="s">
        <v>17</v>
      </c>
      <c r="L476" s="24">
        <v>0.88</v>
      </c>
      <c r="M476" s="50" t="s">
        <v>46</v>
      </c>
    </row>
    <row r="477" spans="1:13" x14ac:dyDescent="0.3">
      <c r="A477" s="27">
        <v>45993</v>
      </c>
      <c r="B477" s="28" t="s">
        <v>50</v>
      </c>
      <c r="C477" s="28" t="s">
        <v>717</v>
      </c>
      <c r="D477" s="27">
        <v>45993</v>
      </c>
      <c r="E477" s="28">
        <v>58.7</v>
      </c>
      <c r="F477" s="28">
        <v>0</v>
      </c>
      <c r="G477" s="28">
        <v>34672.980000000003</v>
      </c>
      <c r="H477" s="28"/>
      <c r="I477" s="28"/>
      <c r="J477" s="28" t="s">
        <v>4</v>
      </c>
      <c r="K477" s="28" t="s">
        <v>49</v>
      </c>
      <c r="L477" s="24">
        <v>0.97</v>
      </c>
      <c r="M477" s="28" t="s">
        <v>46</v>
      </c>
    </row>
    <row r="478" spans="1:13" x14ac:dyDescent="0.3">
      <c r="A478" s="27">
        <v>45993</v>
      </c>
      <c r="B478" s="28" t="s">
        <v>50</v>
      </c>
      <c r="C478" s="28" t="s">
        <v>718</v>
      </c>
      <c r="D478" s="27">
        <v>45993</v>
      </c>
      <c r="E478" s="28">
        <v>63.21</v>
      </c>
      <c r="F478" s="28">
        <v>0</v>
      </c>
      <c r="G478" s="28">
        <v>34609.769999999997</v>
      </c>
      <c r="H478" s="28"/>
      <c r="I478" s="28"/>
      <c r="J478" s="28" t="s">
        <v>4</v>
      </c>
      <c r="K478" s="28" t="s">
        <v>49</v>
      </c>
      <c r="L478" s="24">
        <v>0.97</v>
      </c>
      <c r="M478" s="28" t="s">
        <v>46</v>
      </c>
    </row>
    <row r="479" spans="1:13" x14ac:dyDescent="0.3">
      <c r="A479" s="27">
        <v>45994</v>
      </c>
      <c r="B479" s="28" t="s">
        <v>50</v>
      </c>
      <c r="C479" s="28" t="s">
        <v>719</v>
      </c>
      <c r="D479" s="27">
        <v>45994</v>
      </c>
      <c r="E479" s="28">
        <v>58.68</v>
      </c>
      <c r="F479" s="28">
        <v>0</v>
      </c>
      <c r="G479" s="28">
        <v>34551.089999999997</v>
      </c>
      <c r="H479" s="28"/>
      <c r="I479" s="28"/>
      <c r="J479" s="28" t="s">
        <v>4</v>
      </c>
      <c r="K479" s="28" t="s">
        <v>49</v>
      </c>
      <c r="L479" s="24">
        <v>0.97</v>
      </c>
      <c r="M479" s="28" t="s">
        <v>46</v>
      </c>
    </row>
    <row r="480" spans="1:13" x14ac:dyDescent="0.3">
      <c r="A480" s="27">
        <v>45994</v>
      </c>
      <c r="B480" s="28" t="s">
        <v>50</v>
      </c>
      <c r="C480" s="28" t="s">
        <v>720</v>
      </c>
      <c r="D480" s="27">
        <v>45994</v>
      </c>
      <c r="E480" s="28">
        <v>329.31</v>
      </c>
      <c r="F480" s="28">
        <v>0</v>
      </c>
      <c r="G480" s="28">
        <v>34221.78</v>
      </c>
      <c r="H480" s="28"/>
      <c r="I480" s="28"/>
      <c r="J480" s="28" t="s">
        <v>4</v>
      </c>
      <c r="K480" s="28" t="s">
        <v>49</v>
      </c>
      <c r="L480" s="24">
        <v>0.97</v>
      </c>
      <c r="M480" s="28" t="s">
        <v>46</v>
      </c>
    </row>
    <row r="481" spans="1:13" x14ac:dyDescent="0.3">
      <c r="A481" s="27">
        <v>45995</v>
      </c>
      <c r="B481" s="28" t="s">
        <v>50</v>
      </c>
      <c r="C481" s="28" t="s">
        <v>721</v>
      </c>
      <c r="D481" s="27">
        <v>45995</v>
      </c>
      <c r="E481" s="28">
        <v>58.56</v>
      </c>
      <c r="F481" s="28">
        <v>0</v>
      </c>
      <c r="G481" s="28">
        <v>34163.22</v>
      </c>
      <c r="H481" s="28"/>
      <c r="I481" s="28"/>
      <c r="J481" s="28" t="s">
        <v>4</v>
      </c>
      <c r="K481" s="28" t="s">
        <v>49</v>
      </c>
      <c r="L481" s="24">
        <v>0.97</v>
      </c>
      <c r="M481" s="28" t="s">
        <v>46</v>
      </c>
    </row>
    <row r="482" spans="1:13" x14ac:dyDescent="0.3">
      <c r="A482" s="25">
        <v>45996</v>
      </c>
      <c r="B482" s="26" t="s">
        <v>722</v>
      </c>
      <c r="C482" s="26" t="s">
        <v>723</v>
      </c>
      <c r="D482" s="25">
        <v>45996</v>
      </c>
      <c r="E482" s="26">
        <v>0</v>
      </c>
      <c r="F482" s="26">
        <v>334.03</v>
      </c>
      <c r="G482" s="26">
        <v>34497.25</v>
      </c>
      <c r="H482" s="26"/>
      <c r="I482" s="26"/>
      <c r="J482" s="26" t="s">
        <v>3</v>
      </c>
      <c r="K482" s="26" t="s">
        <v>49</v>
      </c>
      <c r="L482" s="24">
        <v>0.93</v>
      </c>
      <c r="M482" s="26" t="s">
        <v>46</v>
      </c>
    </row>
    <row r="483" spans="1:13" x14ac:dyDescent="0.3">
      <c r="A483" s="27">
        <v>45996</v>
      </c>
      <c r="B483" s="28" t="s">
        <v>50</v>
      </c>
      <c r="C483" s="28" t="s">
        <v>724</v>
      </c>
      <c r="D483" s="27">
        <v>45996</v>
      </c>
      <c r="E483" s="28">
        <v>58.56</v>
      </c>
      <c r="F483" s="28">
        <v>0</v>
      </c>
      <c r="G483" s="28">
        <v>34438.69</v>
      </c>
      <c r="H483" s="28"/>
      <c r="I483" s="28"/>
      <c r="J483" s="28" t="s">
        <v>4</v>
      </c>
      <c r="K483" s="28" t="s">
        <v>49</v>
      </c>
      <c r="L483" s="24">
        <v>0.97</v>
      </c>
      <c r="M483" s="28" t="s">
        <v>46</v>
      </c>
    </row>
    <row r="484" spans="1:13" x14ac:dyDescent="0.3">
      <c r="A484" s="27">
        <v>45996</v>
      </c>
      <c r="B484" s="28" t="s">
        <v>50</v>
      </c>
      <c r="C484" s="28" t="s">
        <v>725</v>
      </c>
      <c r="D484" s="27">
        <v>45996</v>
      </c>
      <c r="E484" s="28">
        <v>371.57</v>
      </c>
      <c r="F484" s="28">
        <v>0</v>
      </c>
      <c r="G484" s="28">
        <v>34067.120000000003</v>
      </c>
      <c r="H484" s="28"/>
      <c r="I484" s="28"/>
      <c r="J484" s="28" t="s">
        <v>4</v>
      </c>
      <c r="K484" s="28" t="s">
        <v>49</v>
      </c>
      <c r="L484" s="24">
        <v>0.97</v>
      </c>
      <c r="M484" s="28" t="s">
        <v>46</v>
      </c>
    </row>
    <row r="485" spans="1:13" x14ac:dyDescent="0.3">
      <c r="A485" s="31">
        <v>45998</v>
      </c>
      <c r="B485" s="32" t="s">
        <v>726</v>
      </c>
      <c r="C485" s="32" t="s">
        <v>727</v>
      </c>
      <c r="D485" s="31">
        <v>45998</v>
      </c>
      <c r="E485" s="32">
        <v>0</v>
      </c>
      <c r="F485" s="32">
        <v>1880</v>
      </c>
      <c r="G485" s="32">
        <v>35947.120000000003</v>
      </c>
      <c r="H485" s="32"/>
      <c r="I485" s="32"/>
      <c r="J485" s="32" t="s">
        <v>6</v>
      </c>
      <c r="K485" s="32" t="s">
        <v>63</v>
      </c>
      <c r="L485" s="24">
        <v>0.95</v>
      </c>
      <c r="M485" s="32" t="s">
        <v>46</v>
      </c>
    </row>
    <row r="486" spans="1:13" x14ac:dyDescent="0.3">
      <c r="A486" s="27">
        <v>45999</v>
      </c>
      <c r="B486" s="28" t="s">
        <v>50</v>
      </c>
      <c r="C486" s="28" t="s">
        <v>728</v>
      </c>
      <c r="D486" s="27">
        <v>45999</v>
      </c>
      <c r="E486" s="28">
        <v>175.65</v>
      </c>
      <c r="F486" s="28">
        <v>0</v>
      </c>
      <c r="G486" s="28">
        <v>35771.47</v>
      </c>
      <c r="H486" s="28"/>
      <c r="I486" s="28"/>
      <c r="J486" s="28" t="s">
        <v>4</v>
      </c>
      <c r="K486" s="28" t="s">
        <v>49</v>
      </c>
      <c r="L486" s="24">
        <v>0.97</v>
      </c>
      <c r="M486" s="28" t="s">
        <v>46</v>
      </c>
    </row>
    <row r="487" spans="1:13" x14ac:dyDescent="0.3">
      <c r="A487" s="27">
        <v>45999</v>
      </c>
      <c r="B487" s="28" t="s">
        <v>50</v>
      </c>
      <c r="C487" s="28" t="s">
        <v>729</v>
      </c>
      <c r="D487" s="27">
        <v>45999</v>
      </c>
      <c r="E487" s="28">
        <v>1117.9100000000001</v>
      </c>
      <c r="F487" s="28">
        <v>0</v>
      </c>
      <c r="G487" s="28">
        <v>34653.56</v>
      </c>
      <c r="H487" s="28"/>
      <c r="I487" s="28"/>
      <c r="J487" s="28" t="s">
        <v>4</v>
      </c>
      <c r="K487" s="28" t="s">
        <v>49</v>
      </c>
      <c r="L487" s="24">
        <v>0.97</v>
      </c>
      <c r="M487" s="28" t="s">
        <v>46</v>
      </c>
    </row>
    <row r="488" spans="1:13" x14ac:dyDescent="0.3">
      <c r="A488" s="27">
        <v>46000</v>
      </c>
      <c r="B488" s="28" t="s">
        <v>50</v>
      </c>
      <c r="C488" s="28" t="s">
        <v>730</v>
      </c>
      <c r="D488" s="27">
        <v>46000</v>
      </c>
      <c r="E488" s="28">
        <v>58.15</v>
      </c>
      <c r="F488" s="28">
        <v>0</v>
      </c>
      <c r="G488" s="28">
        <v>34595.410000000003</v>
      </c>
      <c r="H488" s="28"/>
      <c r="I488" s="28"/>
      <c r="J488" s="28" t="s">
        <v>4</v>
      </c>
      <c r="K488" s="28" t="s">
        <v>49</v>
      </c>
      <c r="L488" s="24">
        <v>0.97</v>
      </c>
      <c r="M488" s="28" t="s">
        <v>46</v>
      </c>
    </row>
    <row r="489" spans="1:13" x14ac:dyDescent="0.3">
      <c r="A489" s="27">
        <v>46000</v>
      </c>
      <c r="B489" s="28" t="s">
        <v>50</v>
      </c>
      <c r="C489" s="28" t="s">
        <v>731</v>
      </c>
      <c r="D489" s="27">
        <v>46000</v>
      </c>
      <c r="E489" s="28">
        <v>170.87</v>
      </c>
      <c r="F489" s="28">
        <v>0</v>
      </c>
      <c r="G489" s="28">
        <v>34424.54</v>
      </c>
      <c r="H489" s="28"/>
      <c r="I489" s="28"/>
      <c r="J489" s="28" t="s">
        <v>4</v>
      </c>
      <c r="K489" s="28" t="s">
        <v>49</v>
      </c>
      <c r="L489" s="24">
        <v>0.97</v>
      </c>
      <c r="M489" s="28" t="s">
        <v>46</v>
      </c>
    </row>
    <row r="490" spans="1:13" x14ac:dyDescent="0.3">
      <c r="A490" s="27">
        <v>46001</v>
      </c>
      <c r="B490" s="28" t="s">
        <v>50</v>
      </c>
      <c r="C490" s="28" t="s">
        <v>732</v>
      </c>
      <c r="D490" s="27">
        <v>46001</v>
      </c>
      <c r="E490" s="28">
        <v>58.09</v>
      </c>
      <c r="F490" s="28">
        <v>0</v>
      </c>
      <c r="G490" s="28">
        <v>34366.449999999997</v>
      </c>
      <c r="H490" s="28"/>
      <c r="I490" s="28"/>
      <c r="J490" s="28" t="s">
        <v>4</v>
      </c>
      <c r="K490" s="28" t="s">
        <v>49</v>
      </c>
      <c r="L490" s="24">
        <v>0.97</v>
      </c>
      <c r="M490" s="28" t="s">
        <v>46</v>
      </c>
    </row>
    <row r="491" spans="1:13" x14ac:dyDescent="0.3">
      <c r="A491" s="27">
        <v>46001</v>
      </c>
      <c r="B491" s="28" t="s">
        <v>50</v>
      </c>
      <c r="C491" s="28" t="s">
        <v>733</v>
      </c>
      <c r="D491" s="27">
        <v>46001</v>
      </c>
      <c r="E491" s="28">
        <v>1005.4</v>
      </c>
      <c r="F491" s="28">
        <v>0</v>
      </c>
      <c r="G491" s="28">
        <v>33361.050000000003</v>
      </c>
      <c r="H491" s="28"/>
      <c r="I491" s="28"/>
      <c r="J491" s="28" t="s">
        <v>4</v>
      </c>
      <c r="K491" s="28" t="s">
        <v>49</v>
      </c>
      <c r="L491" s="24">
        <v>0.97</v>
      </c>
      <c r="M491" s="28" t="s">
        <v>46</v>
      </c>
    </row>
    <row r="492" spans="1:13" x14ac:dyDescent="0.3">
      <c r="A492" s="27">
        <v>46002</v>
      </c>
      <c r="B492" s="28" t="s">
        <v>50</v>
      </c>
      <c r="C492" s="28" t="s">
        <v>734</v>
      </c>
      <c r="D492" s="27">
        <v>46002</v>
      </c>
      <c r="E492" s="28">
        <v>57.73</v>
      </c>
      <c r="F492" s="28">
        <v>0</v>
      </c>
      <c r="G492" s="28">
        <v>33303.32</v>
      </c>
      <c r="H492" s="28"/>
      <c r="I492" s="28"/>
      <c r="J492" s="28" t="s">
        <v>4</v>
      </c>
      <c r="K492" s="28" t="s">
        <v>49</v>
      </c>
      <c r="L492" s="24">
        <v>0.97</v>
      </c>
      <c r="M492" s="28" t="s">
        <v>46</v>
      </c>
    </row>
    <row r="493" spans="1:13" x14ac:dyDescent="0.3">
      <c r="A493" s="25">
        <v>46003</v>
      </c>
      <c r="B493" s="26" t="s">
        <v>735</v>
      </c>
      <c r="C493" s="26" t="s">
        <v>736</v>
      </c>
      <c r="D493" s="25">
        <v>46003</v>
      </c>
      <c r="E493" s="26">
        <v>0</v>
      </c>
      <c r="F493" s="26">
        <v>265.73</v>
      </c>
      <c r="G493" s="26">
        <v>33569.050000000003</v>
      </c>
      <c r="H493" s="26"/>
      <c r="I493" s="26"/>
      <c r="J493" s="26" t="s">
        <v>3</v>
      </c>
      <c r="K493" s="26" t="s">
        <v>49</v>
      </c>
      <c r="L493" s="24">
        <v>0.93</v>
      </c>
      <c r="M493" s="26" t="s">
        <v>46</v>
      </c>
    </row>
    <row r="494" spans="1:13" x14ac:dyDescent="0.3">
      <c r="A494" s="27">
        <v>46003</v>
      </c>
      <c r="B494" s="28" t="s">
        <v>50</v>
      </c>
      <c r="C494" s="28" t="s">
        <v>737</v>
      </c>
      <c r="D494" s="27">
        <v>46003</v>
      </c>
      <c r="E494" s="28">
        <v>57.73</v>
      </c>
      <c r="F494" s="28">
        <v>0</v>
      </c>
      <c r="G494" s="28">
        <v>33511.32</v>
      </c>
      <c r="H494" s="28"/>
      <c r="I494" s="28"/>
      <c r="J494" s="28" t="s">
        <v>4</v>
      </c>
      <c r="K494" s="28" t="s">
        <v>49</v>
      </c>
      <c r="L494" s="24">
        <v>0.97</v>
      </c>
      <c r="M494" s="28" t="s">
        <v>46</v>
      </c>
    </row>
    <row r="495" spans="1:13" x14ac:dyDescent="0.3">
      <c r="A495" s="25">
        <v>46006</v>
      </c>
      <c r="B495" s="26" t="s">
        <v>738</v>
      </c>
      <c r="C495" s="26" t="s">
        <v>739</v>
      </c>
      <c r="D495" s="25">
        <v>46006</v>
      </c>
      <c r="E495" s="26">
        <v>0</v>
      </c>
      <c r="F495" s="26">
        <v>473.61</v>
      </c>
      <c r="G495" s="26">
        <v>33984.93</v>
      </c>
      <c r="H495" s="26"/>
      <c r="I495" s="26"/>
      <c r="J495" s="26" t="s">
        <v>3</v>
      </c>
      <c r="K495" s="26" t="s">
        <v>49</v>
      </c>
      <c r="L495" s="24">
        <v>0.93</v>
      </c>
      <c r="M495" s="26" t="s">
        <v>46</v>
      </c>
    </row>
    <row r="496" spans="1:13" x14ac:dyDescent="0.3">
      <c r="A496" s="35">
        <v>46006</v>
      </c>
      <c r="B496" s="36" t="s">
        <v>740</v>
      </c>
      <c r="C496" s="36" t="s">
        <v>83</v>
      </c>
      <c r="D496" s="35">
        <v>46006</v>
      </c>
      <c r="E496" s="36">
        <v>365.8</v>
      </c>
      <c r="F496" s="36">
        <v>0</v>
      </c>
      <c r="G496" s="36">
        <v>33619.129999999997</v>
      </c>
      <c r="H496" s="36"/>
      <c r="I496" s="36"/>
      <c r="J496" s="36" t="s">
        <v>9</v>
      </c>
      <c r="K496" s="36" t="s">
        <v>9</v>
      </c>
      <c r="L496" s="24">
        <v>0.93</v>
      </c>
      <c r="M496" s="36" t="s">
        <v>46</v>
      </c>
    </row>
    <row r="497" spans="1:13" x14ac:dyDescent="0.3">
      <c r="A497" s="27">
        <v>46006</v>
      </c>
      <c r="B497" s="28" t="s">
        <v>50</v>
      </c>
      <c r="C497" s="28" t="s">
        <v>741</v>
      </c>
      <c r="D497" s="27">
        <v>46006</v>
      </c>
      <c r="E497" s="28">
        <v>173.49</v>
      </c>
      <c r="F497" s="28">
        <v>0</v>
      </c>
      <c r="G497" s="28">
        <v>33445.64</v>
      </c>
      <c r="H497" s="28"/>
      <c r="I497" s="28"/>
      <c r="J497" s="28" t="s">
        <v>4</v>
      </c>
      <c r="K497" s="28" t="s">
        <v>49</v>
      </c>
      <c r="L497" s="24">
        <v>0.97</v>
      </c>
      <c r="M497" s="28" t="s">
        <v>46</v>
      </c>
    </row>
    <row r="498" spans="1:13" x14ac:dyDescent="0.3">
      <c r="A498" s="25">
        <v>46007</v>
      </c>
      <c r="B498" s="26" t="s">
        <v>742</v>
      </c>
      <c r="C498" s="26" t="s">
        <v>743</v>
      </c>
      <c r="D498" s="25">
        <v>46007</v>
      </c>
      <c r="E498" s="26">
        <v>0</v>
      </c>
      <c r="F498" s="26">
        <v>350.92</v>
      </c>
      <c r="G498" s="26">
        <v>33796.559999999998</v>
      </c>
      <c r="H498" s="26"/>
      <c r="I498" s="26"/>
      <c r="J498" s="26" t="s">
        <v>3</v>
      </c>
      <c r="K498" s="26" t="s">
        <v>49</v>
      </c>
      <c r="L498" s="24">
        <v>0.93</v>
      </c>
      <c r="M498" s="26" t="s">
        <v>46</v>
      </c>
    </row>
    <row r="499" spans="1:13" x14ac:dyDescent="0.3">
      <c r="A499" s="27">
        <v>46007</v>
      </c>
      <c r="B499" s="28" t="s">
        <v>50</v>
      </c>
      <c r="C499" s="28" t="s">
        <v>744</v>
      </c>
      <c r="D499" s="27">
        <v>46007</v>
      </c>
      <c r="E499" s="28">
        <v>58</v>
      </c>
      <c r="F499" s="28">
        <v>0</v>
      </c>
      <c r="G499" s="28">
        <v>33738.559999999998</v>
      </c>
      <c r="H499" s="28"/>
      <c r="I499" s="28"/>
      <c r="J499" s="28" t="s">
        <v>4</v>
      </c>
      <c r="K499" s="28" t="s">
        <v>49</v>
      </c>
      <c r="L499" s="24">
        <v>0.97</v>
      </c>
      <c r="M499" s="28" t="s">
        <v>46</v>
      </c>
    </row>
    <row r="500" spans="1:13" x14ac:dyDescent="0.3">
      <c r="A500" s="27">
        <v>46007</v>
      </c>
      <c r="B500" s="28" t="s">
        <v>50</v>
      </c>
      <c r="C500" s="28" t="s">
        <v>745</v>
      </c>
      <c r="D500" s="27">
        <v>46007</v>
      </c>
      <c r="E500" s="28">
        <v>14.53</v>
      </c>
      <c r="F500" s="28">
        <v>0</v>
      </c>
      <c r="G500" s="28">
        <v>33724.03</v>
      </c>
      <c r="H500" s="28"/>
      <c r="I500" s="28"/>
      <c r="J500" s="28" t="s">
        <v>4</v>
      </c>
      <c r="K500" s="28" t="s">
        <v>49</v>
      </c>
      <c r="L500" s="24">
        <v>0.97</v>
      </c>
      <c r="M500" s="28" t="s">
        <v>46</v>
      </c>
    </row>
    <row r="501" spans="1:13" x14ac:dyDescent="0.3">
      <c r="A501" s="27">
        <v>46008</v>
      </c>
      <c r="B501" s="28" t="s">
        <v>50</v>
      </c>
      <c r="C501" s="28" t="s">
        <v>746</v>
      </c>
      <c r="D501" s="27">
        <v>46008</v>
      </c>
      <c r="E501" s="28">
        <v>58.12</v>
      </c>
      <c r="F501" s="28">
        <v>0</v>
      </c>
      <c r="G501" s="28">
        <v>33665.910000000003</v>
      </c>
      <c r="H501" s="28"/>
      <c r="I501" s="28"/>
      <c r="J501" s="28" t="s">
        <v>4</v>
      </c>
      <c r="K501" s="28" t="s">
        <v>49</v>
      </c>
      <c r="L501" s="24">
        <v>0.97</v>
      </c>
      <c r="M501" s="28" t="s">
        <v>46</v>
      </c>
    </row>
    <row r="502" spans="1:13" x14ac:dyDescent="0.3">
      <c r="A502" s="27">
        <v>46008</v>
      </c>
      <c r="B502" s="28" t="s">
        <v>50</v>
      </c>
      <c r="C502" s="28" t="s">
        <v>747</v>
      </c>
      <c r="D502" s="27">
        <v>46008</v>
      </c>
      <c r="E502" s="28">
        <v>1267.79</v>
      </c>
      <c r="F502" s="28">
        <v>0</v>
      </c>
      <c r="G502" s="28">
        <v>32398.12</v>
      </c>
      <c r="H502" s="28"/>
      <c r="I502" s="28"/>
      <c r="J502" s="28" t="s">
        <v>4</v>
      </c>
      <c r="K502" s="28" t="s">
        <v>49</v>
      </c>
      <c r="L502" s="24">
        <v>0.97</v>
      </c>
      <c r="M502" s="28" t="s">
        <v>46</v>
      </c>
    </row>
    <row r="503" spans="1:13" x14ac:dyDescent="0.3">
      <c r="A503" s="27">
        <v>46009</v>
      </c>
      <c r="B503" s="28" t="s">
        <v>50</v>
      </c>
      <c r="C503" s="28" t="s">
        <v>748</v>
      </c>
      <c r="D503" s="27">
        <v>46009</v>
      </c>
      <c r="E503" s="28">
        <v>57.67</v>
      </c>
      <c r="F503" s="28">
        <v>0</v>
      </c>
      <c r="G503" s="28">
        <v>32340.45</v>
      </c>
      <c r="H503" s="28"/>
      <c r="I503" s="28"/>
      <c r="J503" s="28" t="s">
        <v>4</v>
      </c>
      <c r="K503" s="28" t="s">
        <v>49</v>
      </c>
      <c r="L503" s="24">
        <v>0.97</v>
      </c>
      <c r="M503" s="28" t="s">
        <v>46</v>
      </c>
    </row>
    <row r="504" spans="1:13" x14ac:dyDescent="0.3">
      <c r="A504" s="25">
        <v>46010</v>
      </c>
      <c r="B504" s="26" t="s">
        <v>749</v>
      </c>
      <c r="C504" s="26" t="s">
        <v>750</v>
      </c>
      <c r="D504" s="25">
        <v>46010</v>
      </c>
      <c r="E504" s="26">
        <v>0</v>
      </c>
      <c r="F504" s="26">
        <v>146.1</v>
      </c>
      <c r="G504" s="26">
        <v>32486.55</v>
      </c>
      <c r="H504" s="26"/>
      <c r="I504" s="26"/>
      <c r="J504" s="26" t="s">
        <v>3</v>
      </c>
      <c r="K504" s="26" t="s">
        <v>49</v>
      </c>
      <c r="L504" s="24">
        <v>0.93</v>
      </c>
      <c r="M504" s="26" t="s">
        <v>46</v>
      </c>
    </row>
    <row r="505" spans="1:13" x14ac:dyDescent="0.3">
      <c r="A505" s="27">
        <v>46010</v>
      </c>
      <c r="B505" s="28" t="s">
        <v>50</v>
      </c>
      <c r="C505" s="28" t="s">
        <v>751</v>
      </c>
      <c r="D505" s="27">
        <v>46010</v>
      </c>
      <c r="E505" s="28">
        <v>57.67</v>
      </c>
      <c r="F505" s="28">
        <v>0</v>
      </c>
      <c r="G505" s="28">
        <v>32428.880000000001</v>
      </c>
      <c r="H505" s="28"/>
      <c r="I505" s="28"/>
      <c r="J505" s="28" t="s">
        <v>4</v>
      </c>
      <c r="K505" s="28" t="s">
        <v>49</v>
      </c>
      <c r="L505" s="24">
        <v>0.97</v>
      </c>
      <c r="M505" s="28" t="s">
        <v>46</v>
      </c>
    </row>
    <row r="506" spans="1:13" x14ac:dyDescent="0.3">
      <c r="A506" s="25">
        <v>46013</v>
      </c>
      <c r="B506" s="26" t="s">
        <v>752</v>
      </c>
      <c r="C506" s="26" t="s">
        <v>753</v>
      </c>
      <c r="D506" s="25">
        <v>46013</v>
      </c>
      <c r="E506" s="26">
        <v>0</v>
      </c>
      <c r="F506" s="26">
        <v>390.68</v>
      </c>
      <c r="G506" s="26">
        <v>32819.56</v>
      </c>
      <c r="H506" s="26"/>
      <c r="I506" s="26"/>
      <c r="J506" s="26" t="s">
        <v>3</v>
      </c>
      <c r="K506" s="26" t="s">
        <v>49</v>
      </c>
      <c r="L506" s="24">
        <v>0.93</v>
      </c>
      <c r="M506" s="26" t="s">
        <v>46</v>
      </c>
    </row>
    <row r="507" spans="1:13" x14ac:dyDescent="0.3">
      <c r="A507" s="27">
        <v>46013</v>
      </c>
      <c r="B507" s="28" t="s">
        <v>50</v>
      </c>
      <c r="C507" s="28" t="s">
        <v>754</v>
      </c>
      <c r="D507" s="27">
        <v>46013</v>
      </c>
      <c r="E507" s="28">
        <v>173.16</v>
      </c>
      <c r="F507" s="28">
        <v>0</v>
      </c>
      <c r="G507" s="28">
        <v>32646.400000000001</v>
      </c>
      <c r="H507" s="28"/>
      <c r="I507" s="28"/>
      <c r="J507" s="28" t="s">
        <v>4</v>
      </c>
      <c r="K507" s="28" t="s">
        <v>49</v>
      </c>
      <c r="L507" s="24">
        <v>0.97</v>
      </c>
      <c r="M507" s="28" t="s">
        <v>46</v>
      </c>
    </row>
    <row r="508" spans="1:13" x14ac:dyDescent="0.3">
      <c r="A508" s="25">
        <v>46014</v>
      </c>
      <c r="B508" s="26" t="s">
        <v>755</v>
      </c>
      <c r="C508" s="26" t="s">
        <v>756</v>
      </c>
      <c r="D508" s="25">
        <v>46014</v>
      </c>
      <c r="E508" s="26">
        <v>0</v>
      </c>
      <c r="F508" s="26">
        <v>14449.97</v>
      </c>
      <c r="G508" s="26">
        <v>47096.37</v>
      </c>
      <c r="H508" s="26"/>
      <c r="I508" s="26"/>
      <c r="J508" s="26" t="s">
        <v>3</v>
      </c>
      <c r="K508" s="26" t="s">
        <v>49</v>
      </c>
      <c r="L508" s="24">
        <v>0.93</v>
      </c>
      <c r="M508" s="26" t="s">
        <v>46</v>
      </c>
    </row>
    <row r="509" spans="1:13" x14ac:dyDescent="0.3">
      <c r="A509" s="25">
        <v>46014</v>
      </c>
      <c r="B509" s="26" t="s">
        <v>757</v>
      </c>
      <c r="C509" s="26" t="s">
        <v>758</v>
      </c>
      <c r="D509" s="25">
        <v>46014</v>
      </c>
      <c r="E509" s="26">
        <v>0</v>
      </c>
      <c r="F509" s="26">
        <v>1897.9</v>
      </c>
      <c r="G509" s="26">
        <v>48994.27</v>
      </c>
      <c r="H509" s="26"/>
      <c r="I509" s="26"/>
      <c r="J509" s="26" t="s">
        <v>3</v>
      </c>
      <c r="K509" s="26" t="s">
        <v>49</v>
      </c>
      <c r="L509" s="24">
        <v>0.93</v>
      </c>
      <c r="M509" s="26" t="s">
        <v>46</v>
      </c>
    </row>
    <row r="510" spans="1:13" x14ac:dyDescent="0.3">
      <c r="A510" s="27">
        <v>46014</v>
      </c>
      <c r="B510" s="28" t="s">
        <v>50</v>
      </c>
      <c r="C510" s="28" t="s">
        <v>759</v>
      </c>
      <c r="D510" s="27">
        <v>46014</v>
      </c>
      <c r="E510" s="28">
        <v>57.86</v>
      </c>
      <c r="F510" s="28">
        <v>0</v>
      </c>
      <c r="G510" s="28">
        <v>48936.41</v>
      </c>
      <c r="H510" s="28"/>
      <c r="I510" s="28"/>
      <c r="J510" s="28" t="s">
        <v>4</v>
      </c>
      <c r="K510" s="28" t="s">
        <v>49</v>
      </c>
      <c r="L510" s="24">
        <v>0.97</v>
      </c>
      <c r="M510" s="28" t="s">
        <v>46</v>
      </c>
    </row>
    <row r="511" spans="1:13" x14ac:dyDescent="0.3">
      <c r="A511" s="27">
        <v>46014</v>
      </c>
      <c r="B511" s="28" t="s">
        <v>50</v>
      </c>
      <c r="C511" s="28" t="s">
        <v>760</v>
      </c>
      <c r="D511" s="27">
        <v>46014</v>
      </c>
      <c r="E511" s="28">
        <v>294.05</v>
      </c>
      <c r="F511" s="28">
        <v>0</v>
      </c>
      <c r="G511" s="28">
        <v>48642.36</v>
      </c>
      <c r="H511" s="28"/>
      <c r="I511" s="28"/>
      <c r="J511" s="28" t="s">
        <v>4</v>
      </c>
      <c r="K511" s="28" t="s">
        <v>49</v>
      </c>
      <c r="L511" s="24">
        <v>0.97</v>
      </c>
      <c r="M511" s="28" t="s">
        <v>46</v>
      </c>
    </row>
    <row r="512" spans="1:13" x14ac:dyDescent="0.3">
      <c r="A512" s="27">
        <v>46015</v>
      </c>
      <c r="B512" s="28" t="s">
        <v>50</v>
      </c>
      <c r="C512" s="28" t="s">
        <v>761</v>
      </c>
      <c r="D512" s="27">
        <v>46015</v>
      </c>
      <c r="E512" s="28">
        <v>58.43</v>
      </c>
      <c r="F512" s="28">
        <v>0</v>
      </c>
      <c r="G512" s="28">
        <v>48583.93</v>
      </c>
      <c r="H512" s="28"/>
      <c r="I512" s="28"/>
      <c r="J512" s="28" t="s">
        <v>4</v>
      </c>
      <c r="K512" s="28" t="s">
        <v>49</v>
      </c>
      <c r="L512" s="24">
        <v>0.97</v>
      </c>
      <c r="M512" s="28" t="s">
        <v>46</v>
      </c>
    </row>
    <row r="513" spans="1:13" x14ac:dyDescent="0.3">
      <c r="A513" s="25">
        <v>46017</v>
      </c>
      <c r="B513" s="26" t="s">
        <v>762</v>
      </c>
      <c r="C513" s="26" t="s">
        <v>763</v>
      </c>
      <c r="D513" s="25">
        <v>46017</v>
      </c>
      <c r="E513" s="26">
        <v>0</v>
      </c>
      <c r="F513" s="26">
        <v>1147.56</v>
      </c>
      <c r="G513" s="26">
        <v>49731.49</v>
      </c>
      <c r="H513" s="26"/>
      <c r="I513" s="26"/>
      <c r="J513" s="26" t="s">
        <v>3</v>
      </c>
      <c r="K513" s="26" t="s">
        <v>49</v>
      </c>
      <c r="L513" s="24">
        <v>0.93</v>
      </c>
      <c r="M513" s="26" t="s">
        <v>46</v>
      </c>
    </row>
    <row r="514" spans="1:13" x14ac:dyDescent="0.3">
      <c r="A514" s="27">
        <v>46017</v>
      </c>
      <c r="B514" s="28" t="s">
        <v>50</v>
      </c>
      <c r="C514" s="28" t="s">
        <v>764</v>
      </c>
      <c r="D514" s="27">
        <v>46017</v>
      </c>
      <c r="E514" s="28">
        <v>116.86</v>
      </c>
      <c r="F514" s="28">
        <v>0</v>
      </c>
      <c r="G514" s="28">
        <v>49614.63</v>
      </c>
      <c r="H514" s="28"/>
      <c r="I514" s="28"/>
      <c r="J514" s="28" t="s">
        <v>4</v>
      </c>
      <c r="K514" s="28" t="s">
        <v>49</v>
      </c>
      <c r="L514" s="24">
        <v>0.97</v>
      </c>
      <c r="M514" s="28" t="s">
        <v>46</v>
      </c>
    </row>
    <row r="515" spans="1:13" x14ac:dyDescent="0.3">
      <c r="A515" s="27">
        <v>46017</v>
      </c>
      <c r="B515" s="28" t="s">
        <v>50</v>
      </c>
      <c r="C515" s="28" t="s">
        <v>765</v>
      </c>
      <c r="D515" s="27">
        <v>46017</v>
      </c>
      <c r="E515" s="28">
        <v>37432.6</v>
      </c>
      <c r="F515" s="28">
        <v>0</v>
      </c>
      <c r="G515" s="28">
        <v>12182.03</v>
      </c>
      <c r="H515" s="28"/>
      <c r="I515" s="28"/>
      <c r="J515" s="28" t="s">
        <v>4</v>
      </c>
      <c r="K515" s="28" t="s">
        <v>49</v>
      </c>
      <c r="L515" s="24">
        <v>0.97</v>
      </c>
      <c r="M515" s="28" t="s">
        <v>46</v>
      </c>
    </row>
    <row r="516" spans="1:13" x14ac:dyDescent="0.3">
      <c r="A516" s="22">
        <v>46020</v>
      </c>
      <c r="B516" s="23" t="s">
        <v>766</v>
      </c>
      <c r="C516" s="23" t="s">
        <v>767</v>
      </c>
      <c r="D516" s="22">
        <v>46020</v>
      </c>
      <c r="E516" s="23">
        <v>5000</v>
      </c>
      <c r="F516" s="23">
        <v>0</v>
      </c>
      <c r="G516" s="23">
        <v>7182.03</v>
      </c>
      <c r="H516" s="23"/>
      <c r="I516" s="23"/>
      <c r="J516" s="23" t="s">
        <v>2</v>
      </c>
      <c r="K516" s="23" t="s">
        <v>2</v>
      </c>
      <c r="L516" s="24">
        <v>0.95</v>
      </c>
      <c r="M516" s="23" t="s">
        <v>46</v>
      </c>
    </row>
    <row r="517" spans="1:13" x14ac:dyDescent="0.3">
      <c r="A517" s="27">
        <v>46020</v>
      </c>
      <c r="B517" s="28" t="s">
        <v>50</v>
      </c>
      <c r="C517" s="28" t="s">
        <v>768</v>
      </c>
      <c r="D517" s="27">
        <v>46020</v>
      </c>
      <c r="E517" s="28">
        <v>136.5</v>
      </c>
      <c r="F517" s="28">
        <v>0</v>
      </c>
      <c r="G517" s="28">
        <v>7045.53</v>
      </c>
      <c r="H517" s="28"/>
      <c r="I517" s="28"/>
      <c r="J517" s="28" t="s">
        <v>4</v>
      </c>
      <c r="K517" s="28" t="s">
        <v>49</v>
      </c>
      <c r="L517" s="24">
        <v>0.97</v>
      </c>
      <c r="M517" s="28" t="s">
        <v>46</v>
      </c>
    </row>
    <row r="518" spans="1:13" x14ac:dyDescent="0.3">
      <c r="A518" s="27">
        <v>46020</v>
      </c>
      <c r="B518" s="28" t="s">
        <v>50</v>
      </c>
      <c r="C518" s="28" t="s">
        <v>769</v>
      </c>
      <c r="D518" s="27">
        <v>46020</v>
      </c>
      <c r="E518" s="28">
        <v>2014.32</v>
      </c>
      <c r="F518" s="28">
        <v>0</v>
      </c>
      <c r="G518" s="28">
        <v>5031.21</v>
      </c>
      <c r="H518" s="28"/>
      <c r="I518" s="28"/>
      <c r="J518" s="28" t="s">
        <v>4</v>
      </c>
      <c r="K518" s="28" t="s">
        <v>49</v>
      </c>
      <c r="L518" s="24">
        <v>0.97</v>
      </c>
      <c r="M518" s="28" t="s">
        <v>46</v>
      </c>
    </row>
    <row r="519" spans="1:13" x14ac:dyDescent="0.3">
      <c r="A519" s="22">
        <v>46021</v>
      </c>
      <c r="B519" s="23" t="s">
        <v>770</v>
      </c>
      <c r="C519" s="23" t="s">
        <v>771</v>
      </c>
      <c r="D519" s="22">
        <v>46021</v>
      </c>
      <c r="E519" s="23">
        <v>5000</v>
      </c>
      <c r="F519" s="23">
        <v>0</v>
      </c>
      <c r="G519" s="23">
        <v>31.21</v>
      </c>
      <c r="H519" s="23"/>
      <c r="I519" s="23"/>
      <c r="J519" s="23" t="s">
        <v>2</v>
      </c>
      <c r="K519" s="23" t="s">
        <v>2</v>
      </c>
      <c r="L519" s="24">
        <v>0.95</v>
      </c>
      <c r="M519" s="23" t="s">
        <v>46</v>
      </c>
    </row>
    <row r="520" spans="1:13" x14ac:dyDescent="0.3">
      <c r="A520" s="27">
        <v>46021</v>
      </c>
      <c r="B520" s="28" t="s">
        <v>50</v>
      </c>
      <c r="C520" s="28" t="s">
        <v>772</v>
      </c>
      <c r="D520" s="27">
        <v>46021</v>
      </c>
      <c r="E520" s="28">
        <v>31.21</v>
      </c>
      <c r="F520" s="28">
        <v>0</v>
      </c>
      <c r="G520" s="28">
        <v>0</v>
      </c>
      <c r="H520" s="28"/>
      <c r="I520" s="28"/>
      <c r="J520" s="28" t="s">
        <v>4</v>
      </c>
      <c r="K520" s="28" t="s">
        <v>49</v>
      </c>
      <c r="L520" s="24">
        <v>0.97</v>
      </c>
      <c r="M520" s="28" t="s">
        <v>46</v>
      </c>
    </row>
    <row r="521" spans="1:13" x14ac:dyDescent="0.3">
      <c r="A521" s="55">
        <v>46023</v>
      </c>
      <c r="B521" s="56" t="s">
        <v>773</v>
      </c>
      <c r="C521" s="56" t="s">
        <v>83</v>
      </c>
      <c r="D521" s="55">
        <v>46022</v>
      </c>
      <c r="E521" s="56">
        <v>0</v>
      </c>
      <c r="F521" s="56">
        <v>253</v>
      </c>
      <c r="G521" s="56">
        <v>253</v>
      </c>
      <c r="H521" s="56"/>
      <c r="I521" s="56"/>
      <c r="J521" s="56" t="s">
        <v>22</v>
      </c>
      <c r="K521" s="56" t="s">
        <v>22</v>
      </c>
      <c r="L521" s="24">
        <v>0.95</v>
      </c>
      <c r="M521" s="56" t="s">
        <v>46</v>
      </c>
    </row>
    <row r="522" spans="1:13" x14ac:dyDescent="0.3">
      <c r="A522" s="25">
        <v>46023</v>
      </c>
      <c r="B522" s="26" t="s">
        <v>774</v>
      </c>
      <c r="C522" s="26" t="s">
        <v>775</v>
      </c>
      <c r="D522" s="25">
        <v>46023</v>
      </c>
      <c r="E522" s="26">
        <v>0</v>
      </c>
      <c r="F522" s="26">
        <v>27977.29</v>
      </c>
      <c r="G522" s="26">
        <v>28230.29</v>
      </c>
      <c r="H522" s="26"/>
      <c r="I522" s="26"/>
      <c r="J522" s="26" t="s">
        <v>3</v>
      </c>
      <c r="K522" s="26" t="s">
        <v>49</v>
      </c>
      <c r="L522" s="24">
        <v>0.93</v>
      </c>
      <c r="M522" s="26" t="s">
        <v>46</v>
      </c>
    </row>
    <row r="523" spans="1:13" x14ac:dyDescent="0.3">
      <c r="A523" s="25">
        <v>46023</v>
      </c>
      <c r="B523" s="26" t="s">
        <v>776</v>
      </c>
      <c r="C523" s="26" t="s">
        <v>777</v>
      </c>
      <c r="D523" s="25">
        <v>46023</v>
      </c>
      <c r="E523" s="26">
        <v>0</v>
      </c>
      <c r="F523" s="26">
        <v>8894.89</v>
      </c>
      <c r="G523" s="26">
        <v>37125.18</v>
      </c>
      <c r="H523" s="26"/>
      <c r="I523" s="26"/>
      <c r="J523" s="26" t="s">
        <v>3</v>
      </c>
      <c r="K523" s="26" t="s">
        <v>49</v>
      </c>
      <c r="L523" s="24">
        <v>0.93</v>
      </c>
      <c r="M523" s="26" t="s">
        <v>46</v>
      </c>
    </row>
    <row r="524" spans="1:13" x14ac:dyDescent="0.3">
      <c r="A524" s="27">
        <v>46023</v>
      </c>
      <c r="B524" s="28" t="s">
        <v>50</v>
      </c>
      <c r="C524" s="28" t="s">
        <v>778</v>
      </c>
      <c r="D524" s="27">
        <v>46023</v>
      </c>
      <c r="E524" s="28">
        <v>70.89</v>
      </c>
      <c r="F524" s="28">
        <v>0</v>
      </c>
      <c r="G524" s="28">
        <v>37054.29</v>
      </c>
      <c r="H524" s="28"/>
      <c r="I524" s="28"/>
      <c r="J524" s="28" t="s">
        <v>4</v>
      </c>
      <c r="K524" s="28" t="s">
        <v>49</v>
      </c>
      <c r="L524" s="24">
        <v>0.97</v>
      </c>
      <c r="M524" s="28" t="s">
        <v>46</v>
      </c>
    </row>
    <row r="525" spans="1:13" x14ac:dyDescent="0.3">
      <c r="A525" s="25">
        <v>46024</v>
      </c>
      <c r="B525" s="26" t="s">
        <v>779</v>
      </c>
      <c r="C525" s="26" t="s">
        <v>780</v>
      </c>
      <c r="D525" s="25">
        <v>46024</v>
      </c>
      <c r="E525" s="26">
        <v>0</v>
      </c>
      <c r="F525" s="26">
        <v>253.39</v>
      </c>
      <c r="G525" s="26">
        <v>37307.68</v>
      </c>
      <c r="H525" s="26"/>
      <c r="I525" s="26"/>
      <c r="J525" s="26" t="s">
        <v>3</v>
      </c>
      <c r="K525" s="26" t="s">
        <v>49</v>
      </c>
      <c r="L525" s="24">
        <v>0.93</v>
      </c>
      <c r="M525" s="26" t="s">
        <v>46</v>
      </c>
    </row>
    <row r="526" spans="1:13" x14ac:dyDescent="0.3">
      <c r="A526" s="27">
        <v>46024</v>
      </c>
      <c r="B526" s="28" t="s">
        <v>50</v>
      </c>
      <c r="C526" s="28" t="s">
        <v>781</v>
      </c>
      <c r="D526" s="27">
        <v>46024</v>
      </c>
      <c r="E526" s="28">
        <v>65.319999999999993</v>
      </c>
      <c r="F526" s="28">
        <v>0</v>
      </c>
      <c r="G526" s="28">
        <v>37242.36</v>
      </c>
      <c r="H526" s="28"/>
      <c r="I526" s="28"/>
      <c r="J526" s="28" t="s">
        <v>4</v>
      </c>
      <c r="K526" s="28" t="s">
        <v>49</v>
      </c>
      <c r="L526" s="24">
        <v>0.97</v>
      </c>
      <c r="M526" s="28" t="s">
        <v>46</v>
      </c>
    </row>
    <row r="527" spans="1:13" x14ac:dyDescent="0.3">
      <c r="A527" s="29">
        <v>46024</v>
      </c>
      <c r="B527" s="30" t="s">
        <v>59</v>
      </c>
      <c r="C527" s="30" t="s">
        <v>782</v>
      </c>
      <c r="D527" s="29">
        <v>46024</v>
      </c>
      <c r="E527" s="30">
        <v>0</v>
      </c>
      <c r="F527" s="30">
        <v>1627.68</v>
      </c>
      <c r="G527" s="30">
        <v>38870.04</v>
      </c>
      <c r="H527" s="30"/>
      <c r="I527" s="30"/>
      <c r="J527" s="30" t="s">
        <v>5</v>
      </c>
      <c r="K527" s="30" t="s">
        <v>49</v>
      </c>
      <c r="L527" s="24">
        <v>0.97</v>
      </c>
      <c r="M527" s="30" t="s">
        <v>46</v>
      </c>
    </row>
    <row r="528" spans="1:13" x14ac:dyDescent="0.3">
      <c r="A528" s="27">
        <v>46027</v>
      </c>
      <c r="B528" s="28" t="s">
        <v>50</v>
      </c>
      <c r="C528" s="28" t="s">
        <v>783</v>
      </c>
      <c r="D528" s="27">
        <v>46027</v>
      </c>
      <c r="E528" s="28">
        <v>197.97</v>
      </c>
      <c r="F528" s="28">
        <v>0</v>
      </c>
      <c r="G528" s="28">
        <v>38672.07</v>
      </c>
      <c r="H528" s="28"/>
      <c r="I528" s="28"/>
      <c r="J528" s="28" t="s">
        <v>4</v>
      </c>
      <c r="K528" s="28" t="s">
        <v>49</v>
      </c>
      <c r="L528" s="24">
        <v>0.97</v>
      </c>
      <c r="M528" s="28" t="s">
        <v>46</v>
      </c>
    </row>
    <row r="529" spans="1:13" x14ac:dyDescent="0.3">
      <c r="A529" s="27">
        <v>46027</v>
      </c>
      <c r="B529" s="28" t="s">
        <v>50</v>
      </c>
      <c r="C529" s="28" t="s">
        <v>784</v>
      </c>
      <c r="D529" s="27">
        <v>46027</v>
      </c>
      <c r="E529" s="28">
        <v>49.27</v>
      </c>
      <c r="F529" s="28">
        <v>0</v>
      </c>
      <c r="G529" s="28">
        <v>38622.800000000003</v>
      </c>
      <c r="H529" s="28"/>
      <c r="I529" s="28"/>
      <c r="J529" s="28" t="s">
        <v>4</v>
      </c>
      <c r="K529" s="28" t="s">
        <v>49</v>
      </c>
      <c r="L529" s="24">
        <v>0.97</v>
      </c>
      <c r="M529" s="28" t="s">
        <v>46</v>
      </c>
    </row>
    <row r="530" spans="1:13" x14ac:dyDescent="0.3">
      <c r="A530" s="27">
        <v>46028</v>
      </c>
      <c r="B530" s="28" t="s">
        <v>50</v>
      </c>
      <c r="C530" s="28" t="s">
        <v>785</v>
      </c>
      <c r="D530" s="27">
        <v>46028</v>
      </c>
      <c r="E530" s="28">
        <v>65.97</v>
      </c>
      <c r="F530" s="28">
        <v>0</v>
      </c>
      <c r="G530" s="28">
        <v>38556.83</v>
      </c>
      <c r="H530" s="28"/>
      <c r="I530" s="28"/>
      <c r="J530" s="28" t="s">
        <v>4</v>
      </c>
      <c r="K530" s="28" t="s">
        <v>49</v>
      </c>
      <c r="L530" s="24">
        <v>0.97</v>
      </c>
      <c r="M530" s="28" t="s">
        <v>46</v>
      </c>
    </row>
    <row r="531" spans="1:13" x14ac:dyDescent="0.3">
      <c r="A531" s="27">
        <v>46028</v>
      </c>
      <c r="B531" s="28" t="s">
        <v>50</v>
      </c>
      <c r="C531" s="28" t="s">
        <v>786</v>
      </c>
      <c r="D531" s="27">
        <v>46028</v>
      </c>
      <c r="E531" s="28">
        <v>4080.19</v>
      </c>
      <c r="F531" s="28">
        <v>0</v>
      </c>
      <c r="G531" s="28">
        <v>34476.639999999999</v>
      </c>
      <c r="H531" s="28"/>
      <c r="I531" s="28"/>
      <c r="J531" s="28" t="s">
        <v>4</v>
      </c>
      <c r="K531" s="28" t="s">
        <v>49</v>
      </c>
      <c r="L531" s="24">
        <v>0.97</v>
      </c>
      <c r="M531" s="28" t="s">
        <v>46</v>
      </c>
    </row>
    <row r="532" spans="1:13" x14ac:dyDescent="0.3">
      <c r="A532" s="31">
        <v>46029</v>
      </c>
      <c r="B532" s="32" t="s">
        <v>787</v>
      </c>
      <c r="C532" s="32" t="s">
        <v>788</v>
      </c>
      <c r="D532" s="31">
        <v>46029</v>
      </c>
      <c r="E532" s="32">
        <v>0</v>
      </c>
      <c r="F532" s="32">
        <v>1880</v>
      </c>
      <c r="G532" s="32">
        <v>36356.639999999999</v>
      </c>
      <c r="H532" s="32"/>
      <c r="I532" s="32"/>
      <c r="J532" s="32" t="s">
        <v>6</v>
      </c>
      <c r="K532" s="32" t="s">
        <v>63</v>
      </c>
      <c r="L532" s="24">
        <v>0.95</v>
      </c>
      <c r="M532" s="32" t="s">
        <v>46</v>
      </c>
    </row>
    <row r="533" spans="1:13" x14ac:dyDescent="0.3">
      <c r="A533" s="27">
        <v>46029</v>
      </c>
      <c r="B533" s="28" t="s">
        <v>50</v>
      </c>
      <c r="C533" s="28" t="s">
        <v>789</v>
      </c>
      <c r="D533" s="27">
        <v>46029</v>
      </c>
      <c r="E533" s="28">
        <v>64.52</v>
      </c>
      <c r="F533" s="28">
        <v>0</v>
      </c>
      <c r="G533" s="28">
        <v>36292.120000000003</v>
      </c>
      <c r="H533" s="28"/>
      <c r="I533" s="28"/>
      <c r="J533" s="28" t="s">
        <v>4</v>
      </c>
      <c r="K533" s="28" t="s">
        <v>49</v>
      </c>
      <c r="L533" s="24">
        <v>0.97</v>
      </c>
      <c r="M533" s="28" t="s">
        <v>46</v>
      </c>
    </row>
    <row r="534" spans="1:13" x14ac:dyDescent="0.3">
      <c r="A534" s="25">
        <v>46030</v>
      </c>
      <c r="B534" s="26" t="s">
        <v>790</v>
      </c>
      <c r="C534" s="26" t="s">
        <v>791</v>
      </c>
      <c r="D534" s="25">
        <v>46030</v>
      </c>
      <c r="E534" s="26">
        <v>0</v>
      </c>
      <c r="F534" s="26">
        <v>79</v>
      </c>
      <c r="G534" s="26">
        <v>36371.120000000003</v>
      </c>
      <c r="H534" s="26"/>
      <c r="I534" s="26"/>
      <c r="J534" s="26" t="s">
        <v>3</v>
      </c>
      <c r="K534" s="26" t="s">
        <v>49</v>
      </c>
      <c r="L534" s="24">
        <v>0.93</v>
      </c>
      <c r="M534" s="26" t="s">
        <v>46</v>
      </c>
    </row>
    <row r="535" spans="1:13" x14ac:dyDescent="0.3">
      <c r="A535" s="27">
        <v>46030</v>
      </c>
      <c r="B535" s="28" t="s">
        <v>50</v>
      </c>
      <c r="C535" s="28" t="s">
        <v>792</v>
      </c>
      <c r="D535" s="27">
        <v>46030</v>
      </c>
      <c r="E535" s="28">
        <v>64.52</v>
      </c>
      <c r="F535" s="28">
        <v>0</v>
      </c>
      <c r="G535" s="28">
        <v>36306.6</v>
      </c>
      <c r="H535" s="28"/>
      <c r="I535" s="28"/>
      <c r="J535" s="28" t="s">
        <v>4</v>
      </c>
      <c r="K535" s="28" t="s">
        <v>49</v>
      </c>
      <c r="L535" s="24">
        <v>0.97</v>
      </c>
      <c r="M535" s="28" t="s">
        <v>46</v>
      </c>
    </row>
    <row r="536" spans="1:13" x14ac:dyDescent="0.3">
      <c r="A536" s="33">
        <v>46030</v>
      </c>
      <c r="B536" s="34" t="s">
        <v>793</v>
      </c>
      <c r="C536" s="34" t="s">
        <v>794</v>
      </c>
      <c r="D536" s="33">
        <v>46030</v>
      </c>
      <c r="E536" s="34">
        <v>295</v>
      </c>
      <c r="F536" s="34">
        <v>0</v>
      </c>
      <c r="G536" s="34">
        <v>36011.599999999999</v>
      </c>
      <c r="H536" s="34"/>
      <c r="I536" s="34"/>
      <c r="J536" s="34" t="s">
        <v>7</v>
      </c>
      <c r="K536" s="34" t="s">
        <v>7</v>
      </c>
      <c r="L536" s="24">
        <v>0.9</v>
      </c>
      <c r="M536" s="34" t="s">
        <v>46</v>
      </c>
    </row>
    <row r="537" spans="1:13" x14ac:dyDescent="0.3">
      <c r="A537" s="27">
        <v>46030</v>
      </c>
      <c r="B537" s="28" t="s">
        <v>50</v>
      </c>
      <c r="C537" s="28" t="s">
        <v>795</v>
      </c>
      <c r="D537" s="27">
        <v>46030</v>
      </c>
      <c r="E537" s="28">
        <v>2547.16</v>
      </c>
      <c r="F537" s="28">
        <v>0</v>
      </c>
      <c r="G537" s="28">
        <v>33464.44</v>
      </c>
      <c r="H537" s="28"/>
      <c r="I537" s="28"/>
      <c r="J537" s="28" t="s">
        <v>4</v>
      </c>
      <c r="K537" s="28" t="s">
        <v>49</v>
      </c>
      <c r="L537" s="24">
        <v>0.97</v>
      </c>
      <c r="M537" s="28" t="s">
        <v>46</v>
      </c>
    </row>
    <row r="538" spans="1:13" x14ac:dyDescent="0.3">
      <c r="A538" s="27">
        <v>46031</v>
      </c>
      <c r="B538" s="28" t="s">
        <v>50</v>
      </c>
      <c r="C538" s="28" t="s">
        <v>796</v>
      </c>
      <c r="D538" s="27">
        <v>46031</v>
      </c>
      <c r="E538" s="28">
        <v>63.64</v>
      </c>
      <c r="F538" s="28">
        <v>0</v>
      </c>
      <c r="G538" s="28">
        <v>33400.800000000003</v>
      </c>
      <c r="H538" s="28"/>
      <c r="I538" s="28"/>
      <c r="J538" s="28" t="s">
        <v>4</v>
      </c>
      <c r="K538" s="28" t="s">
        <v>49</v>
      </c>
      <c r="L538" s="24">
        <v>0.97</v>
      </c>
      <c r="M538" s="28" t="s">
        <v>46</v>
      </c>
    </row>
    <row r="539" spans="1:13" x14ac:dyDescent="0.3">
      <c r="A539" s="27">
        <v>46031</v>
      </c>
      <c r="B539" s="28" t="s">
        <v>50</v>
      </c>
      <c r="C539" s="28" t="s">
        <v>797</v>
      </c>
      <c r="D539" s="27">
        <v>46031</v>
      </c>
      <c r="E539" s="28">
        <v>1507.51</v>
      </c>
      <c r="F539" s="28">
        <v>0</v>
      </c>
      <c r="G539" s="28">
        <v>31893.29</v>
      </c>
      <c r="H539" s="28"/>
      <c r="I539" s="28"/>
      <c r="J539" s="28" t="s">
        <v>4</v>
      </c>
      <c r="K539" s="28" t="s">
        <v>49</v>
      </c>
      <c r="L539" s="24">
        <v>0.97</v>
      </c>
      <c r="M539" s="28" t="s">
        <v>46</v>
      </c>
    </row>
    <row r="540" spans="1:13" x14ac:dyDescent="0.3">
      <c r="A540" s="27">
        <v>46034</v>
      </c>
      <c r="B540" s="28" t="s">
        <v>50</v>
      </c>
      <c r="C540" s="28" t="s">
        <v>798</v>
      </c>
      <c r="D540" s="27">
        <v>46034</v>
      </c>
      <c r="E540" s="28">
        <v>189.3</v>
      </c>
      <c r="F540" s="28">
        <v>0</v>
      </c>
      <c r="G540" s="28">
        <v>31703.99</v>
      </c>
      <c r="H540" s="28"/>
      <c r="I540" s="28"/>
      <c r="J540" s="28" t="s">
        <v>4</v>
      </c>
      <c r="K540" s="28" t="s">
        <v>49</v>
      </c>
      <c r="L540" s="24">
        <v>0.97</v>
      </c>
      <c r="M540" s="28" t="s">
        <v>46</v>
      </c>
    </row>
    <row r="541" spans="1:13" x14ac:dyDescent="0.3">
      <c r="A541" s="25">
        <v>46035</v>
      </c>
      <c r="B541" s="26" t="s">
        <v>799</v>
      </c>
      <c r="C541" s="26" t="s">
        <v>800</v>
      </c>
      <c r="D541" s="25">
        <v>46035</v>
      </c>
      <c r="E541" s="26">
        <v>0</v>
      </c>
      <c r="F541" s="26">
        <v>836.73</v>
      </c>
      <c r="G541" s="26">
        <v>32540.720000000001</v>
      </c>
      <c r="H541" s="26"/>
      <c r="I541" s="26"/>
      <c r="J541" s="26" t="s">
        <v>3</v>
      </c>
      <c r="K541" s="26" t="s">
        <v>49</v>
      </c>
      <c r="L541" s="24">
        <v>0.93</v>
      </c>
      <c r="M541" s="26" t="s">
        <v>46</v>
      </c>
    </row>
    <row r="542" spans="1:13" x14ac:dyDescent="0.3">
      <c r="A542" s="27">
        <v>46035</v>
      </c>
      <c r="B542" s="28" t="s">
        <v>50</v>
      </c>
      <c r="C542" s="28" t="s">
        <v>801</v>
      </c>
      <c r="D542" s="27">
        <v>46035</v>
      </c>
      <c r="E542" s="28">
        <v>63.1</v>
      </c>
      <c r="F542" s="28">
        <v>0</v>
      </c>
      <c r="G542" s="28">
        <v>32477.62</v>
      </c>
      <c r="H542" s="28"/>
      <c r="I542" s="28"/>
      <c r="J542" s="28" t="s">
        <v>4</v>
      </c>
      <c r="K542" s="28" t="s">
        <v>49</v>
      </c>
      <c r="L542" s="24">
        <v>0.97</v>
      </c>
      <c r="M542" s="28" t="s">
        <v>46</v>
      </c>
    </row>
    <row r="543" spans="1:13" x14ac:dyDescent="0.3">
      <c r="A543" s="35">
        <v>46035</v>
      </c>
      <c r="B543" s="36" t="s">
        <v>802</v>
      </c>
      <c r="C543" s="36" t="s">
        <v>83</v>
      </c>
      <c r="D543" s="35">
        <v>46035</v>
      </c>
      <c r="E543" s="36">
        <v>82.6</v>
      </c>
      <c r="F543" s="36">
        <v>0</v>
      </c>
      <c r="G543" s="36">
        <v>32395.02</v>
      </c>
      <c r="H543" s="36"/>
      <c r="I543" s="36"/>
      <c r="J543" s="36" t="s">
        <v>9</v>
      </c>
      <c r="K543" s="36" t="s">
        <v>9</v>
      </c>
      <c r="L543" s="24">
        <v>0.93</v>
      </c>
      <c r="M543" s="36" t="s">
        <v>46</v>
      </c>
    </row>
    <row r="544" spans="1:13" x14ac:dyDescent="0.3">
      <c r="A544" s="27">
        <v>46035</v>
      </c>
      <c r="B544" s="28" t="s">
        <v>50</v>
      </c>
      <c r="C544" s="28" t="s">
        <v>803</v>
      </c>
      <c r="D544" s="27">
        <v>46035</v>
      </c>
      <c r="E544" s="28">
        <v>2035.9</v>
      </c>
      <c r="F544" s="28">
        <v>0</v>
      </c>
      <c r="G544" s="28">
        <v>30359.119999999999</v>
      </c>
      <c r="H544" s="28"/>
      <c r="I544" s="28"/>
      <c r="J544" s="28" t="s">
        <v>4</v>
      </c>
      <c r="K544" s="28" t="s">
        <v>49</v>
      </c>
      <c r="L544" s="24">
        <v>0.97</v>
      </c>
      <c r="M544" s="28" t="s">
        <v>46</v>
      </c>
    </row>
    <row r="545" spans="1:13" x14ac:dyDescent="0.3">
      <c r="A545" s="27">
        <v>46036</v>
      </c>
      <c r="B545" s="28" t="s">
        <v>50</v>
      </c>
      <c r="C545" s="28" t="s">
        <v>804</v>
      </c>
      <c r="D545" s="27">
        <v>46036</v>
      </c>
      <c r="E545" s="28">
        <v>62.67</v>
      </c>
      <c r="F545" s="28">
        <v>0</v>
      </c>
      <c r="G545" s="28">
        <v>30296.45</v>
      </c>
      <c r="H545" s="28"/>
      <c r="I545" s="28"/>
      <c r="J545" s="28" t="s">
        <v>4</v>
      </c>
      <c r="K545" s="28" t="s">
        <v>49</v>
      </c>
      <c r="L545" s="24">
        <v>0.97</v>
      </c>
      <c r="M545" s="28" t="s">
        <v>46</v>
      </c>
    </row>
    <row r="546" spans="1:13" x14ac:dyDescent="0.3">
      <c r="A546" s="25">
        <v>46038</v>
      </c>
      <c r="B546" s="26" t="s">
        <v>805</v>
      </c>
      <c r="C546" s="26" t="s">
        <v>806</v>
      </c>
      <c r="D546" s="25">
        <v>46038</v>
      </c>
      <c r="E546" s="26">
        <v>0</v>
      </c>
      <c r="F546" s="26">
        <v>697.51</v>
      </c>
      <c r="G546" s="26">
        <v>30993.96</v>
      </c>
      <c r="H546" s="26"/>
      <c r="I546" s="26"/>
      <c r="J546" s="26" t="s">
        <v>3</v>
      </c>
      <c r="K546" s="26" t="s">
        <v>49</v>
      </c>
      <c r="L546" s="24">
        <v>0.93</v>
      </c>
      <c r="M546" s="26" t="s">
        <v>46</v>
      </c>
    </row>
    <row r="547" spans="1:13" x14ac:dyDescent="0.3">
      <c r="A547" s="27">
        <v>46038</v>
      </c>
      <c r="B547" s="28" t="s">
        <v>50</v>
      </c>
      <c r="C547" s="28" t="s">
        <v>807</v>
      </c>
      <c r="D547" s="27">
        <v>46038</v>
      </c>
      <c r="E547" s="28">
        <v>125.34</v>
      </c>
      <c r="F547" s="28">
        <v>0</v>
      </c>
      <c r="G547" s="28">
        <v>30868.62</v>
      </c>
      <c r="H547" s="28"/>
      <c r="I547" s="28"/>
      <c r="J547" s="28" t="s">
        <v>4</v>
      </c>
      <c r="K547" s="28" t="s">
        <v>49</v>
      </c>
      <c r="L547" s="24">
        <v>0.97</v>
      </c>
      <c r="M547" s="28" t="s">
        <v>46</v>
      </c>
    </row>
    <row r="548" spans="1:13" x14ac:dyDescent="0.3">
      <c r="A548" s="27">
        <v>46038</v>
      </c>
      <c r="B548" s="28" t="s">
        <v>50</v>
      </c>
      <c r="C548" s="28" t="s">
        <v>808</v>
      </c>
      <c r="D548" s="27">
        <v>46038</v>
      </c>
      <c r="E548" s="28">
        <v>1079.57</v>
      </c>
      <c r="F548" s="28">
        <v>0</v>
      </c>
      <c r="G548" s="28">
        <v>29789.05</v>
      </c>
      <c r="H548" s="28"/>
      <c r="I548" s="28"/>
      <c r="J548" s="28" t="s">
        <v>4</v>
      </c>
      <c r="K548" s="28" t="s">
        <v>49</v>
      </c>
      <c r="L548" s="24">
        <v>0.97</v>
      </c>
      <c r="M548" s="28" t="s">
        <v>46</v>
      </c>
    </row>
    <row r="549" spans="1:13" x14ac:dyDescent="0.3">
      <c r="A549" s="27">
        <v>46041</v>
      </c>
      <c r="B549" s="28" t="s">
        <v>50</v>
      </c>
      <c r="C549" s="28" t="s">
        <v>809</v>
      </c>
      <c r="D549" s="27">
        <v>46041</v>
      </c>
      <c r="E549" s="28">
        <v>187.62</v>
      </c>
      <c r="F549" s="28">
        <v>0</v>
      </c>
      <c r="G549" s="28">
        <v>29601.43</v>
      </c>
      <c r="H549" s="28"/>
      <c r="I549" s="28"/>
      <c r="J549" s="28" t="s">
        <v>4</v>
      </c>
      <c r="K549" s="28" t="s">
        <v>49</v>
      </c>
      <c r="L549" s="24">
        <v>0.97</v>
      </c>
      <c r="M549" s="28" t="s">
        <v>46</v>
      </c>
    </row>
    <row r="550" spans="1:13" x14ac:dyDescent="0.3">
      <c r="A550" s="25">
        <v>46042</v>
      </c>
      <c r="B550" s="26" t="s">
        <v>810</v>
      </c>
      <c r="C550" s="26" t="s">
        <v>811</v>
      </c>
      <c r="D550" s="25">
        <v>46042</v>
      </c>
      <c r="E550" s="26">
        <v>0</v>
      </c>
      <c r="F550" s="26">
        <v>436.02</v>
      </c>
      <c r="G550" s="26">
        <v>30037.45</v>
      </c>
      <c r="H550" s="26"/>
      <c r="I550" s="26"/>
      <c r="J550" s="26" t="s">
        <v>3</v>
      </c>
      <c r="K550" s="26" t="s">
        <v>49</v>
      </c>
      <c r="L550" s="24">
        <v>0.93</v>
      </c>
      <c r="M550" s="26" t="s">
        <v>46</v>
      </c>
    </row>
    <row r="551" spans="1:13" x14ac:dyDescent="0.3">
      <c r="A551" s="27">
        <v>46042</v>
      </c>
      <c r="B551" s="28" t="s">
        <v>50</v>
      </c>
      <c r="C551" s="28" t="s">
        <v>812</v>
      </c>
      <c r="D551" s="27">
        <v>46042</v>
      </c>
      <c r="E551" s="28">
        <v>62.54</v>
      </c>
      <c r="F551" s="28">
        <v>0</v>
      </c>
      <c r="G551" s="28">
        <v>29974.91</v>
      </c>
      <c r="H551" s="28"/>
      <c r="I551" s="28"/>
      <c r="J551" s="28" t="s">
        <v>4</v>
      </c>
      <c r="K551" s="28" t="s">
        <v>49</v>
      </c>
      <c r="L551" s="24">
        <v>0.97</v>
      </c>
      <c r="M551" s="28" t="s">
        <v>46</v>
      </c>
    </row>
    <row r="552" spans="1:13" x14ac:dyDescent="0.3">
      <c r="A552" s="27">
        <v>46042</v>
      </c>
      <c r="B552" s="28" t="s">
        <v>50</v>
      </c>
      <c r="C552" s="28" t="s">
        <v>813</v>
      </c>
      <c r="D552" s="27">
        <v>46042</v>
      </c>
      <c r="E552" s="28">
        <v>2744.55</v>
      </c>
      <c r="F552" s="28">
        <v>0</v>
      </c>
      <c r="G552" s="28">
        <v>27230.36</v>
      </c>
      <c r="H552" s="28"/>
      <c r="I552" s="28"/>
      <c r="J552" s="28" t="s">
        <v>4</v>
      </c>
      <c r="K552" s="28" t="s">
        <v>49</v>
      </c>
      <c r="L552" s="24">
        <v>0.97</v>
      </c>
      <c r="M552" s="28" t="s">
        <v>46</v>
      </c>
    </row>
    <row r="553" spans="1:13" x14ac:dyDescent="0.3">
      <c r="A553" s="27">
        <v>46043</v>
      </c>
      <c r="B553" s="28" t="s">
        <v>50</v>
      </c>
      <c r="C553" s="28" t="s">
        <v>814</v>
      </c>
      <c r="D553" s="27">
        <v>46043</v>
      </c>
      <c r="E553" s="28">
        <v>61.71</v>
      </c>
      <c r="F553" s="28">
        <v>0</v>
      </c>
      <c r="G553" s="28">
        <v>27168.65</v>
      </c>
      <c r="H553" s="28"/>
      <c r="I553" s="28"/>
      <c r="J553" s="28" t="s">
        <v>4</v>
      </c>
      <c r="K553" s="28" t="s">
        <v>49</v>
      </c>
      <c r="L553" s="24">
        <v>0.97</v>
      </c>
      <c r="M553" s="28" t="s">
        <v>46</v>
      </c>
    </row>
    <row r="554" spans="1:13" x14ac:dyDescent="0.3">
      <c r="A554" s="27">
        <v>46043</v>
      </c>
      <c r="B554" s="28" t="s">
        <v>50</v>
      </c>
      <c r="C554" s="28" t="s">
        <v>815</v>
      </c>
      <c r="D554" s="27">
        <v>46043</v>
      </c>
      <c r="E554" s="28">
        <v>1847.74</v>
      </c>
      <c r="F554" s="28">
        <v>0</v>
      </c>
      <c r="G554" s="28">
        <v>25320.91</v>
      </c>
      <c r="H554" s="28"/>
      <c r="I554" s="28"/>
      <c r="J554" s="28" t="s">
        <v>4</v>
      </c>
      <c r="K554" s="28" t="s">
        <v>49</v>
      </c>
      <c r="L554" s="24">
        <v>0.97</v>
      </c>
      <c r="M554" s="28" t="s">
        <v>46</v>
      </c>
    </row>
    <row r="555" spans="1:13" x14ac:dyDescent="0.3">
      <c r="A555" s="27">
        <v>46044</v>
      </c>
      <c r="B555" s="28" t="s">
        <v>50</v>
      </c>
      <c r="C555" s="28" t="s">
        <v>816</v>
      </c>
      <c r="D555" s="27">
        <v>46044</v>
      </c>
      <c r="E555" s="28">
        <v>61.06</v>
      </c>
      <c r="F555" s="28">
        <v>0</v>
      </c>
      <c r="G555" s="28">
        <v>25259.85</v>
      </c>
      <c r="H555" s="28"/>
      <c r="I555" s="28"/>
      <c r="J555" s="28" t="s">
        <v>4</v>
      </c>
      <c r="K555" s="28" t="s">
        <v>49</v>
      </c>
      <c r="L555" s="24">
        <v>0.97</v>
      </c>
      <c r="M555" s="28" t="s">
        <v>46</v>
      </c>
    </row>
    <row r="556" spans="1:13" x14ac:dyDescent="0.3">
      <c r="A556" s="25">
        <v>46045</v>
      </c>
      <c r="B556" s="26" t="s">
        <v>817</v>
      </c>
      <c r="C556" s="26" t="s">
        <v>818</v>
      </c>
      <c r="D556" s="25">
        <v>46045</v>
      </c>
      <c r="E556" s="26">
        <v>0</v>
      </c>
      <c r="F556" s="26">
        <v>1929.96</v>
      </c>
      <c r="G556" s="26">
        <v>27189.81</v>
      </c>
      <c r="H556" s="26"/>
      <c r="I556" s="26"/>
      <c r="J556" s="26" t="s">
        <v>3</v>
      </c>
      <c r="K556" s="26" t="s">
        <v>49</v>
      </c>
      <c r="L556" s="24">
        <v>0.93</v>
      </c>
      <c r="M556" s="26" t="s">
        <v>46</v>
      </c>
    </row>
    <row r="557" spans="1:13" x14ac:dyDescent="0.3">
      <c r="A557" s="27">
        <v>46045</v>
      </c>
      <c r="B557" s="28" t="s">
        <v>50</v>
      </c>
      <c r="C557" s="28" t="s">
        <v>819</v>
      </c>
      <c r="D557" s="27">
        <v>46045</v>
      </c>
      <c r="E557" s="28">
        <v>61.06</v>
      </c>
      <c r="F557" s="28">
        <v>0</v>
      </c>
      <c r="G557" s="28">
        <v>27128.75</v>
      </c>
      <c r="H557" s="28"/>
      <c r="I557" s="28"/>
      <c r="J557" s="28" t="s">
        <v>4</v>
      </c>
      <c r="K557" s="28" t="s">
        <v>49</v>
      </c>
      <c r="L557" s="24">
        <v>0.97</v>
      </c>
      <c r="M557" s="28" t="s">
        <v>46</v>
      </c>
    </row>
    <row r="558" spans="1:13" x14ac:dyDescent="0.3">
      <c r="A558" s="27">
        <v>46045</v>
      </c>
      <c r="B558" s="28" t="s">
        <v>50</v>
      </c>
      <c r="C558" s="28" t="s">
        <v>820</v>
      </c>
      <c r="D558" s="27">
        <v>46045</v>
      </c>
      <c r="E558" s="28">
        <v>1838.94</v>
      </c>
      <c r="F558" s="28">
        <v>0</v>
      </c>
      <c r="G558" s="28">
        <v>25289.81</v>
      </c>
      <c r="H558" s="28"/>
      <c r="I558" s="28"/>
      <c r="J558" s="28" t="s">
        <v>4</v>
      </c>
      <c r="K558" s="28" t="s">
        <v>49</v>
      </c>
      <c r="L558" s="24">
        <v>0.97</v>
      </c>
      <c r="M558" s="28" t="s">
        <v>46</v>
      </c>
    </row>
    <row r="559" spans="1:13" x14ac:dyDescent="0.3">
      <c r="A559" s="27">
        <v>46049</v>
      </c>
      <c r="B559" s="28" t="s">
        <v>50</v>
      </c>
      <c r="C559" s="28" t="s">
        <v>821</v>
      </c>
      <c r="D559" s="27">
        <v>46049</v>
      </c>
      <c r="E559" s="28">
        <v>244.36</v>
      </c>
      <c r="F559" s="28">
        <v>0</v>
      </c>
      <c r="G559" s="28">
        <v>25045.45</v>
      </c>
      <c r="H559" s="28"/>
      <c r="I559" s="28"/>
      <c r="J559" s="28" t="s">
        <v>4</v>
      </c>
      <c r="K559" s="28" t="s">
        <v>49</v>
      </c>
      <c r="L559" s="24">
        <v>0.97</v>
      </c>
      <c r="M559" s="28" t="s">
        <v>46</v>
      </c>
    </row>
    <row r="560" spans="1:13" x14ac:dyDescent="0.3">
      <c r="A560" s="27">
        <v>46049</v>
      </c>
      <c r="B560" s="28" t="s">
        <v>50</v>
      </c>
      <c r="C560" s="28" t="s">
        <v>822</v>
      </c>
      <c r="D560" s="27">
        <v>46049</v>
      </c>
      <c r="E560" s="28">
        <v>3472.79</v>
      </c>
      <c r="F560" s="28">
        <v>0</v>
      </c>
      <c r="G560" s="28">
        <v>21572.66</v>
      </c>
      <c r="H560" s="28"/>
      <c r="I560" s="28"/>
      <c r="J560" s="28" t="s">
        <v>4</v>
      </c>
      <c r="K560" s="28" t="s">
        <v>49</v>
      </c>
      <c r="L560" s="24">
        <v>0.97</v>
      </c>
      <c r="M560" s="28" t="s">
        <v>46</v>
      </c>
    </row>
    <row r="561" spans="1:13" x14ac:dyDescent="0.3">
      <c r="A561" s="22">
        <v>46050</v>
      </c>
      <c r="B561" s="23" t="s">
        <v>823</v>
      </c>
      <c r="C561" s="23" t="s">
        <v>824</v>
      </c>
      <c r="D561" s="22">
        <v>46050</v>
      </c>
      <c r="E561" s="23">
        <v>5000</v>
      </c>
      <c r="F561" s="23">
        <v>0</v>
      </c>
      <c r="G561" s="23">
        <v>16572.66</v>
      </c>
      <c r="H561" s="23"/>
      <c r="I561" s="23"/>
      <c r="J561" s="23" t="s">
        <v>2</v>
      </c>
      <c r="K561" s="23" t="s">
        <v>2</v>
      </c>
      <c r="L561" s="24">
        <v>0.95</v>
      </c>
      <c r="M561" s="23" t="s">
        <v>46</v>
      </c>
    </row>
    <row r="562" spans="1:13" x14ac:dyDescent="0.3">
      <c r="A562" s="27">
        <v>46050</v>
      </c>
      <c r="B562" s="28" t="s">
        <v>50</v>
      </c>
      <c r="C562" s="28" t="s">
        <v>825</v>
      </c>
      <c r="D562" s="27">
        <v>46050</v>
      </c>
      <c r="E562" s="28">
        <v>59.85</v>
      </c>
      <c r="F562" s="28">
        <v>0</v>
      </c>
      <c r="G562" s="28">
        <v>16512.810000000001</v>
      </c>
      <c r="H562" s="28"/>
      <c r="I562" s="28"/>
      <c r="J562" s="28" t="s">
        <v>4</v>
      </c>
      <c r="K562" s="28" t="s">
        <v>49</v>
      </c>
      <c r="L562" s="24">
        <v>0.97</v>
      </c>
      <c r="M562" s="28" t="s">
        <v>46</v>
      </c>
    </row>
    <row r="563" spans="1:13" x14ac:dyDescent="0.3">
      <c r="A563" s="25">
        <v>46051</v>
      </c>
      <c r="B563" s="26" t="s">
        <v>826</v>
      </c>
      <c r="C563" s="26" t="s">
        <v>827</v>
      </c>
      <c r="D563" s="25">
        <v>46051</v>
      </c>
      <c r="E563" s="26">
        <v>0</v>
      </c>
      <c r="F563" s="26">
        <v>2885.09</v>
      </c>
      <c r="G563" s="26">
        <v>19397.900000000001</v>
      </c>
      <c r="H563" s="26"/>
      <c r="I563" s="26"/>
      <c r="J563" s="26" t="s">
        <v>3</v>
      </c>
      <c r="K563" s="26" t="s">
        <v>49</v>
      </c>
      <c r="L563" s="24">
        <v>0.93</v>
      </c>
      <c r="M563" s="26" t="s">
        <v>46</v>
      </c>
    </row>
    <row r="564" spans="1:13" x14ac:dyDescent="0.3">
      <c r="A564" s="27">
        <v>46051</v>
      </c>
      <c r="B564" s="28" t="s">
        <v>50</v>
      </c>
      <c r="C564" s="28" t="s">
        <v>828</v>
      </c>
      <c r="D564" s="27">
        <v>46051</v>
      </c>
      <c r="E564" s="28">
        <v>65.92</v>
      </c>
      <c r="F564" s="28">
        <v>0</v>
      </c>
      <c r="G564" s="28">
        <v>19331.98</v>
      </c>
      <c r="H564" s="28"/>
      <c r="I564" s="28"/>
      <c r="J564" s="28" t="s">
        <v>4</v>
      </c>
      <c r="K564" s="28" t="s">
        <v>49</v>
      </c>
      <c r="L564" s="24">
        <v>0.97</v>
      </c>
      <c r="M564" s="28" t="s">
        <v>46</v>
      </c>
    </row>
    <row r="565" spans="1:13" x14ac:dyDescent="0.3">
      <c r="A565" s="27">
        <v>46051</v>
      </c>
      <c r="B565" s="28" t="s">
        <v>50</v>
      </c>
      <c r="C565" s="28" t="s">
        <v>829</v>
      </c>
      <c r="D565" s="27">
        <v>46051</v>
      </c>
      <c r="E565" s="28">
        <v>715.29</v>
      </c>
      <c r="F565" s="28">
        <v>0</v>
      </c>
      <c r="G565" s="28">
        <v>18616.689999999999</v>
      </c>
      <c r="H565" s="28"/>
      <c r="I565" s="28"/>
      <c r="J565" s="28" t="s">
        <v>4</v>
      </c>
      <c r="K565" s="28" t="s">
        <v>49</v>
      </c>
      <c r="L565" s="24">
        <v>0.97</v>
      </c>
      <c r="M565" s="28" t="s">
        <v>46</v>
      </c>
    </row>
    <row r="566" spans="1:13" x14ac:dyDescent="0.3">
      <c r="A566" s="22">
        <v>46052</v>
      </c>
      <c r="B566" s="23" t="s">
        <v>830</v>
      </c>
      <c r="C566" s="23" t="s">
        <v>831</v>
      </c>
      <c r="D566" s="22">
        <v>46052</v>
      </c>
      <c r="E566" s="23">
        <v>5000</v>
      </c>
      <c r="F566" s="23">
        <v>0</v>
      </c>
      <c r="G566" s="23">
        <v>13616.69</v>
      </c>
      <c r="H566" s="23"/>
      <c r="I566" s="23"/>
      <c r="J566" s="23" t="s">
        <v>2</v>
      </c>
      <c r="K566" s="23" t="s">
        <v>2</v>
      </c>
      <c r="L566" s="24">
        <v>0.95</v>
      </c>
      <c r="M566" s="23" t="s">
        <v>46</v>
      </c>
    </row>
    <row r="567" spans="1:13" x14ac:dyDescent="0.3">
      <c r="A567" s="27">
        <v>46052</v>
      </c>
      <c r="B567" s="28" t="s">
        <v>50</v>
      </c>
      <c r="C567" s="28" t="s">
        <v>832</v>
      </c>
      <c r="D567" s="27">
        <v>46052</v>
      </c>
      <c r="E567" s="28">
        <v>66.7</v>
      </c>
      <c r="F567" s="28">
        <v>0</v>
      </c>
      <c r="G567" s="28">
        <v>13549.99</v>
      </c>
      <c r="H567" s="28"/>
      <c r="I567" s="28"/>
      <c r="J567" s="28" t="s">
        <v>4</v>
      </c>
      <c r="K567" s="28" t="s">
        <v>49</v>
      </c>
      <c r="L567" s="24">
        <v>0.97</v>
      </c>
      <c r="M567" s="28" t="s">
        <v>46</v>
      </c>
    </row>
    <row r="568" spans="1:13" x14ac:dyDescent="0.3">
      <c r="A568" s="45">
        <v>46052</v>
      </c>
      <c r="B568" s="46" t="s">
        <v>833</v>
      </c>
      <c r="C568" s="46" t="s">
        <v>834</v>
      </c>
      <c r="D568" s="45">
        <v>46052</v>
      </c>
      <c r="E568" s="46">
        <v>0</v>
      </c>
      <c r="F568" s="46">
        <v>75000</v>
      </c>
      <c r="G568" s="46">
        <v>88549.99</v>
      </c>
      <c r="H568" s="46"/>
      <c r="I568" s="46"/>
      <c r="J568" s="46" t="s">
        <v>19</v>
      </c>
      <c r="K568" s="46" t="s">
        <v>149</v>
      </c>
      <c r="L568" s="24">
        <v>0.88</v>
      </c>
      <c r="M568" s="46" t="s">
        <v>46</v>
      </c>
    </row>
    <row r="569" spans="1:13" x14ac:dyDescent="0.3">
      <c r="A569" s="27">
        <v>46052</v>
      </c>
      <c r="B569" s="28" t="s">
        <v>835</v>
      </c>
      <c r="C569" s="28" t="s">
        <v>836</v>
      </c>
      <c r="D569" s="27">
        <v>46052</v>
      </c>
      <c r="E569" s="28">
        <v>50000</v>
      </c>
      <c r="F569" s="28">
        <v>0</v>
      </c>
      <c r="G569" s="28">
        <v>38549.99</v>
      </c>
      <c r="H569" s="28"/>
      <c r="I569" s="28"/>
      <c r="J569" s="28" t="s">
        <v>30</v>
      </c>
      <c r="K569" s="28" t="s">
        <v>837</v>
      </c>
      <c r="L569" s="24">
        <v>0.9</v>
      </c>
      <c r="M569" s="28" t="s">
        <v>46</v>
      </c>
    </row>
    <row r="570" spans="1:13" x14ac:dyDescent="0.3">
      <c r="A570" s="27">
        <v>46052</v>
      </c>
      <c r="B570" s="28" t="s">
        <v>50</v>
      </c>
      <c r="C570" s="28" t="s">
        <v>838</v>
      </c>
      <c r="D570" s="27">
        <v>46052</v>
      </c>
      <c r="E570" s="28">
        <v>238.74</v>
      </c>
      <c r="F570" s="28">
        <v>0</v>
      </c>
      <c r="G570" s="28">
        <v>38311.25</v>
      </c>
      <c r="H570" s="28"/>
      <c r="I570" s="28"/>
      <c r="J570" s="28" t="s">
        <v>4</v>
      </c>
      <c r="K570" s="28" t="s">
        <v>49</v>
      </c>
      <c r="L570" s="24">
        <v>0.97</v>
      </c>
      <c r="M570" s="28" t="s">
        <v>46</v>
      </c>
    </row>
    <row r="571" spans="1:13" x14ac:dyDescent="0.3">
      <c r="A571" s="27">
        <v>46054</v>
      </c>
      <c r="B571" s="28" t="s">
        <v>50</v>
      </c>
      <c r="C571" s="28" t="s">
        <v>839</v>
      </c>
      <c r="D571" s="27">
        <v>46054</v>
      </c>
      <c r="E571" s="28">
        <v>133.22</v>
      </c>
      <c r="F571" s="28">
        <v>0</v>
      </c>
      <c r="G571" s="28">
        <v>38178.03</v>
      </c>
      <c r="H571" s="28"/>
      <c r="I571" s="28"/>
      <c r="J571" s="28" t="s">
        <v>4</v>
      </c>
      <c r="K571" s="28" t="s">
        <v>49</v>
      </c>
      <c r="L571" s="24">
        <v>0.97</v>
      </c>
      <c r="M571" s="28" t="s">
        <v>46</v>
      </c>
    </row>
    <row r="572" spans="1:13" x14ac:dyDescent="0.3">
      <c r="A572" s="27">
        <v>46054</v>
      </c>
      <c r="B572" s="28" t="s">
        <v>50</v>
      </c>
      <c r="C572" s="28" t="s">
        <v>840</v>
      </c>
      <c r="D572" s="27">
        <v>46054</v>
      </c>
      <c r="E572" s="28">
        <v>3355.83</v>
      </c>
      <c r="F572" s="28">
        <v>0</v>
      </c>
      <c r="G572" s="28">
        <v>34822.199999999997</v>
      </c>
      <c r="H572" s="28"/>
      <c r="I572" s="28"/>
      <c r="J572" s="28" t="s">
        <v>4</v>
      </c>
      <c r="K572" s="28" t="s">
        <v>49</v>
      </c>
      <c r="L572" s="24">
        <v>0.97</v>
      </c>
      <c r="M572" s="28" t="s">
        <v>46</v>
      </c>
    </row>
    <row r="573" spans="1:13" x14ac:dyDescent="0.3">
      <c r="A573" s="27">
        <v>46055</v>
      </c>
      <c r="B573" s="28" t="s">
        <v>50</v>
      </c>
      <c r="C573" s="28" t="s">
        <v>841</v>
      </c>
      <c r="D573" s="27">
        <v>46055</v>
      </c>
      <c r="E573" s="28">
        <v>65.42</v>
      </c>
      <c r="F573" s="28">
        <v>0</v>
      </c>
      <c r="G573" s="28">
        <v>34756.78</v>
      </c>
      <c r="H573" s="28"/>
      <c r="I573" s="28"/>
      <c r="J573" s="28" t="s">
        <v>4</v>
      </c>
      <c r="K573" s="28" t="s">
        <v>49</v>
      </c>
      <c r="L573" s="24">
        <v>0.97</v>
      </c>
      <c r="M573" s="28" t="s">
        <v>46</v>
      </c>
    </row>
    <row r="574" spans="1:13" x14ac:dyDescent="0.3">
      <c r="A574" s="25">
        <v>46056</v>
      </c>
      <c r="B574" s="26" t="s">
        <v>842</v>
      </c>
      <c r="C574" s="26" t="s">
        <v>843</v>
      </c>
      <c r="D574" s="25">
        <v>46056</v>
      </c>
      <c r="E574" s="26">
        <v>0</v>
      </c>
      <c r="F574" s="26">
        <v>89.48</v>
      </c>
      <c r="G574" s="26">
        <v>34846.26</v>
      </c>
      <c r="H574" s="26"/>
      <c r="I574" s="26"/>
      <c r="J574" s="26" t="s">
        <v>3</v>
      </c>
      <c r="K574" s="26" t="s">
        <v>49</v>
      </c>
      <c r="L574" s="24">
        <v>0.93</v>
      </c>
      <c r="M574" s="26" t="s">
        <v>46</v>
      </c>
    </row>
    <row r="575" spans="1:13" x14ac:dyDescent="0.3">
      <c r="A575" s="27">
        <v>46056</v>
      </c>
      <c r="B575" s="28" t="s">
        <v>50</v>
      </c>
      <c r="C575" s="28" t="s">
        <v>844</v>
      </c>
      <c r="D575" s="27">
        <v>46056</v>
      </c>
      <c r="E575" s="28">
        <v>65.42</v>
      </c>
      <c r="F575" s="28">
        <v>0</v>
      </c>
      <c r="G575" s="28">
        <v>34780.839999999997</v>
      </c>
      <c r="H575" s="28"/>
      <c r="I575" s="28"/>
      <c r="J575" s="28" t="s">
        <v>4</v>
      </c>
      <c r="K575" s="28" t="s">
        <v>49</v>
      </c>
      <c r="L575" s="24">
        <v>0.97</v>
      </c>
      <c r="M575" s="28" t="s">
        <v>46</v>
      </c>
    </row>
    <row r="576" spans="1:13" x14ac:dyDescent="0.3">
      <c r="A576" s="49">
        <v>46056</v>
      </c>
      <c r="B576" s="50" t="s">
        <v>845</v>
      </c>
      <c r="C576" s="50" t="s">
        <v>846</v>
      </c>
      <c r="D576" s="49">
        <v>46056</v>
      </c>
      <c r="E576" s="50">
        <v>0</v>
      </c>
      <c r="F576" s="50">
        <v>855</v>
      </c>
      <c r="G576" s="50">
        <v>35635.839999999997</v>
      </c>
      <c r="H576" s="50"/>
      <c r="I576" s="50"/>
      <c r="J576" s="50" t="s">
        <v>17</v>
      </c>
      <c r="K576" s="50" t="s">
        <v>17</v>
      </c>
      <c r="L576" s="24">
        <v>0.88</v>
      </c>
      <c r="M576" s="50" t="s">
        <v>46</v>
      </c>
    </row>
    <row r="577" spans="1:13" x14ac:dyDescent="0.3">
      <c r="A577" s="27">
        <v>46056</v>
      </c>
      <c r="B577" s="28" t="s">
        <v>50</v>
      </c>
      <c r="C577" s="28" t="s">
        <v>847</v>
      </c>
      <c r="D577" s="27">
        <v>46056</v>
      </c>
      <c r="E577" s="28">
        <v>10385.17</v>
      </c>
      <c r="F577" s="28">
        <v>0</v>
      </c>
      <c r="G577" s="28">
        <v>25250.67</v>
      </c>
      <c r="H577" s="28"/>
      <c r="I577" s="28"/>
      <c r="J577" s="28" t="s">
        <v>4</v>
      </c>
      <c r="K577" s="28" t="s">
        <v>49</v>
      </c>
      <c r="L577" s="24">
        <v>0.97</v>
      </c>
      <c r="M577" s="28" t="s">
        <v>46</v>
      </c>
    </row>
    <row r="578" spans="1:13" x14ac:dyDescent="0.3">
      <c r="A578" s="27">
        <v>46057</v>
      </c>
      <c r="B578" s="28" t="s">
        <v>50</v>
      </c>
      <c r="C578" s="28" t="s">
        <v>848</v>
      </c>
      <c r="D578" s="27">
        <v>46057</v>
      </c>
      <c r="E578" s="28">
        <v>61.75</v>
      </c>
      <c r="F578" s="28">
        <v>0</v>
      </c>
      <c r="G578" s="28">
        <v>25188.92</v>
      </c>
      <c r="H578" s="28"/>
      <c r="I578" s="28"/>
      <c r="J578" s="28" t="s">
        <v>4</v>
      </c>
      <c r="K578" s="28" t="s">
        <v>49</v>
      </c>
      <c r="L578" s="24">
        <v>0.97</v>
      </c>
      <c r="M578" s="28" t="s">
        <v>46</v>
      </c>
    </row>
    <row r="579" spans="1:13" x14ac:dyDescent="0.3">
      <c r="A579" s="25">
        <v>46058</v>
      </c>
      <c r="B579" s="26" t="s">
        <v>849</v>
      </c>
      <c r="C579" s="26" t="s">
        <v>850</v>
      </c>
      <c r="D579" s="25">
        <v>46058</v>
      </c>
      <c r="E579" s="26">
        <v>0</v>
      </c>
      <c r="F579" s="26">
        <v>2712.08</v>
      </c>
      <c r="G579" s="26">
        <v>27901</v>
      </c>
      <c r="H579" s="26"/>
      <c r="I579" s="26"/>
      <c r="J579" s="26" t="s">
        <v>3</v>
      </c>
      <c r="K579" s="26" t="s">
        <v>49</v>
      </c>
      <c r="L579" s="24">
        <v>0.93</v>
      </c>
      <c r="M579" s="26" t="s">
        <v>46</v>
      </c>
    </row>
    <row r="580" spans="1:13" x14ac:dyDescent="0.3">
      <c r="A580" s="27">
        <v>46058</v>
      </c>
      <c r="B580" s="28" t="s">
        <v>50</v>
      </c>
      <c r="C580" s="28" t="s">
        <v>851</v>
      </c>
      <c r="D580" s="27">
        <v>46058</v>
      </c>
      <c r="E580" s="28">
        <v>76.05</v>
      </c>
      <c r="F580" s="28">
        <v>0</v>
      </c>
      <c r="G580" s="28">
        <v>27824.95</v>
      </c>
      <c r="H580" s="28"/>
      <c r="I580" s="28"/>
      <c r="J580" s="28" t="s">
        <v>4</v>
      </c>
      <c r="K580" s="28" t="s">
        <v>49</v>
      </c>
      <c r="L580" s="24">
        <v>0.97</v>
      </c>
      <c r="M580" s="28" t="s">
        <v>46</v>
      </c>
    </row>
    <row r="581" spans="1:13" x14ac:dyDescent="0.3">
      <c r="A581" s="25">
        <v>46059</v>
      </c>
      <c r="B581" s="26" t="s">
        <v>852</v>
      </c>
      <c r="C581" s="26" t="s">
        <v>853</v>
      </c>
      <c r="D581" s="25">
        <v>46059</v>
      </c>
      <c r="E581" s="26">
        <v>0</v>
      </c>
      <c r="F581" s="26">
        <v>1683.88</v>
      </c>
      <c r="G581" s="26">
        <v>29508.83</v>
      </c>
      <c r="H581" s="26"/>
      <c r="I581" s="26"/>
      <c r="J581" s="26" t="s">
        <v>3</v>
      </c>
      <c r="K581" s="26" t="s">
        <v>49</v>
      </c>
      <c r="L581" s="24">
        <v>0.93</v>
      </c>
      <c r="M581" s="26" t="s">
        <v>46</v>
      </c>
    </row>
    <row r="582" spans="1:13" x14ac:dyDescent="0.3">
      <c r="A582" s="27">
        <v>46059</v>
      </c>
      <c r="B582" s="28" t="s">
        <v>50</v>
      </c>
      <c r="C582" s="28" t="s">
        <v>854</v>
      </c>
      <c r="D582" s="27">
        <v>46059</v>
      </c>
      <c r="E582" s="28">
        <v>77.02</v>
      </c>
      <c r="F582" s="28">
        <v>0</v>
      </c>
      <c r="G582" s="28">
        <v>29431.81</v>
      </c>
      <c r="H582" s="28"/>
      <c r="I582" s="28"/>
      <c r="J582" s="28" t="s">
        <v>4</v>
      </c>
      <c r="K582" s="28" t="s">
        <v>49</v>
      </c>
      <c r="L582" s="24">
        <v>0.97</v>
      </c>
      <c r="M582" s="28" t="s">
        <v>46</v>
      </c>
    </row>
    <row r="583" spans="1:13" x14ac:dyDescent="0.3">
      <c r="A583" s="27">
        <v>46059</v>
      </c>
      <c r="B583" s="28" t="s">
        <v>50</v>
      </c>
      <c r="C583" s="28" t="s">
        <v>855</v>
      </c>
      <c r="D583" s="27">
        <v>46059</v>
      </c>
      <c r="E583" s="28">
        <v>499.58</v>
      </c>
      <c r="F583" s="28">
        <v>0</v>
      </c>
      <c r="G583" s="28">
        <v>28932.23</v>
      </c>
      <c r="H583" s="28"/>
      <c r="I583" s="28"/>
      <c r="J583" s="28" t="s">
        <v>4</v>
      </c>
      <c r="K583" s="28" t="s">
        <v>49</v>
      </c>
      <c r="L583" s="24">
        <v>0.97</v>
      </c>
      <c r="M583" s="28" t="s">
        <v>46</v>
      </c>
    </row>
    <row r="584" spans="1:13" x14ac:dyDescent="0.3">
      <c r="A584" s="31">
        <v>46060</v>
      </c>
      <c r="B584" s="32" t="s">
        <v>856</v>
      </c>
      <c r="C584" s="32" t="s">
        <v>857</v>
      </c>
      <c r="D584" s="31">
        <v>46060</v>
      </c>
      <c r="E584" s="32">
        <v>0</v>
      </c>
      <c r="F584" s="32">
        <v>1880</v>
      </c>
      <c r="G584" s="32">
        <v>30812.23</v>
      </c>
      <c r="H584" s="32"/>
      <c r="I584" s="32"/>
      <c r="J584" s="32" t="s">
        <v>6</v>
      </c>
      <c r="K584" s="32" t="s">
        <v>63</v>
      </c>
      <c r="L584" s="24">
        <v>0.95</v>
      </c>
      <c r="M584" s="32" t="s">
        <v>46</v>
      </c>
    </row>
    <row r="585" spans="1:13" x14ac:dyDescent="0.3">
      <c r="A585" s="27">
        <v>46062</v>
      </c>
      <c r="B585" s="28" t="s">
        <v>50</v>
      </c>
      <c r="C585" s="28" t="s">
        <v>858</v>
      </c>
      <c r="D585" s="27">
        <v>46062</v>
      </c>
      <c r="E585" s="28">
        <v>232.32</v>
      </c>
      <c r="F585" s="28">
        <v>0</v>
      </c>
      <c r="G585" s="28">
        <v>30579.91</v>
      </c>
      <c r="H585" s="28"/>
      <c r="I585" s="28"/>
      <c r="J585" s="28" t="s">
        <v>4</v>
      </c>
      <c r="K585" s="28" t="s">
        <v>49</v>
      </c>
      <c r="L585" s="24">
        <v>0.97</v>
      </c>
      <c r="M585" s="28" t="s">
        <v>46</v>
      </c>
    </row>
    <row r="586" spans="1:13" x14ac:dyDescent="0.3">
      <c r="A586" s="25">
        <v>46063</v>
      </c>
      <c r="B586" s="26" t="s">
        <v>859</v>
      </c>
      <c r="C586" s="26" t="s">
        <v>860</v>
      </c>
      <c r="D586" s="25">
        <v>46063</v>
      </c>
      <c r="E586" s="26">
        <v>0</v>
      </c>
      <c r="F586" s="26">
        <v>1175.77</v>
      </c>
      <c r="G586" s="26">
        <v>31755.68</v>
      </c>
      <c r="H586" s="26"/>
      <c r="I586" s="26"/>
      <c r="J586" s="26" t="s">
        <v>3</v>
      </c>
      <c r="K586" s="26" t="s">
        <v>49</v>
      </c>
      <c r="L586" s="24">
        <v>0.93</v>
      </c>
      <c r="M586" s="26" t="s">
        <v>46</v>
      </c>
    </row>
    <row r="587" spans="1:13" x14ac:dyDescent="0.3">
      <c r="A587" s="27">
        <v>46063</v>
      </c>
      <c r="B587" s="28" t="s">
        <v>50</v>
      </c>
      <c r="C587" s="28" t="s">
        <v>861</v>
      </c>
      <c r="D587" s="27">
        <v>46063</v>
      </c>
      <c r="E587" s="28">
        <v>77.44</v>
      </c>
      <c r="F587" s="28">
        <v>0</v>
      </c>
      <c r="G587" s="28">
        <v>31678.240000000002</v>
      </c>
      <c r="H587" s="28"/>
      <c r="I587" s="28"/>
      <c r="J587" s="28" t="s">
        <v>4</v>
      </c>
      <c r="K587" s="28" t="s">
        <v>49</v>
      </c>
      <c r="L587" s="24">
        <v>0.97</v>
      </c>
      <c r="M587" s="28" t="s">
        <v>46</v>
      </c>
    </row>
    <row r="588" spans="1:13" x14ac:dyDescent="0.3">
      <c r="A588" s="25">
        <v>46064</v>
      </c>
      <c r="B588" s="26" t="s">
        <v>862</v>
      </c>
      <c r="C588" s="26" t="s">
        <v>863</v>
      </c>
      <c r="D588" s="25">
        <v>46064</v>
      </c>
      <c r="E588" s="26">
        <v>0</v>
      </c>
      <c r="F588" s="26">
        <v>582.47</v>
      </c>
      <c r="G588" s="26">
        <v>32260.71</v>
      </c>
      <c r="H588" s="26"/>
      <c r="I588" s="26"/>
      <c r="J588" s="26" t="s">
        <v>3</v>
      </c>
      <c r="K588" s="26" t="s">
        <v>49</v>
      </c>
      <c r="L588" s="24">
        <v>0.93</v>
      </c>
      <c r="M588" s="26" t="s">
        <v>46</v>
      </c>
    </row>
    <row r="589" spans="1:13" x14ac:dyDescent="0.3">
      <c r="A589" s="27">
        <v>46064</v>
      </c>
      <c r="B589" s="28" t="s">
        <v>50</v>
      </c>
      <c r="C589" s="28" t="s">
        <v>864</v>
      </c>
      <c r="D589" s="27">
        <v>46064</v>
      </c>
      <c r="E589" s="28">
        <v>77.86</v>
      </c>
      <c r="F589" s="28">
        <v>0</v>
      </c>
      <c r="G589" s="28">
        <v>32182.85</v>
      </c>
      <c r="H589" s="28"/>
      <c r="I589" s="28"/>
      <c r="J589" s="28" t="s">
        <v>4</v>
      </c>
      <c r="K589" s="28" t="s">
        <v>49</v>
      </c>
      <c r="L589" s="24">
        <v>0.97</v>
      </c>
      <c r="M589" s="28" t="s">
        <v>46</v>
      </c>
    </row>
    <row r="590" spans="1:13" x14ac:dyDescent="0.3">
      <c r="A590" s="25">
        <v>46065</v>
      </c>
      <c r="B590" s="26" t="s">
        <v>865</v>
      </c>
      <c r="C590" s="26" t="s">
        <v>866</v>
      </c>
      <c r="D590" s="25">
        <v>46065</v>
      </c>
      <c r="E590" s="26">
        <v>0</v>
      </c>
      <c r="F590" s="26">
        <v>204.57</v>
      </c>
      <c r="G590" s="26">
        <v>32387.42</v>
      </c>
      <c r="H590" s="26"/>
      <c r="I590" s="26"/>
      <c r="J590" s="26" t="s">
        <v>3</v>
      </c>
      <c r="K590" s="26" t="s">
        <v>49</v>
      </c>
      <c r="L590" s="24">
        <v>0.93</v>
      </c>
      <c r="M590" s="26" t="s">
        <v>46</v>
      </c>
    </row>
    <row r="591" spans="1:13" x14ac:dyDescent="0.3">
      <c r="A591" s="27">
        <v>46065</v>
      </c>
      <c r="B591" s="28" t="s">
        <v>50</v>
      </c>
      <c r="C591" s="28" t="s">
        <v>867</v>
      </c>
      <c r="D591" s="27">
        <v>46065</v>
      </c>
      <c r="E591" s="28">
        <v>78.06</v>
      </c>
      <c r="F591" s="28">
        <v>0</v>
      </c>
      <c r="G591" s="28">
        <v>32309.360000000001</v>
      </c>
      <c r="H591" s="28"/>
      <c r="I591" s="28"/>
      <c r="J591" s="28" t="s">
        <v>4</v>
      </c>
      <c r="K591" s="28" t="s">
        <v>49</v>
      </c>
      <c r="L591" s="24">
        <v>0.97</v>
      </c>
      <c r="M591" s="28" t="s">
        <v>46</v>
      </c>
    </row>
    <row r="592" spans="1:13" x14ac:dyDescent="0.3">
      <c r="A592" s="49">
        <v>46065</v>
      </c>
      <c r="B592" s="50" t="s">
        <v>868</v>
      </c>
      <c r="C592" s="50" t="s">
        <v>869</v>
      </c>
      <c r="D592" s="49">
        <v>46065</v>
      </c>
      <c r="E592" s="50">
        <v>0</v>
      </c>
      <c r="F592" s="50">
        <v>112</v>
      </c>
      <c r="G592" s="50">
        <v>32421.360000000001</v>
      </c>
      <c r="H592" s="50"/>
      <c r="I592" s="50"/>
      <c r="J592" s="50" t="s">
        <v>17</v>
      </c>
      <c r="K592" s="50" t="s">
        <v>17</v>
      </c>
      <c r="L592" s="24">
        <v>0.88</v>
      </c>
      <c r="M592" s="50" t="s">
        <v>46</v>
      </c>
    </row>
    <row r="593" spans="1:13" x14ac:dyDescent="0.3">
      <c r="A593" s="25">
        <v>46066</v>
      </c>
      <c r="B593" s="26" t="s">
        <v>870</v>
      </c>
      <c r="C593" s="26" t="s">
        <v>871</v>
      </c>
      <c r="D593" s="25">
        <v>46066</v>
      </c>
      <c r="E593" s="26">
        <v>0</v>
      </c>
      <c r="F593" s="26">
        <v>368.17</v>
      </c>
      <c r="G593" s="26">
        <v>32789.53</v>
      </c>
      <c r="H593" s="26"/>
      <c r="I593" s="26"/>
      <c r="J593" s="26" t="s">
        <v>3</v>
      </c>
      <c r="K593" s="26" t="s">
        <v>49</v>
      </c>
      <c r="L593" s="24">
        <v>0.93</v>
      </c>
      <c r="M593" s="26" t="s">
        <v>46</v>
      </c>
    </row>
    <row r="594" spans="1:13" x14ac:dyDescent="0.3">
      <c r="A594" s="27">
        <v>46066</v>
      </c>
      <c r="B594" s="28" t="s">
        <v>50</v>
      </c>
      <c r="C594" s="28" t="s">
        <v>872</v>
      </c>
      <c r="D594" s="27">
        <v>46066</v>
      </c>
      <c r="E594" s="28">
        <v>78.14</v>
      </c>
      <c r="F594" s="28">
        <v>0</v>
      </c>
      <c r="G594" s="28">
        <v>32711.39</v>
      </c>
      <c r="H594" s="28"/>
      <c r="I594" s="28"/>
      <c r="J594" s="28" t="s">
        <v>4</v>
      </c>
      <c r="K594" s="28" t="s">
        <v>49</v>
      </c>
      <c r="L594" s="24">
        <v>0.97</v>
      </c>
      <c r="M594" s="28" t="s">
        <v>46</v>
      </c>
    </row>
    <row r="595" spans="1:13" x14ac:dyDescent="0.3">
      <c r="A595" s="27">
        <v>46066</v>
      </c>
      <c r="B595" s="28" t="s">
        <v>50</v>
      </c>
      <c r="C595" s="28" t="s">
        <v>873</v>
      </c>
      <c r="D595" s="27">
        <v>46066</v>
      </c>
      <c r="E595" s="28">
        <v>792.51</v>
      </c>
      <c r="F595" s="28">
        <v>0</v>
      </c>
      <c r="G595" s="28">
        <v>31918.880000000001</v>
      </c>
      <c r="H595" s="28"/>
      <c r="I595" s="28"/>
      <c r="J595" s="28" t="s">
        <v>4</v>
      </c>
      <c r="K595" s="28" t="s">
        <v>49</v>
      </c>
      <c r="L595" s="24">
        <v>0.97</v>
      </c>
      <c r="M595" s="28" t="s">
        <v>46</v>
      </c>
    </row>
    <row r="596" spans="1:13" x14ac:dyDescent="0.3">
      <c r="A596" s="27">
        <v>46069</v>
      </c>
      <c r="B596" s="28" t="s">
        <v>50</v>
      </c>
      <c r="C596" s="28" t="s">
        <v>874</v>
      </c>
      <c r="D596" s="27">
        <v>46069</v>
      </c>
      <c r="E596" s="28">
        <v>233.97</v>
      </c>
      <c r="F596" s="28">
        <v>0</v>
      </c>
      <c r="G596" s="28">
        <v>31684.91</v>
      </c>
      <c r="H596" s="28"/>
      <c r="I596" s="28"/>
      <c r="J596" s="28" t="s">
        <v>4</v>
      </c>
      <c r="K596" s="28" t="s">
        <v>49</v>
      </c>
      <c r="L596" s="24">
        <v>0.97</v>
      </c>
      <c r="M596" s="28" t="s">
        <v>46</v>
      </c>
    </row>
    <row r="597" spans="1:13" x14ac:dyDescent="0.3">
      <c r="A597" s="27">
        <v>46069</v>
      </c>
      <c r="B597" s="28" t="s">
        <v>50</v>
      </c>
      <c r="C597" s="28" t="s">
        <v>875</v>
      </c>
      <c r="D597" s="27">
        <v>46070</v>
      </c>
      <c r="E597" s="28">
        <v>298.45</v>
      </c>
      <c r="F597" s="28">
        <v>0</v>
      </c>
      <c r="G597" s="28">
        <v>31386.46</v>
      </c>
      <c r="H597" s="28"/>
      <c r="I597" s="28"/>
      <c r="J597" s="28" t="s">
        <v>4</v>
      </c>
      <c r="K597" s="28" t="s">
        <v>49</v>
      </c>
      <c r="L597" s="24">
        <v>0.97</v>
      </c>
      <c r="M597" s="28" t="s">
        <v>46</v>
      </c>
    </row>
    <row r="598" spans="1:13" x14ac:dyDescent="0.3">
      <c r="A598" s="27">
        <v>46070</v>
      </c>
      <c r="B598" s="28" t="s">
        <v>50</v>
      </c>
      <c r="C598" s="28" t="s">
        <v>876</v>
      </c>
      <c r="D598" s="27">
        <v>46070</v>
      </c>
      <c r="E598" s="28">
        <v>77.88</v>
      </c>
      <c r="F598" s="28">
        <v>0</v>
      </c>
      <c r="G598" s="28">
        <v>31308.58</v>
      </c>
      <c r="H598" s="28"/>
      <c r="I598" s="28"/>
      <c r="J598" s="28" t="s">
        <v>4</v>
      </c>
      <c r="K598" s="28" t="s">
        <v>49</v>
      </c>
      <c r="L598" s="24">
        <v>0.97</v>
      </c>
      <c r="M598" s="28" t="s">
        <v>46</v>
      </c>
    </row>
    <row r="599" spans="1:13" x14ac:dyDescent="0.3">
      <c r="A599" s="27">
        <v>46070</v>
      </c>
      <c r="B599" s="28" t="s">
        <v>50</v>
      </c>
      <c r="C599" s="28" t="s">
        <v>877</v>
      </c>
      <c r="D599" s="27">
        <v>46070</v>
      </c>
      <c r="E599" s="28">
        <v>960.21</v>
      </c>
      <c r="F599" s="28">
        <v>0</v>
      </c>
      <c r="G599" s="28">
        <v>30348.37</v>
      </c>
      <c r="H599" s="28"/>
      <c r="I599" s="28"/>
      <c r="J599" s="28" t="s">
        <v>4</v>
      </c>
      <c r="K599" s="28" t="s">
        <v>49</v>
      </c>
      <c r="L599" s="24">
        <v>0.97</v>
      </c>
      <c r="M599" s="28" t="s">
        <v>46</v>
      </c>
    </row>
    <row r="600" spans="1:13" x14ac:dyDescent="0.3">
      <c r="A600" s="27">
        <v>46071</v>
      </c>
      <c r="B600" s="28" t="s">
        <v>50</v>
      </c>
      <c r="C600" s="28" t="s">
        <v>878</v>
      </c>
      <c r="D600" s="27">
        <v>46071</v>
      </c>
      <c r="E600" s="28">
        <v>77.540000000000006</v>
      </c>
      <c r="F600" s="28">
        <v>0</v>
      </c>
      <c r="G600" s="28">
        <v>30270.83</v>
      </c>
      <c r="H600" s="28"/>
      <c r="I600" s="28"/>
      <c r="J600" s="28" t="s">
        <v>4</v>
      </c>
      <c r="K600" s="28" t="s">
        <v>49</v>
      </c>
      <c r="L600" s="24">
        <v>0.97</v>
      </c>
      <c r="M600" s="28" t="s">
        <v>46</v>
      </c>
    </row>
    <row r="601" spans="1:13" x14ac:dyDescent="0.3">
      <c r="A601" s="49">
        <v>46071</v>
      </c>
      <c r="B601" s="50" t="s">
        <v>879</v>
      </c>
      <c r="C601" s="50" t="s">
        <v>880</v>
      </c>
      <c r="D601" s="49">
        <v>46071</v>
      </c>
      <c r="E601" s="50">
        <v>0</v>
      </c>
      <c r="F601" s="50">
        <v>78.75</v>
      </c>
      <c r="G601" s="50">
        <v>30349.58</v>
      </c>
      <c r="H601" s="50"/>
      <c r="I601" s="50"/>
      <c r="J601" s="50" t="s">
        <v>17</v>
      </c>
      <c r="K601" s="50" t="s">
        <v>17</v>
      </c>
      <c r="L601" s="24">
        <v>0.88</v>
      </c>
      <c r="M601" s="50" t="s">
        <v>46</v>
      </c>
    </row>
    <row r="602" spans="1:13" x14ac:dyDescent="0.3">
      <c r="A602" s="27">
        <v>46072</v>
      </c>
      <c r="B602" s="28" t="s">
        <v>50</v>
      </c>
      <c r="C602" s="28" t="s">
        <v>881</v>
      </c>
      <c r="D602" s="27">
        <v>46072</v>
      </c>
      <c r="E602" s="28">
        <v>1963.95</v>
      </c>
      <c r="F602" s="28">
        <v>0</v>
      </c>
      <c r="G602" s="28">
        <v>28385.63</v>
      </c>
      <c r="H602" s="28"/>
      <c r="I602" s="28"/>
      <c r="J602" s="28" t="s">
        <v>4</v>
      </c>
      <c r="K602" s="28" t="s">
        <v>49</v>
      </c>
      <c r="L602" s="24">
        <v>0.97</v>
      </c>
      <c r="M602" s="28" t="s">
        <v>46</v>
      </c>
    </row>
    <row r="603" spans="1:13" x14ac:dyDescent="0.3">
      <c r="A603" s="27">
        <v>46073</v>
      </c>
      <c r="B603" s="28" t="s">
        <v>50</v>
      </c>
      <c r="C603" s="28" t="s">
        <v>882</v>
      </c>
      <c r="D603" s="27">
        <v>46073</v>
      </c>
      <c r="E603" s="28">
        <v>76.87</v>
      </c>
      <c r="F603" s="28">
        <v>0</v>
      </c>
      <c r="G603" s="28">
        <v>28308.76</v>
      </c>
      <c r="H603" s="28"/>
      <c r="I603" s="28"/>
      <c r="J603" s="28" t="s">
        <v>4</v>
      </c>
      <c r="K603" s="28" t="s">
        <v>49</v>
      </c>
      <c r="L603" s="24">
        <v>0.97</v>
      </c>
      <c r="M603" s="28" t="s">
        <v>46</v>
      </c>
    </row>
    <row r="604" spans="1:13" x14ac:dyDescent="0.3">
      <c r="A604" s="49">
        <v>46073</v>
      </c>
      <c r="B604" s="50" t="s">
        <v>883</v>
      </c>
      <c r="C604" s="50" t="s">
        <v>884</v>
      </c>
      <c r="D604" s="49">
        <v>46073</v>
      </c>
      <c r="E604" s="50">
        <v>0</v>
      </c>
      <c r="F604" s="50">
        <v>32.5</v>
      </c>
      <c r="G604" s="50">
        <v>28341.26</v>
      </c>
      <c r="H604" s="50"/>
      <c r="I604" s="50"/>
      <c r="J604" s="50" t="s">
        <v>17</v>
      </c>
      <c r="K604" s="50" t="s">
        <v>17</v>
      </c>
      <c r="L604" s="24">
        <v>0.88</v>
      </c>
      <c r="M604" s="50" t="s">
        <v>46</v>
      </c>
    </row>
    <row r="605" spans="1:13" x14ac:dyDescent="0.3">
      <c r="A605" s="33">
        <v>46074</v>
      </c>
      <c r="B605" s="34" t="s">
        <v>885</v>
      </c>
      <c r="C605" s="34" t="s">
        <v>886</v>
      </c>
      <c r="D605" s="33">
        <v>46074</v>
      </c>
      <c r="E605" s="34">
        <v>295</v>
      </c>
      <c r="F605" s="34">
        <v>0</v>
      </c>
      <c r="G605" s="34">
        <v>28046.26</v>
      </c>
      <c r="H605" s="34"/>
      <c r="I605" s="34"/>
      <c r="J605" s="34" t="s">
        <v>7</v>
      </c>
      <c r="K605" s="34" t="s">
        <v>7</v>
      </c>
      <c r="L605" s="24">
        <v>0.9</v>
      </c>
      <c r="M605" s="34" t="s">
        <v>46</v>
      </c>
    </row>
    <row r="606" spans="1:13" x14ac:dyDescent="0.3">
      <c r="A606" s="25">
        <v>46076</v>
      </c>
      <c r="B606" s="26" t="s">
        <v>887</v>
      </c>
      <c r="C606" s="26" t="s">
        <v>888</v>
      </c>
      <c r="D606" s="25">
        <v>46076</v>
      </c>
      <c r="E606" s="26">
        <v>0</v>
      </c>
      <c r="F606" s="26">
        <v>586.51</v>
      </c>
      <c r="G606" s="26">
        <v>28632.77</v>
      </c>
      <c r="H606" s="26"/>
      <c r="I606" s="26"/>
      <c r="J606" s="26" t="s">
        <v>3</v>
      </c>
      <c r="K606" s="26" t="s">
        <v>49</v>
      </c>
      <c r="L606" s="24">
        <v>0.93</v>
      </c>
      <c r="M606" s="26" t="s">
        <v>46</v>
      </c>
    </row>
    <row r="607" spans="1:13" x14ac:dyDescent="0.3">
      <c r="A607" s="27">
        <v>46076</v>
      </c>
      <c r="B607" s="28" t="s">
        <v>50</v>
      </c>
      <c r="C607" s="28" t="s">
        <v>889</v>
      </c>
      <c r="D607" s="27">
        <v>46076</v>
      </c>
      <c r="E607" s="28">
        <v>230.61</v>
      </c>
      <c r="F607" s="28">
        <v>0</v>
      </c>
      <c r="G607" s="28">
        <v>28402.16</v>
      </c>
      <c r="H607" s="28"/>
      <c r="I607" s="28"/>
      <c r="J607" s="28" t="s">
        <v>4</v>
      </c>
      <c r="K607" s="28" t="s">
        <v>49</v>
      </c>
      <c r="L607" s="24">
        <v>0.97</v>
      </c>
      <c r="M607" s="28" t="s">
        <v>46</v>
      </c>
    </row>
    <row r="608" spans="1:13" x14ac:dyDescent="0.3">
      <c r="A608" s="27">
        <v>46076</v>
      </c>
      <c r="B608" s="28" t="s">
        <v>50</v>
      </c>
      <c r="C608" s="28" t="s">
        <v>890</v>
      </c>
      <c r="D608" s="27">
        <v>46076</v>
      </c>
      <c r="E608" s="28">
        <v>6248.84</v>
      </c>
      <c r="F608" s="28">
        <v>0</v>
      </c>
      <c r="G608" s="28">
        <v>22153.32</v>
      </c>
      <c r="H608" s="28"/>
      <c r="I608" s="28"/>
      <c r="J608" s="28" t="s">
        <v>4</v>
      </c>
      <c r="K608" s="28" t="s">
        <v>49</v>
      </c>
      <c r="L608" s="24">
        <v>0.97</v>
      </c>
      <c r="M608" s="28" t="s">
        <v>46</v>
      </c>
    </row>
    <row r="609" spans="1:13" x14ac:dyDescent="0.3">
      <c r="A609" s="25">
        <v>46077</v>
      </c>
      <c r="B609" s="26" t="s">
        <v>891</v>
      </c>
      <c r="C609" s="26" t="s">
        <v>892</v>
      </c>
      <c r="D609" s="25">
        <v>46077</v>
      </c>
      <c r="E609" s="26">
        <v>0</v>
      </c>
      <c r="F609" s="26">
        <v>12701.92</v>
      </c>
      <c r="G609" s="26">
        <v>34855.24</v>
      </c>
      <c r="H609" s="26"/>
      <c r="I609" s="26"/>
      <c r="J609" s="26" t="s">
        <v>3</v>
      </c>
      <c r="K609" s="26" t="s">
        <v>49</v>
      </c>
      <c r="L609" s="24">
        <v>0.93</v>
      </c>
      <c r="M609" s="26" t="s">
        <v>46</v>
      </c>
    </row>
    <row r="610" spans="1:13" x14ac:dyDescent="0.3">
      <c r="A610" s="27">
        <v>46077</v>
      </c>
      <c r="B610" s="28" t="s">
        <v>50</v>
      </c>
      <c r="C610" s="28" t="s">
        <v>893</v>
      </c>
      <c r="D610" s="27">
        <v>46077</v>
      </c>
      <c r="E610" s="28">
        <v>74.849999999999994</v>
      </c>
      <c r="F610" s="28">
        <v>0</v>
      </c>
      <c r="G610" s="28">
        <v>34780.39</v>
      </c>
      <c r="H610" s="28"/>
      <c r="I610" s="28"/>
      <c r="J610" s="28" t="s">
        <v>4</v>
      </c>
      <c r="K610" s="28" t="s">
        <v>49</v>
      </c>
      <c r="L610" s="24">
        <v>0.97</v>
      </c>
      <c r="M610" s="28" t="s">
        <v>46</v>
      </c>
    </row>
    <row r="611" spans="1:13" x14ac:dyDescent="0.3">
      <c r="A611" s="49">
        <v>46077</v>
      </c>
      <c r="B611" s="50" t="s">
        <v>715</v>
      </c>
      <c r="C611" s="50" t="s">
        <v>894</v>
      </c>
      <c r="D611" s="49">
        <v>46077</v>
      </c>
      <c r="E611" s="50">
        <v>0</v>
      </c>
      <c r="F611" s="50">
        <v>562.5</v>
      </c>
      <c r="G611" s="50">
        <v>35342.89</v>
      </c>
      <c r="H611" s="50"/>
      <c r="I611" s="50"/>
      <c r="J611" s="50" t="s">
        <v>17</v>
      </c>
      <c r="K611" s="50" t="s">
        <v>17</v>
      </c>
      <c r="L611" s="24">
        <v>0.88</v>
      </c>
      <c r="M611" s="50" t="s">
        <v>46</v>
      </c>
    </row>
    <row r="612" spans="1:13" x14ac:dyDescent="0.3">
      <c r="A612" s="27">
        <v>46077</v>
      </c>
      <c r="B612" s="28" t="s">
        <v>50</v>
      </c>
      <c r="C612" s="28" t="s">
        <v>895</v>
      </c>
      <c r="D612" s="27">
        <v>46077</v>
      </c>
      <c r="E612" s="28">
        <v>1577.81</v>
      </c>
      <c r="F612" s="28">
        <v>0</v>
      </c>
      <c r="G612" s="28">
        <v>33765.08</v>
      </c>
      <c r="H612" s="28"/>
      <c r="I612" s="28"/>
      <c r="J612" s="28" t="s">
        <v>4</v>
      </c>
      <c r="K612" s="28" t="s">
        <v>49</v>
      </c>
      <c r="L612" s="24">
        <v>0.97</v>
      </c>
      <c r="M612" s="28" t="s">
        <v>46</v>
      </c>
    </row>
    <row r="613" spans="1:13" x14ac:dyDescent="0.3">
      <c r="A613" s="27">
        <v>46078</v>
      </c>
      <c r="B613" s="28" t="s">
        <v>50</v>
      </c>
      <c r="C613" s="28" t="s">
        <v>896</v>
      </c>
      <c r="D613" s="27">
        <v>46078</v>
      </c>
      <c r="E613" s="28">
        <v>74.290000000000006</v>
      </c>
      <c r="F613" s="28">
        <v>0</v>
      </c>
      <c r="G613" s="28">
        <v>33690.79</v>
      </c>
      <c r="H613" s="28"/>
      <c r="I613" s="28"/>
      <c r="J613" s="28" t="s">
        <v>4</v>
      </c>
      <c r="K613" s="28" t="s">
        <v>49</v>
      </c>
      <c r="L613" s="24">
        <v>0.97</v>
      </c>
      <c r="M613" s="28" t="s">
        <v>46</v>
      </c>
    </row>
    <row r="614" spans="1:13" x14ac:dyDescent="0.3">
      <c r="A614" s="49">
        <v>46078</v>
      </c>
      <c r="B614" s="50" t="s">
        <v>897</v>
      </c>
      <c r="C614" s="50" t="s">
        <v>898</v>
      </c>
      <c r="D614" s="49">
        <v>46078</v>
      </c>
      <c r="E614" s="50">
        <v>0</v>
      </c>
      <c r="F614" s="50">
        <v>480</v>
      </c>
      <c r="G614" s="50">
        <v>34170.79</v>
      </c>
      <c r="H614" s="50"/>
      <c r="I614" s="50"/>
      <c r="J614" s="50" t="s">
        <v>17</v>
      </c>
      <c r="K614" s="50" t="s">
        <v>17</v>
      </c>
      <c r="L614" s="24">
        <v>0.88</v>
      </c>
      <c r="M614" s="50" t="s">
        <v>46</v>
      </c>
    </row>
    <row r="615" spans="1:13" x14ac:dyDescent="0.3">
      <c r="A615" s="49">
        <v>46078</v>
      </c>
      <c r="B615" s="50" t="s">
        <v>899</v>
      </c>
      <c r="C615" s="50" t="s">
        <v>900</v>
      </c>
      <c r="D615" s="49">
        <v>46078</v>
      </c>
      <c r="E615" s="50">
        <v>0</v>
      </c>
      <c r="F615" s="50">
        <v>1320</v>
      </c>
      <c r="G615" s="50">
        <v>35490.79</v>
      </c>
      <c r="H615" s="50"/>
      <c r="I615" s="50"/>
      <c r="J615" s="50" t="s">
        <v>17</v>
      </c>
      <c r="K615" s="50" t="s">
        <v>17</v>
      </c>
      <c r="L615" s="24">
        <v>0.88</v>
      </c>
      <c r="M615" s="50" t="s">
        <v>46</v>
      </c>
    </row>
    <row r="616" spans="1:13" x14ac:dyDescent="0.3">
      <c r="A616" s="27">
        <v>46078</v>
      </c>
      <c r="B616" s="28" t="s">
        <v>50</v>
      </c>
      <c r="C616" s="28" t="s">
        <v>901</v>
      </c>
      <c r="D616" s="27">
        <v>46078</v>
      </c>
      <c r="E616" s="28">
        <v>312.77</v>
      </c>
      <c r="F616" s="28">
        <v>0</v>
      </c>
      <c r="G616" s="28">
        <v>35178.019999999997</v>
      </c>
      <c r="H616" s="28"/>
      <c r="I616" s="28"/>
      <c r="J616" s="28" t="s">
        <v>4</v>
      </c>
      <c r="K616" s="28" t="s">
        <v>49</v>
      </c>
      <c r="L616" s="24">
        <v>0.97</v>
      </c>
      <c r="M616" s="28" t="s">
        <v>46</v>
      </c>
    </row>
    <row r="617" spans="1:13" x14ac:dyDescent="0.3">
      <c r="A617" s="27">
        <v>46079</v>
      </c>
      <c r="B617" s="28" t="s">
        <v>50</v>
      </c>
      <c r="C617" s="28" t="s">
        <v>902</v>
      </c>
      <c r="D617" s="27">
        <v>46079</v>
      </c>
      <c r="E617" s="28">
        <v>74.180000000000007</v>
      </c>
      <c r="F617" s="28">
        <v>0</v>
      </c>
      <c r="G617" s="28">
        <v>35103.839999999997</v>
      </c>
      <c r="H617" s="28"/>
      <c r="I617" s="28"/>
      <c r="J617" s="28" t="s">
        <v>4</v>
      </c>
      <c r="K617" s="28" t="s">
        <v>49</v>
      </c>
      <c r="L617" s="24">
        <v>0.97</v>
      </c>
      <c r="M617" s="28" t="s">
        <v>46</v>
      </c>
    </row>
    <row r="618" spans="1:13" x14ac:dyDescent="0.3">
      <c r="A618" s="27">
        <v>46079</v>
      </c>
      <c r="B618" s="28" t="s">
        <v>50</v>
      </c>
      <c r="C618" s="28" t="s">
        <v>903</v>
      </c>
      <c r="D618" s="27">
        <v>46079</v>
      </c>
      <c r="E618" s="28">
        <v>1036.44</v>
      </c>
      <c r="F618" s="28">
        <v>0</v>
      </c>
      <c r="G618" s="28">
        <v>34067.4</v>
      </c>
      <c r="H618" s="28"/>
      <c r="I618" s="28"/>
      <c r="J618" s="28" t="s">
        <v>4</v>
      </c>
      <c r="K618" s="28" t="s">
        <v>49</v>
      </c>
      <c r="L618" s="24">
        <v>0.97</v>
      </c>
      <c r="M618" s="28" t="s">
        <v>46</v>
      </c>
    </row>
    <row r="619" spans="1:13" x14ac:dyDescent="0.3">
      <c r="A619" s="22">
        <v>46080</v>
      </c>
      <c r="B619" s="23" t="s">
        <v>904</v>
      </c>
      <c r="C619" s="23" t="s">
        <v>905</v>
      </c>
      <c r="D619" s="22">
        <v>46080</v>
      </c>
      <c r="E619" s="23">
        <v>5000</v>
      </c>
      <c r="F619" s="23">
        <v>0</v>
      </c>
      <c r="G619" s="23">
        <v>29067.4</v>
      </c>
      <c r="H619" s="23"/>
      <c r="I619" s="23"/>
      <c r="J619" s="23" t="s">
        <v>2</v>
      </c>
      <c r="K619" s="23" t="s">
        <v>2</v>
      </c>
      <c r="L619" s="24">
        <v>0.95</v>
      </c>
      <c r="M619" s="23" t="s">
        <v>46</v>
      </c>
    </row>
    <row r="620" spans="1:13" x14ac:dyDescent="0.3">
      <c r="A620" s="22">
        <v>46080</v>
      </c>
      <c r="B620" s="23" t="s">
        <v>906</v>
      </c>
      <c r="C620" s="23" t="s">
        <v>907</v>
      </c>
      <c r="D620" s="22">
        <v>46080</v>
      </c>
      <c r="E620" s="23">
        <v>5000</v>
      </c>
      <c r="F620" s="23">
        <v>0</v>
      </c>
      <c r="G620" s="23">
        <v>24067.4</v>
      </c>
      <c r="H620" s="23"/>
      <c r="I620" s="23"/>
      <c r="J620" s="23" t="s">
        <v>2</v>
      </c>
      <c r="K620" s="23" t="s">
        <v>2</v>
      </c>
      <c r="L620" s="24">
        <v>0.95</v>
      </c>
      <c r="M620" s="23" t="s">
        <v>46</v>
      </c>
    </row>
    <row r="621" spans="1:13" x14ac:dyDescent="0.3">
      <c r="A621" s="27">
        <v>46080</v>
      </c>
      <c r="B621" s="28" t="s">
        <v>50</v>
      </c>
      <c r="C621" s="28" t="s">
        <v>908</v>
      </c>
      <c r="D621" s="27">
        <v>46080</v>
      </c>
      <c r="E621" s="28">
        <v>73.81</v>
      </c>
      <c r="F621" s="28">
        <v>0</v>
      </c>
      <c r="G621" s="28">
        <v>23993.59</v>
      </c>
      <c r="H621" s="28"/>
      <c r="I621" s="28"/>
      <c r="J621" s="28" t="s">
        <v>4</v>
      </c>
      <c r="K621" s="28" t="s">
        <v>49</v>
      </c>
      <c r="L621" s="24">
        <v>0.97</v>
      </c>
      <c r="M621" s="28" t="s">
        <v>46</v>
      </c>
    </row>
    <row r="622" spans="1:13" x14ac:dyDescent="0.3">
      <c r="A622" s="35">
        <v>46080</v>
      </c>
      <c r="B622" s="36" t="s">
        <v>909</v>
      </c>
      <c r="C622" s="36" t="s">
        <v>83</v>
      </c>
      <c r="D622" s="35">
        <v>46080</v>
      </c>
      <c r="E622" s="36">
        <v>94.4</v>
      </c>
      <c r="F622" s="36">
        <v>0</v>
      </c>
      <c r="G622" s="36">
        <v>23899.19</v>
      </c>
      <c r="H622" s="36"/>
      <c r="I622" s="36"/>
      <c r="J622" s="36" t="s">
        <v>9</v>
      </c>
      <c r="K622" s="36" t="s">
        <v>9</v>
      </c>
      <c r="L622" s="24">
        <v>0.93</v>
      </c>
      <c r="M622" s="36" t="s">
        <v>46</v>
      </c>
    </row>
    <row r="623" spans="1:13" x14ac:dyDescent="0.3">
      <c r="A623" s="49">
        <v>46080</v>
      </c>
      <c r="B623" s="50" t="s">
        <v>910</v>
      </c>
      <c r="C623" s="50" t="s">
        <v>911</v>
      </c>
      <c r="D623" s="49">
        <v>46080</v>
      </c>
      <c r="E623" s="50">
        <v>0</v>
      </c>
      <c r="F623" s="50">
        <v>170</v>
      </c>
      <c r="G623" s="50">
        <v>24069.19</v>
      </c>
      <c r="H623" s="50"/>
      <c r="I623" s="50"/>
      <c r="J623" s="50" t="s">
        <v>17</v>
      </c>
      <c r="K623" s="50" t="s">
        <v>17</v>
      </c>
      <c r="L623" s="24">
        <v>0.88</v>
      </c>
      <c r="M623" s="50" t="s">
        <v>46</v>
      </c>
    </row>
    <row r="624" spans="1:13" x14ac:dyDescent="0.3">
      <c r="A624" s="27">
        <v>46081</v>
      </c>
      <c r="B624" s="28" t="s">
        <v>50</v>
      </c>
      <c r="C624" s="28" t="s">
        <v>912</v>
      </c>
      <c r="D624" s="27">
        <v>46081</v>
      </c>
      <c r="E624" s="28">
        <v>144.94</v>
      </c>
      <c r="F624" s="28">
        <v>0</v>
      </c>
      <c r="G624" s="28">
        <v>23924.25</v>
      </c>
      <c r="H624" s="28"/>
      <c r="I624" s="28"/>
      <c r="J624" s="28" t="s">
        <v>4</v>
      </c>
      <c r="K624" s="28" t="s">
        <v>49</v>
      </c>
      <c r="L624" s="24">
        <v>0.97</v>
      </c>
      <c r="M624" s="28" t="s">
        <v>46</v>
      </c>
    </row>
    <row r="625" spans="1:13" x14ac:dyDescent="0.3">
      <c r="A625" s="27">
        <v>46083</v>
      </c>
      <c r="B625" s="28" t="s">
        <v>50</v>
      </c>
      <c r="C625" s="28" t="s">
        <v>913</v>
      </c>
      <c r="D625" s="27">
        <v>46083</v>
      </c>
      <c r="E625" s="28">
        <v>221.28</v>
      </c>
      <c r="F625" s="28">
        <v>0</v>
      </c>
      <c r="G625" s="28">
        <v>23702.97</v>
      </c>
      <c r="H625" s="28"/>
      <c r="I625" s="28"/>
      <c r="J625" s="28" t="s">
        <v>4</v>
      </c>
      <c r="K625" s="28" t="s">
        <v>49</v>
      </c>
      <c r="L625" s="24">
        <v>0.97</v>
      </c>
      <c r="M625" s="28" t="s">
        <v>46</v>
      </c>
    </row>
    <row r="626" spans="1:13" x14ac:dyDescent="0.3">
      <c r="A626" s="27">
        <v>46084</v>
      </c>
      <c r="B626" s="28" t="s">
        <v>50</v>
      </c>
      <c r="C626" s="28" t="s">
        <v>914</v>
      </c>
      <c r="D626" s="27">
        <v>46084</v>
      </c>
      <c r="E626" s="28">
        <v>2116.73</v>
      </c>
      <c r="F626" s="28">
        <v>0</v>
      </c>
      <c r="G626" s="28">
        <v>21586.240000000002</v>
      </c>
      <c r="H626" s="28"/>
      <c r="I626" s="28"/>
      <c r="J626" s="28" t="s">
        <v>4</v>
      </c>
      <c r="K626" s="28" t="s">
        <v>49</v>
      </c>
      <c r="L626" s="24">
        <v>0.97</v>
      </c>
      <c r="M626" s="28" t="s">
        <v>46</v>
      </c>
    </row>
    <row r="627" spans="1:13" x14ac:dyDescent="0.3">
      <c r="A627" s="27">
        <v>46085</v>
      </c>
      <c r="B627" s="28" t="s">
        <v>50</v>
      </c>
      <c r="C627" s="28" t="s">
        <v>915</v>
      </c>
      <c r="D627" s="27">
        <v>46085</v>
      </c>
      <c r="E627" s="28">
        <v>146</v>
      </c>
      <c r="F627" s="28">
        <v>0</v>
      </c>
      <c r="G627" s="28">
        <v>21440.240000000002</v>
      </c>
      <c r="H627" s="28"/>
      <c r="I627" s="28"/>
      <c r="J627" s="28" t="s">
        <v>4</v>
      </c>
      <c r="K627" s="28" t="s">
        <v>49</v>
      </c>
      <c r="L627" s="24">
        <v>0.97</v>
      </c>
      <c r="M627" s="28" t="s">
        <v>46</v>
      </c>
    </row>
    <row r="628" spans="1:13" x14ac:dyDescent="0.3">
      <c r="A628" s="27">
        <v>46085</v>
      </c>
      <c r="B628" s="28" t="s">
        <v>50</v>
      </c>
      <c r="C628" s="28" t="s">
        <v>916</v>
      </c>
      <c r="D628" s="27">
        <v>46085</v>
      </c>
      <c r="E628" s="28">
        <v>2149.98</v>
      </c>
      <c r="F628" s="28">
        <v>0</v>
      </c>
      <c r="G628" s="28">
        <v>19290.259999999998</v>
      </c>
      <c r="H628" s="28"/>
      <c r="I628" s="28"/>
      <c r="J628" s="28" t="s">
        <v>4</v>
      </c>
      <c r="K628" s="28" t="s">
        <v>49</v>
      </c>
      <c r="L628" s="24">
        <v>0.97</v>
      </c>
      <c r="M628" s="28" t="s">
        <v>46</v>
      </c>
    </row>
    <row r="629" spans="1:13" x14ac:dyDescent="0.3">
      <c r="A629" s="27">
        <v>46086</v>
      </c>
      <c r="B629" s="28" t="s">
        <v>50</v>
      </c>
      <c r="C629" s="28" t="s">
        <v>917</v>
      </c>
      <c r="D629" s="27">
        <v>46086</v>
      </c>
      <c r="E629" s="28">
        <v>72.239999999999995</v>
      </c>
      <c r="F629" s="28">
        <v>0</v>
      </c>
      <c r="G629" s="28">
        <v>19218.02</v>
      </c>
      <c r="H629" s="28"/>
      <c r="I629" s="28"/>
      <c r="J629" s="28" t="s">
        <v>4</v>
      </c>
      <c r="K629" s="28" t="s">
        <v>49</v>
      </c>
      <c r="L629" s="24">
        <v>0.97</v>
      </c>
      <c r="M629" s="28" t="s">
        <v>46</v>
      </c>
    </row>
    <row r="630" spans="1:13" x14ac:dyDescent="0.3">
      <c r="A630" s="25">
        <v>46087</v>
      </c>
      <c r="B630" s="26" t="s">
        <v>918</v>
      </c>
      <c r="C630" s="26" t="s">
        <v>919</v>
      </c>
      <c r="D630" s="25">
        <v>46087</v>
      </c>
      <c r="E630" s="26">
        <v>0</v>
      </c>
      <c r="F630" s="26">
        <v>948.7</v>
      </c>
      <c r="G630" s="26">
        <v>20166.72</v>
      </c>
      <c r="H630" s="26"/>
      <c r="I630" s="26"/>
      <c r="J630" s="26" t="s">
        <v>3</v>
      </c>
      <c r="K630" s="26" t="s">
        <v>49</v>
      </c>
      <c r="L630" s="24">
        <v>0.93</v>
      </c>
      <c r="M630" s="26" t="s">
        <v>46</v>
      </c>
    </row>
    <row r="631" spans="1:13" x14ac:dyDescent="0.3">
      <c r="A631" s="27">
        <v>46087</v>
      </c>
      <c r="B631" s="28" t="s">
        <v>50</v>
      </c>
      <c r="C631" s="28" t="s">
        <v>920</v>
      </c>
      <c r="D631" s="27">
        <v>46087</v>
      </c>
      <c r="E631" s="28">
        <v>72.239999999999995</v>
      </c>
      <c r="F631" s="28">
        <v>0</v>
      </c>
      <c r="G631" s="28">
        <v>20094.48</v>
      </c>
      <c r="H631" s="28"/>
      <c r="I631" s="28"/>
      <c r="J631" s="28" t="s">
        <v>4</v>
      </c>
      <c r="K631" s="28" t="s">
        <v>49</v>
      </c>
      <c r="L631" s="24">
        <v>0.97</v>
      </c>
      <c r="M631" s="28" t="s">
        <v>46</v>
      </c>
    </row>
    <row r="632" spans="1:13" x14ac:dyDescent="0.3">
      <c r="A632" s="47">
        <v>46087</v>
      </c>
      <c r="B632" s="48" t="s">
        <v>921</v>
      </c>
      <c r="C632" s="48" t="s">
        <v>922</v>
      </c>
      <c r="D632" s="47">
        <v>46087</v>
      </c>
      <c r="E632" s="48">
        <v>0</v>
      </c>
      <c r="F632" s="48">
        <v>85000</v>
      </c>
      <c r="G632" s="48">
        <v>105094.48</v>
      </c>
      <c r="H632" s="48"/>
      <c r="I632" s="48"/>
      <c r="J632" s="48" t="s">
        <v>16</v>
      </c>
      <c r="K632" s="48" t="s">
        <v>157</v>
      </c>
      <c r="L632" s="24">
        <v>0.88</v>
      </c>
      <c r="M632" s="48" t="s">
        <v>46</v>
      </c>
    </row>
    <row r="633" spans="1:13" x14ac:dyDescent="0.3">
      <c r="A633" s="29">
        <v>46087</v>
      </c>
      <c r="B633" s="30" t="s">
        <v>59</v>
      </c>
      <c r="C633" s="30" t="s">
        <v>923</v>
      </c>
      <c r="D633" s="29">
        <v>46087</v>
      </c>
      <c r="E633" s="30">
        <v>0</v>
      </c>
      <c r="F633" s="30">
        <v>769.5</v>
      </c>
      <c r="G633" s="30">
        <v>105863.98</v>
      </c>
      <c r="H633" s="30"/>
      <c r="I633" s="30"/>
      <c r="J633" s="30" t="s">
        <v>5</v>
      </c>
      <c r="K633" s="30" t="s">
        <v>49</v>
      </c>
      <c r="L633" s="24">
        <v>0.97</v>
      </c>
      <c r="M633" s="30" t="s">
        <v>46</v>
      </c>
    </row>
    <row r="634" spans="1:13" x14ac:dyDescent="0.3">
      <c r="A634" s="57">
        <v>46088</v>
      </c>
      <c r="B634" s="58" t="s">
        <v>924</v>
      </c>
      <c r="C634" s="58" t="s">
        <v>83</v>
      </c>
      <c r="D634" s="57">
        <v>46088</v>
      </c>
      <c r="E634" s="58">
        <v>100000</v>
      </c>
      <c r="F634" s="58">
        <v>0</v>
      </c>
      <c r="G634" s="58">
        <v>5863.98</v>
      </c>
      <c r="H634" s="58"/>
      <c r="I634" s="58"/>
      <c r="J634" s="58" t="s">
        <v>25</v>
      </c>
      <c r="K634" s="58" t="s">
        <v>343</v>
      </c>
      <c r="L634" s="24">
        <v>0.9</v>
      </c>
      <c r="M634" s="58" t="s">
        <v>46</v>
      </c>
    </row>
    <row r="635" spans="1:13" x14ac:dyDescent="0.3">
      <c r="A635" s="31">
        <v>46088</v>
      </c>
      <c r="B635" s="32" t="s">
        <v>925</v>
      </c>
      <c r="C635" s="32" t="s">
        <v>926</v>
      </c>
      <c r="D635" s="31">
        <v>46088</v>
      </c>
      <c r="E635" s="32">
        <v>0</v>
      </c>
      <c r="F635" s="32">
        <v>1880</v>
      </c>
      <c r="G635" s="32">
        <v>7743.98</v>
      </c>
      <c r="H635" s="32"/>
      <c r="I635" s="32"/>
      <c r="J635" s="32" t="s">
        <v>6</v>
      </c>
      <c r="K635" s="32" t="s">
        <v>63</v>
      </c>
      <c r="L635" s="24">
        <v>0.95</v>
      </c>
      <c r="M635" s="32" t="s">
        <v>46</v>
      </c>
    </row>
    <row r="636" spans="1:13" x14ac:dyDescent="0.3">
      <c r="A636" s="25">
        <v>46090</v>
      </c>
      <c r="B636" s="26" t="s">
        <v>927</v>
      </c>
      <c r="C636" s="26" t="s">
        <v>928</v>
      </c>
      <c r="D636" s="25">
        <v>46090</v>
      </c>
      <c r="E636" s="26">
        <v>0</v>
      </c>
      <c r="F636" s="26">
        <v>19941.37</v>
      </c>
      <c r="G636" s="26">
        <v>27685.35</v>
      </c>
      <c r="H636" s="26"/>
      <c r="I636" s="26"/>
      <c r="J636" s="26" t="s">
        <v>3</v>
      </c>
      <c r="K636" s="26" t="s">
        <v>49</v>
      </c>
      <c r="L636" s="24">
        <v>0.93</v>
      </c>
      <c r="M636" s="26" t="s">
        <v>46</v>
      </c>
    </row>
    <row r="637" spans="1:13" x14ac:dyDescent="0.3">
      <c r="A637" s="27">
        <v>46090</v>
      </c>
      <c r="B637" s="28" t="s">
        <v>50</v>
      </c>
      <c r="C637" s="28" t="s">
        <v>929</v>
      </c>
      <c r="D637" s="27">
        <v>46090</v>
      </c>
      <c r="E637" s="28">
        <v>218.55</v>
      </c>
      <c r="F637" s="28">
        <v>0</v>
      </c>
      <c r="G637" s="28">
        <v>27466.799999999999</v>
      </c>
      <c r="H637" s="28"/>
      <c r="I637" s="28"/>
      <c r="J637" s="28" t="s">
        <v>4</v>
      </c>
      <c r="K637" s="28" t="s">
        <v>49</v>
      </c>
      <c r="L637" s="24">
        <v>0.97</v>
      </c>
      <c r="M637" s="28" t="s">
        <v>46</v>
      </c>
    </row>
    <row r="638" spans="1:13" x14ac:dyDescent="0.3">
      <c r="A638" s="27">
        <v>46090</v>
      </c>
      <c r="B638" s="28" t="s">
        <v>50</v>
      </c>
      <c r="C638" s="28" t="s">
        <v>930</v>
      </c>
      <c r="D638" s="27">
        <v>46090</v>
      </c>
      <c r="E638" s="28">
        <v>2716.8</v>
      </c>
      <c r="F638" s="28">
        <v>0</v>
      </c>
      <c r="G638" s="28">
        <v>24750</v>
      </c>
      <c r="H638" s="28"/>
      <c r="I638" s="28"/>
      <c r="J638" s="28" t="s">
        <v>4</v>
      </c>
      <c r="K638" s="28" t="s">
        <v>49</v>
      </c>
      <c r="L638" s="24">
        <v>0.97</v>
      </c>
      <c r="M638" s="28" t="s">
        <v>46</v>
      </c>
    </row>
    <row r="639" spans="1:13" x14ac:dyDescent="0.3">
      <c r="A639" s="27">
        <v>46091</v>
      </c>
      <c r="B639" s="28" t="s">
        <v>50</v>
      </c>
      <c r="C639" s="28" t="s">
        <v>931</v>
      </c>
      <c r="D639" s="27">
        <v>46091</v>
      </c>
      <c r="E639" s="28">
        <v>71.88</v>
      </c>
      <c r="F639" s="28">
        <v>0</v>
      </c>
      <c r="G639" s="28">
        <v>24678.12</v>
      </c>
      <c r="H639" s="28"/>
      <c r="I639" s="28"/>
      <c r="J639" s="28" t="s">
        <v>4</v>
      </c>
      <c r="K639" s="28" t="s">
        <v>49</v>
      </c>
      <c r="L639" s="24">
        <v>0.97</v>
      </c>
      <c r="M639" s="28" t="s">
        <v>46</v>
      </c>
    </row>
    <row r="640" spans="1:13" x14ac:dyDescent="0.3">
      <c r="A640" s="25">
        <v>46092</v>
      </c>
      <c r="B640" s="26" t="s">
        <v>932</v>
      </c>
      <c r="C640" s="26" t="s">
        <v>933</v>
      </c>
      <c r="D640" s="25">
        <v>46092</v>
      </c>
      <c r="E640" s="26">
        <v>0</v>
      </c>
      <c r="F640" s="26">
        <v>1447.03</v>
      </c>
      <c r="G640" s="26">
        <v>26125.15</v>
      </c>
      <c r="H640" s="26"/>
      <c r="I640" s="26"/>
      <c r="J640" s="26" t="s">
        <v>3</v>
      </c>
      <c r="K640" s="26" t="s">
        <v>49</v>
      </c>
      <c r="L640" s="24">
        <v>0.93</v>
      </c>
      <c r="M640" s="26" t="s">
        <v>46</v>
      </c>
    </row>
    <row r="641" spans="1:13" x14ac:dyDescent="0.3">
      <c r="A641" s="27">
        <v>46092</v>
      </c>
      <c r="B641" s="28" t="s">
        <v>50</v>
      </c>
      <c r="C641" s="28" t="s">
        <v>934</v>
      </c>
      <c r="D641" s="27">
        <v>46092</v>
      </c>
      <c r="E641" s="28">
        <v>71.88</v>
      </c>
      <c r="F641" s="28">
        <v>0</v>
      </c>
      <c r="G641" s="28">
        <v>26053.27</v>
      </c>
      <c r="H641" s="28"/>
      <c r="I641" s="28"/>
      <c r="J641" s="28" t="s">
        <v>4</v>
      </c>
      <c r="K641" s="28" t="s">
        <v>49</v>
      </c>
      <c r="L641" s="24">
        <v>0.97</v>
      </c>
      <c r="M641" s="28" t="s">
        <v>46</v>
      </c>
    </row>
    <row r="642" spans="1:13" x14ac:dyDescent="0.3">
      <c r="A642" s="27">
        <v>46092</v>
      </c>
      <c r="B642" s="28" t="s">
        <v>50</v>
      </c>
      <c r="C642" s="28" t="s">
        <v>935</v>
      </c>
      <c r="D642" s="27">
        <v>46092</v>
      </c>
      <c r="E642" s="28">
        <v>2382.15</v>
      </c>
      <c r="F642" s="28">
        <v>0</v>
      </c>
      <c r="G642" s="28">
        <v>23671.119999999999</v>
      </c>
      <c r="H642" s="28"/>
      <c r="I642" s="28"/>
      <c r="J642" s="28" t="s">
        <v>4</v>
      </c>
      <c r="K642" s="28" t="s">
        <v>49</v>
      </c>
      <c r="L642" s="24">
        <v>0.97</v>
      </c>
      <c r="M642" s="28" t="s">
        <v>46</v>
      </c>
    </row>
    <row r="643" spans="1:13" x14ac:dyDescent="0.3">
      <c r="A643" s="27">
        <v>46093</v>
      </c>
      <c r="B643" s="28" t="s">
        <v>50</v>
      </c>
      <c r="C643" s="28" t="s">
        <v>936</v>
      </c>
      <c r="D643" s="27">
        <v>46093</v>
      </c>
      <c r="E643" s="28">
        <v>71.55</v>
      </c>
      <c r="F643" s="28">
        <v>0</v>
      </c>
      <c r="G643" s="28">
        <v>23599.57</v>
      </c>
      <c r="H643" s="28"/>
      <c r="I643" s="28"/>
      <c r="J643" s="28" t="s">
        <v>4</v>
      </c>
      <c r="K643" s="28" t="s">
        <v>49</v>
      </c>
      <c r="L643" s="24">
        <v>0.97</v>
      </c>
      <c r="M643" s="28" t="s">
        <v>46</v>
      </c>
    </row>
    <row r="644" spans="1:13" x14ac:dyDescent="0.3">
      <c r="A644" s="27">
        <v>46093</v>
      </c>
      <c r="B644" s="28" t="s">
        <v>50</v>
      </c>
      <c r="C644" s="28" t="s">
        <v>937</v>
      </c>
      <c r="D644" s="27">
        <v>46093</v>
      </c>
      <c r="E644" s="28">
        <v>2247.48</v>
      </c>
      <c r="F644" s="28">
        <v>0</v>
      </c>
      <c r="G644" s="28">
        <v>21352.09</v>
      </c>
      <c r="H644" s="28"/>
      <c r="I644" s="28"/>
      <c r="J644" s="28" t="s">
        <v>4</v>
      </c>
      <c r="K644" s="28" t="s">
        <v>49</v>
      </c>
      <c r="L644" s="24">
        <v>0.97</v>
      </c>
      <c r="M644" s="28" t="s">
        <v>46</v>
      </c>
    </row>
    <row r="645" spans="1:13" x14ac:dyDescent="0.3">
      <c r="A645" s="27">
        <v>46094</v>
      </c>
      <c r="B645" s="28" t="s">
        <v>50</v>
      </c>
      <c r="C645" s="28" t="s">
        <v>938</v>
      </c>
      <c r="D645" s="27">
        <v>46094</v>
      </c>
      <c r="E645" s="28">
        <v>70.75</v>
      </c>
      <c r="F645" s="28">
        <v>0</v>
      </c>
      <c r="G645" s="28">
        <v>21281.34</v>
      </c>
      <c r="H645" s="28"/>
      <c r="I645" s="28"/>
      <c r="J645" s="28" t="s">
        <v>4</v>
      </c>
      <c r="K645" s="28" t="s">
        <v>49</v>
      </c>
      <c r="L645" s="24">
        <v>0.97</v>
      </c>
      <c r="M645" s="28" t="s">
        <v>46</v>
      </c>
    </row>
    <row r="646" spans="1:13" x14ac:dyDescent="0.3">
      <c r="A646" s="27">
        <v>46094</v>
      </c>
      <c r="B646" s="28" t="s">
        <v>50</v>
      </c>
      <c r="C646" s="28" t="s">
        <v>939</v>
      </c>
      <c r="D646" s="27">
        <v>46094</v>
      </c>
      <c r="E646" s="28">
        <v>3953.98</v>
      </c>
      <c r="F646" s="28">
        <v>0</v>
      </c>
      <c r="G646" s="28">
        <v>17327.36</v>
      </c>
      <c r="H646" s="28"/>
      <c r="I646" s="28"/>
      <c r="J646" s="28" t="s">
        <v>4</v>
      </c>
      <c r="K646" s="28" t="s">
        <v>49</v>
      </c>
      <c r="L646" s="24">
        <v>0.97</v>
      </c>
      <c r="M646" s="28" t="s">
        <v>46</v>
      </c>
    </row>
    <row r="647" spans="1:13" x14ac:dyDescent="0.3">
      <c r="A647" s="27">
        <v>46097</v>
      </c>
      <c r="B647" s="28" t="s">
        <v>50</v>
      </c>
      <c r="C647" s="28" t="s">
        <v>940</v>
      </c>
      <c r="D647" s="27">
        <v>46097</v>
      </c>
      <c r="E647" s="28">
        <v>208.02</v>
      </c>
      <c r="F647" s="28">
        <v>0</v>
      </c>
      <c r="G647" s="28">
        <v>17119.34</v>
      </c>
      <c r="H647" s="28"/>
      <c r="I647" s="28"/>
      <c r="J647" s="28" t="s">
        <v>4</v>
      </c>
      <c r="K647" s="28" t="s">
        <v>49</v>
      </c>
      <c r="L647" s="24">
        <v>0.97</v>
      </c>
      <c r="M647" s="28" t="s">
        <v>46</v>
      </c>
    </row>
    <row r="648" spans="1:13" x14ac:dyDescent="0.3">
      <c r="A648" s="25">
        <v>46098</v>
      </c>
      <c r="B648" s="26" t="s">
        <v>941</v>
      </c>
      <c r="C648" s="26" t="s">
        <v>942</v>
      </c>
      <c r="D648" s="25">
        <v>46098</v>
      </c>
      <c r="E648" s="26">
        <v>0</v>
      </c>
      <c r="F648" s="26">
        <v>1792.77</v>
      </c>
      <c r="G648" s="26">
        <v>18912.11</v>
      </c>
      <c r="H648" s="26"/>
      <c r="I648" s="26"/>
      <c r="J648" s="26" t="s">
        <v>3</v>
      </c>
      <c r="K648" s="26" t="s">
        <v>49</v>
      </c>
      <c r="L648" s="24">
        <v>0.93</v>
      </c>
      <c r="M648" s="26" t="s">
        <v>46</v>
      </c>
    </row>
    <row r="649" spans="1:13" x14ac:dyDescent="0.3">
      <c r="A649" s="27">
        <v>46098</v>
      </c>
      <c r="B649" s="28" t="s">
        <v>50</v>
      </c>
      <c r="C649" s="28" t="s">
        <v>943</v>
      </c>
      <c r="D649" s="27">
        <v>46098</v>
      </c>
      <c r="E649" s="28">
        <v>69.34</v>
      </c>
      <c r="F649" s="28">
        <v>0</v>
      </c>
      <c r="G649" s="28">
        <v>18842.77</v>
      </c>
      <c r="H649" s="28"/>
      <c r="I649" s="28"/>
      <c r="J649" s="28" t="s">
        <v>4</v>
      </c>
      <c r="K649" s="28" t="s">
        <v>49</v>
      </c>
      <c r="L649" s="24">
        <v>0.97</v>
      </c>
      <c r="M649" s="28" t="s">
        <v>46</v>
      </c>
    </row>
    <row r="650" spans="1:13" x14ac:dyDescent="0.3">
      <c r="A650" s="25">
        <v>46099</v>
      </c>
      <c r="B650" s="26" t="s">
        <v>944</v>
      </c>
      <c r="C650" s="26" t="s">
        <v>945</v>
      </c>
      <c r="D650" s="25">
        <v>46099</v>
      </c>
      <c r="E650" s="26">
        <v>0</v>
      </c>
      <c r="F650" s="26">
        <v>2463.37</v>
      </c>
      <c r="G650" s="26">
        <v>21306.14</v>
      </c>
      <c r="H650" s="26"/>
      <c r="I650" s="26"/>
      <c r="J650" s="26" t="s">
        <v>3</v>
      </c>
      <c r="K650" s="26" t="s">
        <v>49</v>
      </c>
      <c r="L650" s="24">
        <v>0.93</v>
      </c>
      <c r="M650" s="26" t="s">
        <v>46</v>
      </c>
    </row>
    <row r="651" spans="1:13" x14ac:dyDescent="0.3">
      <c r="A651" s="27">
        <v>46099</v>
      </c>
      <c r="B651" s="28" t="s">
        <v>50</v>
      </c>
      <c r="C651" s="28" t="s">
        <v>946</v>
      </c>
      <c r="D651" s="27">
        <v>46099</v>
      </c>
      <c r="E651" s="28">
        <v>69.98</v>
      </c>
      <c r="F651" s="28">
        <v>0</v>
      </c>
      <c r="G651" s="28">
        <v>21236.16</v>
      </c>
      <c r="H651" s="28"/>
      <c r="I651" s="28"/>
      <c r="J651" s="28" t="s">
        <v>4</v>
      </c>
      <c r="K651" s="28" t="s">
        <v>49</v>
      </c>
      <c r="L651" s="24">
        <v>0.97</v>
      </c>
      <c r="M651" s="28" t="s">
        <v>46</v>
      </c>
    </row>
    <row r="652" spans="1:13" x14ac:dyDescent="0.3">
      <c r="A652" s="27">
        <v>46100</v>
      </c>
      <c r="B652" s="28" t="s">
        <v>50</v>
      </c>
      <c r="C652" s="28" t="s">
        <v>947</v>
      </c>
      <c r="D652" s="27">
        <v>46100</v>
      </c>
      <c r="E652" s="28">
        <v>4745.66</v>
      </c>
      <c r="F652" s="28">
        <v>0</v>
      </c>
      <c r="G652" s="28">
        <v>16490.5</v>
      </c>
      <c r="H652" s="28"/>
      <c r="I652" s="28"/>
      <c r="J652" s="28" t="s">
        <v>4</v>
      </c>
      <c r="K652" s="28" t="s">
        <v>49</v>
      </c>
      <c r="L652" s="24">
        <v>0.97</v>
      </c>
      <c r="M652" s="28" t="s">
        <v>46</v>
      </c>
    </row>
    <row r="653" spans="1:13" x14ac:dyDescent="0.3">
      <c r="A653" s="27">
        <v>46101</v>
      </c>
      <c r="B653" s="28" t="s">
        <v>50</v>
      </c>
      <c r="C653" s="28" t="s">
        <v>948</v>
      </c>
      <c r="D653" s="27">
        <v>46101</v>
      </c>
      <c r="E653" s="28">
        <v>69.19</v>
      </c>
      <c r="F653" s="28">
        <v>0</v>
      </c>
      <c r="G653" s="28">
        <v>16421.310000000001</v>
      </c>
      <c r="H653" s="28"/>
      <c r="I653" s="28"/>
      <c r="J653" s="28" t="s">
        <v>4</v>
      </c>
      <c r="K653" s="28" t="s">
        <v>49</v>
      </c>
      <c r="L653" s="24">
        <v>0.97</v>
      </c>
      <c r="M653" s="28" t="s">
        <v>46</v>
      </c>
    </row>
    <row r="654" spans="1:13" x14ac:dyDescent="0.3">
      <c r="A654" s="33">
        <v>46102</v>
      </c>
      <c r="B654" s="34" t="s">
        <v>949</v>
      </c>
      <c r="C654" s="34" t="s">
        <v>950</v>
      </c>
      <c r="D654" s="33">
        <v>46102</v>
      </c>
      <c r="E654" s="34">
        <v>295</v>
      </c>
      <c r="F654" s="34">
        <v>0</v>
      </c>
      <c r="G654" s="34">
        <v>16126.31</v>
      </c>
      <c r="H654" s="34"/>
      <c r="I654" s="34"/>
      <c r="J654" s="34" t="s">
        <v>7</v>
      </c>
      <c r="K654" s="34" t="s">
        <v>7</v>
      </c>
      <c r="L654" s="24">
        <v>0.9</v>
      </c>
      <c r="M654" s="34" t="s">
        <v>46</v>
      </c>
    </row>
    <row r="655" spans="1:13" x14ac:dyDescent="0.3">
      <c r="A655" s="25">
        <v>46104</v>
      </c>
      <c r="B655" s="26" t="s">
        <v>951</v>
      </c>
      <c r="C655" s="26" t="s">
        <v>952</v>
      </c>
      <c r="D655" s="25">
        <v>46104</v>
      </c>
      <c r="E655" s="26">
        <v>0</v>
      </c>
      <c r="F655" s="26">
        <v>625.89</v>
      </c>
      <c r="G655" s="26">
        <v>16752.2</v>
      </c>
      <c r="H655" s="26"/>
      <c r="I655" s="26"/>
      <c r="J655" s="26" t="s">
        <v>3</v>
      </c>
      <c r="K655" s="26" t="s">
        <v>49</v>
      </c>
      <c r="L655" s="24">
        <v>0.93</v>
      </c>
      <c r="M655" s="26" t="s">
        <v>46</v>
      </c>
    </row>
    <row r="656" spans="1:13" x14ac:dyDescent="0.3">
      <c r="A656" s="27">
        <v>46104</v>
      </c>
      <c r="B656" s="28" t="s">
        <v>50</v>
      </c>
      <c r="C656" s="28" t="s">
        <v>953</v>
      </c>
      <c r="D656" s="27">
        <v>46104</v>
      </c>
      <c r="E656" s="28">
        <v>207.57</v>
      </c>
      <c r="F656" s="28">
        <v>0</v>
      </c>
      <c r="G656" s="28">
        <v>16544.63</v>
      </c>
      <c r="H656" s="28"/>
      <c r="I656" s="28"/>
      <c r="J656" s="28" t="s">
        <v>4</v>
      </c>
      <c r="K656" s="28" t="s">
        <v>49</v>
      </c>
      <c r="L656" s="24">
        <v>0.97</v>
      </c>
      <c r="M656" s="28" t="s">
        <v>46</v>
      </c>
    </row>
    <row r="657" spans="1:13" x14ac:dyDescent="0.3">
      <c r="A657" s="27">
        <v>46104</v>
      </c>
      <c r="B657" s="28" t="s">
        <v>50</v>
      </c>
      <c r="C657" s="28" t="s">
        <v>954</v>
      </c>
      <c r="D657" s="27">
        <v>46104</v>
      </c>
      <c r="E657" s="28">
        <v>7701.08</v>
      </c>
      <c r="F657" s="28">
        <v>0</v>
      </c>
      <c r="G657" s="28">
        <v>8843.5499999999993</v>
      </c>
      <c r="H657" s="28"/>
      <c r="I657" s="28"/>
      <c r="J657" s="28" t="s">
        <v>4</v>
      </c>
      <c r="K657" s="28" t="s">
        <v>49</v>
      </c>
      <c r="L657" s="24">
        <v>0.97</v>
      </c>
      <c r="M657" s="28" t="s">
        <v>46</v>
      </c>
    </row>
    <row r="658" spans="1:13" x14ac:dyDescent="0.3">
      <c r="A658" s="27">
        <v>46105</v>
      </c>
      <c r="B658" s="28" t="s">
        <v>50</v>
      </c>
      <c r="C658" s="28" t="s">
        <v>955</v>
      </c>
      <c r="D658" s="27">
        <v>46105</v>
      </c>
      <c r="E658" s="28">
        <v>66.67</v>
      </c>
      <c r="F658" s="28">
        <v>0</v>
      </c>
      <c r="G658" s="28">
        <v>8776.8799999999992</v>
      </c>
      <c r="H658" s="28"/>
      <c r="I658" s="28"/>
      <c r="J658" s="28" t="s">
        <v>4</v>
      </c>
      <c r="K658" s="28" t="s">
        <v>49</v>
      </c>
      <c r="L658" s="24">
        <v>0.97</v>
      </c>
      <c r="M658" s="28" t="s">
        <v>46</v>
      </c>
    </row>
    <row r="659" spans="1:13" x14ac:dyDescent="0.3">
      <c r="A659" s="25">
        <v>46106</v>
      </c>
      <c r="B659" s="26" t="s">
        <v>956</v>
      </c>
      <c r="C659" s="26" t="s">
        <v>957</v>
      </c>
      <c r="D659" s="25">
        <v>46106</v>
      </c>
      <c r="E659" s="26">
        <v>0</v>
      </c>
      <c r="F659" s="26">
        <v>3362.11</v>
      </c>
      <c r="G659" s="26">
        <v>12138.99</v>
      </c>
      <c r="H659" s="26"/>
      <c r="I659" s="26"/>
      <c r="J659" s="26" t="s">
        <v>3</v>
      </c>
      <c r="K659" s="26" t="s">
        <v>49</v>
      </c>
      <c r="L659" s="24">
        <v>0.93</v>
      </c>
      <c r="M659" s="26" t="s">
        <v>46</v>
      </c>
    </row>
    <row r="660" spans="1:13" x14ac:dyDescent="0.3">
      <c r="A660" s="35">
        <v>46106</v>
      </c>
      <c r="B660" s="36" t="s">
        <v>958</v>
      </c>
      <c r="C660" s="36" t="s">
        <v>83</v>
      </c>
      <c r="D660" s="35">
        <v>46106</v>
      </c>
      <c r="E660" s="36">
        <v>82.6</v>
      </c>
      <c r="F660" s="36">
        <v>0</v>
      </c>
      <c r="G660" s="36">
        <v>12056.39</v>
      </c>
      <c r="H660" s="36"/>
      <c r="I660" s="36"/>
      <c r="J660" s="36" t="s">
        <v>9</v>
      </c>
      <c r="K660" s="36" t="s">
        <v>9</v>
      </c>
      <c r="L660" s="24">
        <v>0.93</v>
      </c>
      <c r="M660" s="36" t="s">
        <v>46</v>
      </c>
    </row>
    <row r="661" spans="1:13" x14ac:dyDescent="0.3">
      <c r="A661" s="27">
        <v>46106</v>
      </c>
      <c r="B661" s="28" t="s">
        <v>50</v>
      </c>
      <c r="C661" s="28" t="s">
        <v>959</v>
      </c>
      <c r="D661" s="27">
        <v>46106</v>
      </c>
      <c r="E661" s="28">
        <v>66.67</v>
      </c>
      <c r="F661" s="28">
        <v>0</v>
      </c>
      <c r="G661" s="28">
        <v>11989.72</v>
      </c>
      <c r="H661" s="28"/>
      <c r="I661" s="28"/>
      <c r="J661" s="28" t="s">
        <v>4</v>
      </c>
      <c r="K661" s="28" t="s">
        <v>49</v>
      </c>
      <c r="L661" s="24">
        <v>0.97</v>
      </c>
      <c r="M661" s="28" t="s">
        <v>46</v>
      </c>
    </row>
    <row r="662" spans="1:13" x14ac:dyDescent="0.3">
      <c r="A662" s="25">
        <v>46108</v>
      </c>
      <c r="B662" s="26" t="s">
        <v>960</v>
      </c>
      <c r="C662" s="26" t="s">
        <v>961</v>
      </c>
      <c r="D662" s="25">
        <v>46108</v>
      </c>
      <c r="E662" s="26">
        <v>0</v>
      </c>
      <c r="F662" s="26">
        <v>4188.87</v>
      </c>
      <c r="G662" s="26">
        <v>16178.59</v>
      </c>
      <c r="H662" s="26"/>
      <c r="I662" s="26"/>
      <c r="J662" s="26" t="s">
        <v>3</v>
      </c>
      <c r="K662" s="26" t="s">
        <v>49</v>
      </c>
      <c r="L662" s="24">
        <v>0.93</v>
      </c>
      <c r="M662" s="26" t="s">
        <v>46</v>
      </c>
    </row>
    <row r="663" spans="1:13" x14ac:dyDescent="0.3">
      <c r="A663" s="27">
        <v>46108</v>
      </c>
      <c r="B663" s="28" t="s">
        <v>50</v>
      </c>
      <c r="C663" s="28" t="s">
        <v>962</v>
      </c>
      <c r="D663" s="27">
        <v>46108</v>
      </c>
      <c r="E663" s="28">
        <v>135.74</v>
      </c>
      <c r="F663" s="28">
        <v>0</v>
      </c>
      <c r="G663" s="28">
        <v>16042.85</v>
      </c>
      <c r="H663" s="28"/>
      <c r="I663" s="28"/>
      <c r="J663" s="28" t="s">
        <v>4</v>
      </c>
      <c r="K663" s="28" t="s">
        <v>49</v>
      </c>
      <c r="L663" s="24">
        <v>0.97</v>
      </c>
      <c r="M663" s="28" t="s">
        <v>46</v>
      </c>
    </row>
    <row r="664" spans="1:13" x14ac:dyDescent="0.3">
      <c r="A664" s="27">
        <v>46108</v>
      </c>
      <c r="B664" s="28" t="s">
        <v>50</v>
      </c>
      <c r="C664" s="28" t="s">
        <v>963</v>
      </c>
      <c r="D664" s="27">
        <v>46108</v>
      </c>
      <c r="E664" s="28">
        <v>4177.17</v>
      </c>
      <c r="F664" s="28">
        <v>0</v>
      </c>
      <c r="G664" s="28">
        <v>11865.68</v>
      </c>
      <c r="H664" s="28"/>
      <c r="I664" s="28"/>
      <c r="J664" s="28" t="s">
        <v>4</v>
      </c>
      <c r="K664" s="28" t="s">
        <v>49</v>
      </c>
      <c r="L664" s="24">
        <v>0.97</v>
      </c>
      <c r="M664" s="28" t="s">
        <v>46</v>
      </c>
    </row>
    <row r="665" spans="1:13" x14ac:dyDescent="0.3">
      <c r="A665" s="22">
        <v>46111</v>
      </c>
      <c r="B665" s="23" t="s">
        <v>964</v>
      </c>
      <c r="C665" s="23" t="s">
        <v>965</v>
      </c>
      <c r="D665" s="22">
        <v>46111</v>
      </c>
      <c r="E665" s="23">
        <v>5000</v>
      </c>
      <c r="F665" s="23">
        <v>0</v>
      </c>
      <c r="G665" s="23">
        <v>6865.68</v>
      </c>
      <c r="H665" s="23"/>
      <c r="I665" s="23"/>
      <c r="J665" s="23" t="s">
        <v>2</v>
      </c>
      <c r="K665" s="23" t="s">
        <v>2</v>
      </c>
      <c r="L665" s="24">
        <v>0.95</v>
      </c>
      <c r="M665" s="23" t="s">
        <v>46</v>
      </c>
    </row>
    <row r="666" spans="1:13" x14ac:dyDescent="0.3">
      <c r="A666" s="22">
        <v>46111</v>
      </c>
      <c r="B666" s="23" t="s">
        <v>966</v>
      </c>
      <c r="C666" s="23" t="s">
        <v>967</v>
      </c>
      <c r="D666" s="22">
        <v>46111</v>
      </c>
      <c r="E666" s="23">
        <v>5000</v>
      </c>
      <c r="F666" s="23">
        <v>0</v>
      </c>
      <c r="G666" s="23">
        <v>1865.68</v>
      </c>
      <c r="H666" s="23"/>
      <c r="I666" s="23"/>
      <c r="J666" s="23" t="s">
        <v>2</v>
      </c>
      <c r="K666" s="23" t="s">
        <v>2</v>
      </c>
      <c r="L666" s="24">
        <v>0.95</v>
      </c>
      <c r="M666" s="23" t="s">
        <v>46</v>
      </c>
    </row>
    <row r="667" spans="1:13" x14ac:dyDescent="0.3">
      <c r="A667" s="27">
        <v>46111</v>
      </c>
      <c r="B667" s="28" t="s">
        <v>50</v>
      </c>
      <c r="C667" s="28" t="s">
        <v>968</v>
      </c>
      <c r="D667" s="27">
        <v>46111</v>
      </c>
      <c r="E667" s="28">
        <v>203.61</v>
      </c>
      <c r="F667" s="28">
        <v>0</v>
      </c>
      <c r="G667" s="28">
        <v>1662.07</v>
      </c>
      <c r="H667" s="28"/>
      <c r="I667" s="28"/>
      <c r="J667" s="28" t="s">
        <v>4</v>
      </c>
      <c r="K667" s="28" t="s">
        <v>49</v>
      </c>
      <c r="L667" s="24">
        <v>0.97</v>
      </c>
      <c r="M667" s="28" t="s">
        <v>46</v>
      </c>
    </row>
    <row r="668" spans="1:13" x14ac:dyDescent="0.3">
      <c r="A668" s="27">
        <v>46112</v>
      </c>
      <c r="B668" s="28" t="s">
        <v>50</v>
      </c>
      <c r="C668" s="28" t="s">
        <v>969</v>
      </c>
      <c r="D668" s="27">
        <v>46112</v>
      </c>
      <c r="E668" s="28">
        <v>1662.07</v>
      </c>
      <c r="F668" s="28">
        <v>0</v>
      </c>
      <c r="G668" s="28">
        <v>0</v>
      </c>
      <c r="H668" s="28"/>
      <c r="I668" s="28"/>
      <c r="J668" s="28" t="s">
        <v>4</v>
      </c>
      <c r="K668" s="28" t="s">
        <v>49</v>
      </c>
      <c r="L668" s="24">
        <v>0.97</v>
      </c>
      <c r="M668" s="28" t="s">
        <v>46</v>
      </c>
    </row>
    <row r="669" spans="1:13" x14ac:dyDescent="0.3">
      <c r="A669" s="55">
        <v>46113</v>
      </c>
      <c r="B669" s="56" t="s">
        <v>970</v>
      </c>
      <c r="C669" s="56" t="s">
        <v>83</v>
      </c>
      <c r="D669" s="55">
        <v>46112</v>
      </c>
      <c r="E669" s="56">
        <v>0</v>
      </c>
      <c r="F669" s="56">
        <v>162</v>
      </c>
      <c r="G669" s="56">
        <v>162</v>
      </c>
      <c r="H669" s="56"/>
      <c r="I669" s="56"/>
      <c r="J669" s="56" t="s">
        <v>22</v>
      </c>
      <c r="K669" s="56" t="s">
        <v>22</v>
      </c>
      <c r="L669" s="24">
        <v>0.95</v>
      </c>
      <c r="M669" s="56" t="s">
        <v>46</v>
      </c>
    </row>
  </sheetData>
  <autoFilter ref="A10:M669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6"/>
  <sheetViews>
    <sheetView workbookViewId="0">
      <pane ySplit="14" topLeftCell="A15" activePane="bottomLeft" state="frozen"/>
      <selection pane="bottomLeft"/>
    </sheetView>
  </sheetViews>
  <sheetFormatPr defaultRowHeight="14.4" x14ac:dyDescent="0.3"/>
  <cols>
    <col min="1" max="1" width="23" hidden="1" customWidth="1"/>
    <col min="2" max="2" width="54" customWidth="1"/>
    <col min="3" max="3" width="24" hidden="1" customWidth="1"/>
    <col min="4" max="4" width="14" hidden="1" customWidth="1"/>
    <col min="5" max="6" width="11" customWidth="1"/>
    <col min="7" max="7" width="13" hidden="1" customWidth="1"/>
    <col min="8" max="9" width="19" hidden="1" customWidth="1"/>
    <col min="10" max="10" width="35" customWidth="1"/>
    <col min="11" max="11" width="27" customWidth="1"/>
    <col min="12" max="12" width="14" customWidth="1"/>
    <col min="13" max="13" width="9" customWidth="1"/>
  </cols>
  <sheetData>
    <row r="1" spans="1:13" ht="15.6" x14ac:dyDescent="0.3">
      <c r="B1" s="1" t="s">
        <v>1806</v>
      </c>
    </row>
    <row r="2" spans="1:13" x14ac:dyDescent="0.3">
      <c r="B2" s="2" t="s">
        <v>1</v>
      </c>
    </row>
    <row r="3" spans="1:13" x14ac:dyDescent="0.3">
      <c r="B3" s="64" t="s">
        <v>975</v>
      </c>
      <c r="C3" s="128" t="s">
        <v>1678</v>
      </c>
      <c r="D3" s="3" t="s">
        <v>1667</v>
      </c>
      <c r="E3" s="20" t="s">
        <v>29</v>
      </c>
      <c r="F3" s="65" t="s">
        <v>985</v>
      </c>
    </row>
    <row r="4" spans="1:13" x14ac:dyDescent="0.3">
      <c r="B4" s="150" t="s">
        <v>1807</v>
      </c>
      <c r="C4" s="65" t="s">
        <v>976</v>
      </c>
      <c r="D4" s="151" t="s">
        <v>1808</v>
      </c>
      <c r="E4" s="61" t="s">
        <v>972</v>
      </c>
      <c r="F4" s="66" t="s">
        <v>978</v>
      </c>
    </row>
    <row r="5" spans="1:13" x14ac:dyDescent="0.3">
      <c r="B5" s="62" t="s">
        <v>973</v>
      </c>
      <c r="C5" s="66" t="s">
        <v>977</v>
      </c>
      <c r="D5" s="5" t="s">
        <v>30</v>
      </c>
      <c r="E5" s="3" t="s">
        <v>2</v>
      </c>
      <c r="F5" s="67" t="s">
        <v>979</v>
      </c>
    </row>
    <row r="6" spans="1:13" x14ac:dyDescent="0.3">
      <c r="B6" s="5" t="s">
        <v>1656</v>
      </c>
      <c r="C6" s="5" t="s">
        <v>11</v>
      </c>
      <c r="D6" s="10" t="s">
        <v>1809</v>
      </c>
      <c r="E6" s="75" t="s">
        <v>999</v>
      </c>
      <c r="F6" s="152" t="s">
        <v>1810</v>
      </c>
    </row>
    <row r="7" spans="1:13" x14ac:dyDescent="0.3">
      <c r="B7" s="69" t="s">
        <v>983</v>
      </c>
      <c r="C7" s="15" t="s">
        <v>17</v>
      </c>
      <c r="D7" s="16" t="s">
        <v>20</v>
      </c>
      <c r="E7" s="16" t="s">
        <v>18</v>
      </c>
      <c r="F7" s="68" t="s">
        <v>989</v>
      </c>
    </row>
    <row r="8" spans="1:13" x14ac:dyDescent="0.3">
      <c r="B8" s="128" t="s">
        <v>1811</v>
      </c>
      <c r="C8" s="3" t="s">
        <v>1812</v>
      </c>
      <c r="D8" s="7" t="s">
        <v>1813</v>
      </c>
      <c r="E8" s="64" t="s">
        <v>1814</v>
      </c>
      <c r="F8" s="18" t="s">
        <v>22</v>
      </c>
    </row>
    <row r="9" spans="1:13" x14ac:dyDescent="0.3">
      <c r="B9" s="123" t="s">
        <v>1815</v>
      </c>
      <c r="C9" s="63" t="s">
        <v>1816</v>
      </c>
      <c r="D9" s="77" t="s">
        <v>1003</v>
      </c>
      <c r="E9" s="71" t="s">
        <v>1817</v>
      </c>
      <c r="F9" s="10" t="s">
        <v>1818</v>
      </c>
    </row>
    <row r="10" spans="1:13" x14ac:dyDescent="0.3">
      <c r="B10" s="10" t="s">
        <v>1819</v>
      </c>
      <c r="C10" s="10" t="s">
        <v>1820</v>
      </c>
      <c r="D10" s="10" t="s">
        <v>1821</v>
      </c>
      <c r="E10" s="122" t="s">
        <v>1658</v>
      </c>
      <c r="F10" s="129" t="s">
        <v>1677</v>
      </c>
    </row>
    <row r="11" spans="1:13" x14ac:dyDescent="0.3">
      <c r="B11" s="65" t="s">
        <v>1822</v>
      </c>
      <c r="C11" s="20" t="s">
        <v>1823</v>
      </c>
      <c r="D11" s="10" t="s">
        <v>1824</v>
      </c>
      <c r="E11" s="71" t="s">
        <v>1825</v>
      </c>
      <c r="F11" s="3" t="s">
        <v>1659</v>
      </c>
    </row>
    <row r="12" spans="1:13" x14ac:dyDescent="0.3">
      <c r="B12" s="8" t="s">
        <v>7</v>
      </c>
    </row>
    <row r="14" spans="1:13" x14ac:dyDescent="0.3">
      <c r="A14" s="21" t="s">
        <v>31</v>
      </c>
      <c r="B14" s="21" t="s">
        <v>32</v>
      </c>
      <c r="C14" s="21" t="s">
        <v>33</v>
      </c>
      <c r="D14" s="21" t="s">
        <v>34</v>
      </c>
      <c r="E14" s="21" t="s">
        <v>35</v>
      </c>
      <c r="F14" s="21" t="s">
        <v>36</v>
      </c>
      <c r="G14" s="21" t="s">
        <v>37</v>
      </c>
      <c r="H14" s="21" t="s">
        <v>38</v>
      </c>
      <c r="I14" s="21" t="s">
        <v>39</v>
      </c>
      <c r="J14" s="21" t="s">
        <v>40</v>
      </c>
      <c r="K14" s="21" t="s">
        <v>41</v>
      </c>
      <c r="L14" s="21" t="s">
        <v>42</v>
      </c>
      <c r="M14" s="21" t="s">
        <v>43</v>
      </c>
    </row>
    <row r="15" spans="1:13" x14ac:dyDescent="0.3">
      <c r="A15" s="89">
        <v>45748.456747685188</v>
      </c>
      <c r="B15" s="90" t="s">
        <v>1826</v>
      </c>
      <c r="C15" s="90" t="s">
        <v>1827</v>
      </c>
      <c r="D15" s="89">
        <v>45748</v>
      </c>
      <c r="E15" s="90">
        <v>121</v>
      </c>
      <c r="F15" s="90">
        <v>0</v>
      </c>
      <c r="G15" s="90">
        <v>1612.19</v>
      </c>
      <c r="H15" s="90" t="s">
        <v>1828</v>
      </c>
      <c r="I15" s="90"/>
      <c r="J15" s="90" t="s">
        <v>975</v>
      </c>
      <c r="K15" s="90" t="s">
        <v>91</v>
      </c>
      <c r="L15" s="39">
        <v>0.55000000000000004</v>
      </c>
      <c r="M15" s="90" t="s">
        <v>46</v>
      </c>
    </row>
    <row r="16" spans="1:13" x14ac:dyDescent="0.3">
      <c r="A16" s="89">
        <v>45748.709328703713</v>
      </c>
      <c r="B16" s="90" t="s">
        <v>1829</v>
      </c>
      <c r="C16" s="90" t="s">
        <v>1830</v>
      </c>
      <c r="D16" s="89">
        <v>45748</v>
      </c>
      <c r="E16" s="90">
        <v>30</v>
      </c>
      <c r="F16" s="90">
        <v>0</v>
      </c>
      <c r="G16" s="90">
        <v>1582.19</v>
      </c>
      <c r="H16" s="90" t="s">
        <v>1831</v>
      </c>
      <c r="I16" s="90"/>
      <c r="J16" s="90" t="s">
        <v>975</v>
      </c>
      <c r="K16" s="90" t="s">
        <v>91</v>
      </c>
      <c r="L16" s="39">
        <v>0.55000000000000004</v>
      </c>
      <c r="M16" s="90" t="s">
        <v>46</v>
      </c>
    </row>
    <row r="17" spans="1:13" x14ac:dyDescent="0.3">
      <c r="A17" s="89">
        <v>45750.764594907407</v>
      </c>
      <c r="B17" s="90" t="s">
        <v>1832</v>
      </c>
      <c r="C17" s="90" t="s">
        <v>1833</v>
      </c>
      <c r="D17" s="89">
        <v>45750</v>
      </c>
      <c r="E17" s="90">
        <v>50</v>
      </c>
      <c r="F17" s="90">
        <v>0</v>
      </c>
      <c r="G17" s="90">
        <v>1532.19</v>
      </c>
      <c r="H17" s="90" t="s">
        <v>1834</v>
      </c>
      <c r="I17" s="90"/>
      <c r="J17" s="90" t="s">
        <v>975</v>
      </c>
      <c r="K17" s="90" t="s">
        <v>91</v>
      </c>
      <c r="L17" s="39">
        <v>0.55000000000000004</v>
      </c>
      <c r="M17" s="90" t="s">
        <v>46</v>
      </c>
    </row>
    <row r="18" spans="1:13" x14ac:dyDescent="0.3">
      <c r="A18" s="146">
        <v>45750.948738425926</v>
      </c>
      <c r="B18" s="147" t="s">
        <v>1835</v>
      </c>
      <c r="C18" s="147" t="s">
        <v>1836</v>
      </c>
      <c r="D18" s="146">
        <v>45750</v>
      </c>
      <c r="E18" s="147">
        <v>0</v>
      </c>
      <c r="F18" s="147">
        <v>66.739999999999995</v>
      </c>
      <c r="G18" s="147">
        <v>1598.93</v>
      </c>
      <c r="H18" s="147"/>
      <c r="I18" s="147"/>
      <c r="J18" s="147" t="s">
        <v>1678</v>
      </c>
      <c r="K18" s="147" t="s">
        <v>1658</v>
      </c>
      <c r="L18" s="24">
        <v>0.88</v>
      </c>
      <c r="M18" s="147" t="s">
        <v>46</v>
      </c>
    </row>
    <row r="19" spans="1:13" x14ac:dyDescent="0.3">
      <c r="A19" s="89">
        <v>45751.957303240742</v>
      </c>
      <c r="B19" s="90" t="s">
        <v>1837</v>
      </c>
      <c r="C19" s="90" t="s">
        <v>1838</v>
      </c>
      <c r="D19" s="89">
        <v>45751</v>
      </c>
      <c r="E19" s="90">
        <v>285</v>
      </c>
      <c r="F19" s="90">
        <v>0</v>
      </c>
      <c r="G19" s="90">
        <v>1313.93</v>
      </c>
      <c r="H19" s="90" t="s">
        <v>1839</v>
      </c>
      <c r="I19" s="90"/>
      <c r="J19" s="90" t="s">
        <v>975</v>
      </c>
      <c r="K19" s="90" t="s">
        <v>91</v>
      </c>
      <c r="L19" s="39">
        <v>0.55000000000000004</v>
      </c>
      <c r="M19" s="90" t="s">
        <v>46</v>
      </c>
    </row>
    <row r="20" spans="1:13" x14ac:dyDescent="0.3">
      <c r="A20" s="22">
        <v>45752.34138888889</v>
      </c>
      <c r="B20" s="23" t="s">
        <v>1840</v>
      </c>
      <c r="C20" s="23" t="s">
        <v>1841</v>
      </c>
      <c r="D20" s="22">
        <v>45752</v>
      </c>
      <c r="E20" s="23">
        <v>0</v>
      </c>
      <c r="F20" s="23">
        <v>4213.71</v>
      </c>
      <c r="G20" s="23">
        <v>5527.64</v>
      </c>
      <c r="H20" s="23"/>
      <c r="I20" s="23"/>
      <c r="J20" s="23" t="s">
        <v>1667</v>
      </c>
      <c r="K20" s="23" t="s">
        <v>1735</v>
      </c>
      <c r="L20" s="24">
        <v>0.92</v>
      </c>
      <c r="M20" s="23" t="s">
        <v>46</v>
      </c>
    </row>
    <row r="21" spans="1:13" x14ac:dyDescent="0.3">
      <c r="A21" s="89">
        <v>45752.781377314823</v>
      </c>
      <c r="B21" s="90" t="s">
        <v>1842</v>
      </c>
      <c r="C21" s="90" t="s">
        <v>1843</v>
      </c>
      <c r="D21" s="89">
        <v>45752</v>
      </c>
      <c r="E21" s="90">
        <v>210</v>
      </c>
      <c r="F21" s="90">
        <v>0</v>
      </c>
      <c r="G21" s="90">
        <v>5317.64</v>
      </c>
      <c r="H21" s="90" t="s">
        <v>1844</v>
      </c>
      <c r="I21" s="90"/>
      <c r="J21" s="90" t="s">
        <v>975</v>
      </c>
      <c r="K21" s="90" t="s">
        <v>91</v>
      </c>
      <c r="L21" s="39">
        <v>0.55000000000000004</v>
      </c>
      <c r="M21" s="90" t="s">
        <v>46</v>
      </c>
    </row>
    <row r="22" spans="1:13" x14ac:dyDescent="0.3">
      <c r="A22" s="89">
        <v>45753.756296296298</v>
      </c>
      <c r="B22" s="90" t="s">
        <v>1845</v>
      </c>
      <c r="C22" s="90" t="s">
        <v>1846</v>
      </c>
      <c r="D22" s="89">
        <v>45753</v>
      </c>
      <c r="E22" s="90">
        <v>30</v>
      </c>
      <c r="F22" s="90">
        <v>0</v>
      </c>
      <c r="G22" s="90">
        <v>5287.64</v>
      </c>
      <c r="H22" s="90" t="s">
        <v>1847</v>
      </c>
      <c r="I22" s="90"/>
      <c r="J22" s="90" t="s">
        <v>975</v>
      </c>
      <c r="K22" s="90" t="s">
        <v>91</v>
      </c>
      <c r="L22" s="39">
        <v>0.55000000000000004</v>
      </c>
      <c r="M22" s="90" t="s">
        <v>46</v>
      </c>
    </row>
    <row r="23" spans="1:13" x14ac:dyDescent="0.3">
      <c r="A23" s="59">
        <v>45758.421805555547</v>
      </c>
      <c r="B23" s="60" t="s">
        <v>1848</v>
      </c>
      <c r="C23" s="60" t="s">
        <v>1849</v>
      </c>
      <c r="D23" s="59">
        <v>45758</v>
      </c>
      <c r="E23" s="60">
        <v>0</v>
      </c>
      <c r="F23" s="60">
        <v>501</v>
      </c>
      <c r="G23" s="60">
        <v>5788.64</v>
      </c>
      <c r="H23" s="60"/>
      <c r="I23" s="60"/>
      <c r="J23" s="60" t="s">
        <v>29</v>
      </c>
      <c r="K23" s="60" t="s">
        <v>606</v>
      </c>
      <c r="L23" s="24">
        <v>0.85</v>
      </c>
      <c r="M23" s="60" t="s">
        <v>46</v>
      </c>
    </row>
    <row r="24" spans="1:13" x14ac:dyDescent="0.3">
      <c r="A24" s="101">
        <v>45758.845891203702</v>
      </c>
      <c r="B24" s="102" t="s">
        <v>1850</v>
      </c>
      <c r="C24" s="102" t="s">
        <v>1851</v>
      </c>
      <c r="D24" s="101">
        <v>45758</v>
      </c>
      <c r="E24" s="102">
        <v>279</v>
      </c>
      <c r="F24" s="102">
        <v>0</v>
      </c>
      <c r="G24" s="102">
        <v>5509.64</v>
      </c>
      <c r="H24" s="102"/>
      <c r="I24" s="102"/>
      <c r="J24" s="102" t="s">
        <v>985</v>
      </c>
      <c r="K24" s="102" t="s">
        <v>91</v>
      </c>
      <c r="L24" s="40">
        <v>0.68</v>
      </c>
      <c r="M24" s="102" t="s">
        <v>46</v>
      </c>
    </row>
    <row r="25" spans="1:13" x14ac:dyDescent="0.3">
      <c r="A25" s="153">
        <v>45758.845902777779</v>
      </c>
      <c r="B25" s="154" t="s">
        <v>1852</v>
      </c>
      <c r="C25" s="154" t="s">
        <v>1851</v>
      </c>
      <c r="D25" s="153">
        <v>45758</v>
      </c>
      <c r="E25" s="154">
        <v>0</v>
      </c>
      <c r="F25" s="154">
        <v>279</v>
      </c>
      <c r="G25" s="154">
        <v>5788.64</v>
      </c>
      <c r="H25" s="154"/>
      <c r="I25" s="154"/>
      <c r="J25" s="154" t="s">
        <v>1807</v>
      </c>
      <c r="K25" s="154" t="s">
        <v>91</v>
      </c>
      <c r="L25" s="24">
        <v>0.88</v>
      </c>
      <c r="M25" s="154" t="s">
        <v>46</v>
      </c>
    </row>
    <row r="26" spans="1:13" x14ac:dyDescent="0.3">
      <c r="A26" s="101">
        <v>45758.846342592587</v>
      </c>
      <c r="B26" s="102" t="s">
        <v>1853</v>
      </c>
      <c r="C26" s="102" t="s">
        <v>1854</v>
      </c>
      <c r="D26" s="101">
        <v>45758</v>
      </c>
      <c r="E26" s="102">
        <v>279</v>
      </c>
      <c r="F26" s="102">
        <v>0</v>
      </c>
      <c r="G26" s="102">
        <v>5509.64</v>
      </c>
      <c r="H26" s="102"/>
      <c r="I26" s="102"/>
      <c r="J26" s="102" t="s">
        <v>985</v>
      </c>
      <c r="K26" s="102" t="s">
        <v>91</v>
      </c>
      <c r="L26" s="40">
        <v>0.68</v>
      </c>
      <c r="M26" s="102" t="s">
        <v>46</v>
      </c>
    </row>
    <row r="27" spans="1:13" x14ac:dyDescent="0.3">
      <c r="A27" s="153">
        <v>45758.846354166657</v>
      </c>
      <c r="B27" s="154" t="s">
        <v>1855</v>
      </c>
      <c r="C27" s="154" t="s">
        <v>1854</v>
      </c>
      <c r="D27" s="153">
        <v>45758</v>
      </c>
      <c r="E27" s="154">
        <v>0</v>
      </c>
      <c r="F27" s="154">
        <v>279</v>
      </c>
      <c r="G27" s="154">
        <v>5788.64</v>
      </c>
      <c r="H27" s="154"/>
      <c r="I27" s="154"/>
      <c r="J27" s="154" t="s">
        <v>1807</v>
      </c>
      <c r="K27" s="154" t="s">
        <v>91</v>
      </c>
      <c r="L27" s="24">
        <v>0.88</v>
      </c>
      <c r="M27" s="154" t="s">
        <v>46</v>
      </c>
    </row>
    <row r="28" spans="1:13" x14ac:dyDescent="0.3">
      <c r="A28" s="101">
        <v>45758.949432870373</v>
      </c>
      <c r="B28" s="102" t="s">
        <v>1856</v>
      </c>
      <c r="C28" s="102" t="s">
        <v>1857</v>
      </c>
      <c r="D28" s="101">
        <v>45758</v>
      </c>
      <c r="E28" s="102">
        <v>1500</v>
      </c>
      <c r="F28" s="102">
        <v>0</v>
      </c>
      <c r="G28" s="102">
        <v>4288.6400000000003</v>
      </c>
      <c r="H28" s="102"/>
      <c r="I28" s="102"/>
      <c r="J28" s="102" t="s">
        <v>976</v>
      </c>
      <c r="K28" s="102" t="s">
        <v>1028</v>
      </c>
      <c r="L28" s="24">
        <v>0.85</v>
      </c>
      <c r="M28" s="102" t="s">
        <v>46</v>
      </c>
    </row>
    <row r="29" spans="1:13" x14ac:dyDescent="0.3">
      <c r="A29" s="155">
        <v>45762.39880787037</v>
      </c>
      <c r="B29" s="156" t="s">
        <v>1858</v>
      </c>
      <c r="C29" s="156" t="s">
        <v>1859</v>
      </c>
      <c r="D29" s="155">
        <v>45762</v>
      </c>
      <c r="E29" s="156">
        <v>1500</v>
      </c>
      <c r="F29" s="156">
        <v>0</v>
      </c>
      <c r="G29" s="156">
        <v>2788.64</v>
      </c>
      <c r="H29" s="156"/>
      <c r="I29" s="156"/>
      <c r="J29" s="156" t="s">
        <v>1808</v>
      </c>
      <c r="K29" s="156" t="s">
        <v>1860</v>
      </c>
      <c r="L29" s="40">
        <v>0.82</v>
      </c>
      <c r="M29" s="156" t="s">
        <v>46</v>
      </c>
    </row>
    <row r="30" spans="1:13" x14ac:dyDescent="0.3">
      <c r="A30" s="101">
        <v>45763.34542824074</v>
      </c>
      <c r="B30" s="102" t="s">
        <v>1861</v>
      </c>
      <c r="C30" s="102" t="s">
        <v>1862</v>
      </c>
      <c r="D30" s="101">
        <v>45763</v>
      </c>
      <c r="E30" s="102">
        <v>1000</v>
      </c>
      <c r="F30" s="102">
        <v>0</v>
      </c>
      <c r="G30" s="102">
        <v>1788.64</v>
      </c>
      <c r="H30" s="102"/>
      <c r="I30" s="102"/>
      <c r="J30" s="102" t="s">
        <v>976</v>
      </c>
      <c r="K30" s="102" t="s">
        <v>1028</v>
      </c>
      <c r="L30" s="24">
        <v>0.85</v>
      </c>
      <c r="M30" s="102" t="s">
        <v>46</v>
      </c>
    </row>
    <row r="31" spans="1:13" x14ac:dyDescent="0.3">
      <c r="A31" s="78">
        <v>45763.459780092591</v>
      </c>
      <c r="B31" s="79" t="s">
        <v>1863</v>
      </c>
      <c r="C31" s="79" t="s">
        <v>1864</v>
      </c>
      <c r="D31" s="78">
        <v>45763</v>
      </c>
      <c r="E31" s="79">
        <v>0</v>
      </c>
      <c r="F31" s="79">
        <v>91056</v>
      </c>
      <c r="G31" s="79">
        <v>92844.64</v>
      </c>
      <c r="H31" s="79"/>
      <c r="I31" s="79"/>
      <c r="J31" s="79" t="s">
        <v>972</v>
      </c>
      <c r="K31" s="79" t="s">
        <v>972</v>
      </c>
      <c r="L31" s="24">
        <v>0.85</v>
      </c>
      <c r="M31" s="79" t="s">
        <v>46</v>
      </c>
    </row>
    <row r="32" spans="1:13" x14ac:dyDescent="0.3">
      <c r="A32" s="97">
        <v>45763.471956018519</v>
      </c>
      <c r="B32" s="98" t="s">
        <v>1865</v>
      </c>
      <c r="C32" s="98" t="s">
        <v>1866</v>
      </c>
      <c r="D32" s="97">
        <v>45763</v>
      </c>
      <c r="E32" s="98">
        <v>10000</v>
      </c>
      <c r="F32" s="98">
        <v>0</v>
      </c>
      <c r="G32" s="98">
        <v>82844.639999999999</v>
      </c>
      <c r="H32" s="98"/>
      <c r="I32" s="98"/>
      <c r="J32" s="98" t="s">
        <v>978</v>
      </c>
      <c r="K32" s="98" t="s">
        <v>1031</v>
      </c>
      <c r="L32" s="24">
        <v>0.85</v>
      </c>
      <c r="M32" s="98" t="s">
        <v>46</v>
      </c>
    </row>
    <row r="33" spans="1:13" x14ac:dyDescent="0.3">
      <c r="A33" s="83">
        <v>45764.279756944437</v>
      </c>
      <c r="B33" s="84" t="s">
        <v>1867</v>
      </c>
      <c r="C33" s="84" t="s">
        <v>1868</v>
      </c>
      <c r="D33" s="83">
        <v>45764</v>
      </c>
      <c r="E33" s="84">
        <v>427.25</v>
      </c>
      <c r="F33" s="84">
        <v>0</v>
      </c>
      <c r="G33" s="84">
        <v>82417.39</v>
      </c>
      <c r="H33" s="84"/>
      <c r="I33" s="84"/>
      <c r="J33" s="84" t="s">
        <v>973</v>
      </c>
      <c r="K33" s="84" t="s">
        <v>1014</v>
      </c>
      <c r="L33" s="40">
        <v>0.68</v>
      </c>
      <c r="M33" s="84" t="s">
        <v>46</v>
      </c>
    </row>
    <row r="34" spans="1:13" x14ac:dyDescent="0.3">
      <c r="A34" s="101">
        <v>45764.566655092603</v>
      </c>
      <c r="B34" s="102" t="s">
        <v>1869</v>
      </c>
      <c r="C34" s="102" t="s">
        <v>1870</v>
      </c>
      <c r="D34" s="101">
        <v>45764</v>
      </c>
      <c r="E34" s="102">
        <v>1000</v>
      </c>
      <c r="F34" s="102">
        <v>0</v>
      </c>
      <c r="G34" s="102">
        <v>81417.39</v>
      </c>
      <c r="H34" s="102"/>
      <c r="I34" s="102"/>
      <c r="J34" s="102" t="s">
        <v>976</v>
      </c>
      <c r="K34" s="102" t="s">
        <v>1028</v>
      </c>
      <c r="L34" s="24">
        <v>0.85</v>
      </c>
      <c r="M34" s="102" t="s">
        <v>46</v>
      </c>
    </row>
    <row r="35" spans="1:13" x14ac:dyDescent="0.3">
      <c r="A35" s="101">
        <v>45766.078553240739</v>
      </c>
      <c r="B35" s="102" t="s">
        <v>1871</v>
      </c>
      <c r="C35" s="102" t="s">
        <v>1872</v>
      </c>
      <c r="D35" s="101">
        <v>45766</v>
      </c>
      <c r="E35" s="102">
        <v>1000</v>
      </c>
      <c r="F35" s="102">
        <v>0</v>
      </c>
      <c r="G35" s="102">
        <v>80417.39</v>
      </c>
      <c r="H35" s="102"/>
      <c r="I35" s="102"/>
      <c r="J35" s="102" t="s">
        <v>976</v>
      </c>
      <c r="K35" s="102" t="s">
        <v>1028</v>
      </c>
      <c r="L35" s="24">
        <v>0.85</v>
      </c>
      <c r="M35" s="102" t="s">
        <v>46</v>
      </c>
    </row>
    <row r="36" spans="1:13" x14ac:dyDescent="0.3">
      <c r="A36" s="101">
        <v>45766.52747685185</v>
      </c>
      <c r="B36" s="102" t="s">
        <v>1873</v>
      </c>
      <c r="C36" s="102" t="s">
        <v>1874</v>
      </c>
      <c r="D36" s="101">
        <v>45766</v>
      </c>
      <c r="E36" s="102">
        <v>1000</v>
      </c>
      <c r="F36" s="102">
        <v>0</v>
      </c>
      <c r="G36" s="102">
        <v>79417.39</v>
      </c>
      <c r="H36" s="102"/>
      <c r="I36" s="102"/>
      <c r="J36" s="102" t="s">
        <v>976</v>
      </c>
      <c r="K36" s="102" t="s">
        <v>1028</v>
      </c>
      <c r="L36" s="24">
        <v>0.85</v>
      </c>
      <c r="M36" s="102" t="s">
        <v>46</v>
      </c>
    </row>
    <row r="37" spans="1:13" x14ac:dyDescent="0.3">
      <c r="A37" s="101">
        <v>45766.693495370368</v>
      </c>
      <c r="B37" s="102" t="s">
        <v>1875</v>
      </c>
      <c r="C37" s="102" t="s">
        <v>1876</v>
      </c>
      <c r="D37" s="101">
        <v>45766</v>
      </c>
      <c r="E37" s="102">
        <v>1000</v>
      </c>
      <c r="F37" s="102">
        <v>0</v>
      </c>
      <c r="G37" s="102">
        <v>78417.39</v>
      </c>
      <c r="H37" s="102"/>
      <c r="I37" s="102"/>
      <c r="J37" s="102" t="s">
        <v>976</v>
      </c>
      <c r="K37" s="102" t="s">
        <v>1028</v>
      </c>
      <c r="L37" s="24">
        <v>0.85</v>
      </c>
      <c r="M37" s="102" t="s">
        <v>46</v>
      </c>
    </row>
    <row r="38" spans="1:13" x14ac:dyDescent="0.3">
      <c r="A38" s="89">
        <v>45766.886782407397</v>
      </c>
      <c r="B38" s="90" t="s">
        <v>1877</v>
      </c>
      <c r="C38" s="90" t="s">
        <v>1878</v>
      </c>
      <c r="D38" s="89">
        <v>45766</v>
      </c>
      <c r="E38" s="90">
        <v>85</v>
      </c>
      <c r="F38" s="90">
        <v>0</v>
      </c>
      <c r="G38" s="90">
        <v>78332.39</v>
      </c>
      <c r="H38" s="90" t="s">
        <v>1879</v>
      </c>
      <c r="I38" s="90"/>
      <c r="J38" s="90" t="s">
        <v>975</v>
      </c>
      <c r="K38" s="90" t="s">
        <v>91</v>
      </c>
      <c r="L38" s="39">
        <v>0.55000000000000004</v>
      </c>
      <c r="M38" s="90" t="s">
        <v>46</v>
      </c>
    </row>
    <row r="39" spans="1:13" x14ac:dyDescent="0.3">
      <c r="A39" s="89">
        <v>45766.908645833333</v>
      </c>
      <c r="B39" s="90" t="s">
        <v>1880</v>
      </c>
      <c r="C39" s="90" t="s">
        <v>1881</v>
      </c>
      <c r="D39" s="89">
        <v>45766</v>
      </c>
      <c r="E39" s="90">
        <v>25</v>
      </c>
      <c r="F39" s="90">
        <v>0</v>
      </c>
      <c r="G39" s="90">
        <v>78307.39</v>
      </c>
      <c r="H39" s="90" t="s">
        <v>1882</v>
      </c>
      <c r="I39" s="90"/>
      <c r="J39" s="90" t="s">
        <v>975</v>
      </c>
      <c r="K39" s="90" t="s">
        <v>91</v>
      </c>
      <c r="L39" s="39">
        <v>0.55000000000000004</v>
      </c>
      <c r="M39" s="90" t="s">
        <v>46</v>
      </c>
    </row>
    <row r="40" spans="1:13" x14ac:dyDescent="0.3">
      <c r="A40" s="97">
        <v>45767.80914351852</v>
      </c>
      <c r="B40" s="98" t="s">
        <v>1883</v>
      </c>
      <c r="C40" s="98" t="s">
        <v>1884</v>
      </c>
      <c r="D40" s="97">
        <v>45767</v>
      </c>
      <c r="E40" s="98">
        <v>0</v>
      </c>
      <c r="F40" s="98">
        <v>10</v>
      </c>
      <c r="G40" s="98">
        <v>78317.39</v>
      </c>
      <c r="H40" s="98"/>
      <c r="I40" s="98"/>
      <c r="J40" s="98" t="s">
        <v>977</v>
      </c>
      <c r="K40" s="98" t="s">
        <v>1031</v>
      </c>
      <c r="L40" s="24">
        <v>0.85</v>
      </c>
      <c r="M40" s="98" t="s">
        <v>46</v>
      </c>
    </row>
    <row r="41" spans="1:13" x14ac:dyDescent="0.3">
      <c r="A41" s="101">
        <v>45767.831643518519</v>
      </c>
      <c r="B41" s="102" t="s">
        <v>1885</v>
      </c>
      <c r="C41" s="102" t="s">
        <v>1886</v>
      </c>
      <c r="D41" s="101">
        <v>45767</v>
      </c>
      <c r="E41" s="102">
        <v>1000</v>
      </c>
      <c r="F41" s="102">
        <v>0</v>
      </c>
      <c r="G41" s="102">
        <v>77317.39</v>
      </c>
      <c r="H41" s="102"/>
      <c r="I41" s="102"/>
      <c r="J41" s="102" t="s">
        <v>976</v>
      </c>
      <c r="K41" s="102" t="s">
        <v>1028</v>
      </c>
      <c r="L41" s="24">
        <v>0.85</v>
      </c>
      <c r="M41" s="102" t="s">
        <v>46</v>
      </c>
    </row>
    <row r="42" spans="1:13" x14ac:dyDescent="0.3">
      <c r="A42" s="101">
        <v>45768.346400462957</v>
      </c>
      <c r="B42" s="102" t="s">
        <v>1887</v>
      </c>
      <c r="C42" s="102" t="s">
        <v>1888</v>
      </c>
      <c r="D42" s="101">
        <v>45768</v>
      </c>
      <c r="E42" s="102">
        <v>1012.11</v>
      </c>
      <c r="F42" s="102">
        <v>0</v>
      </c>
      <c r="G42" s="102">
        <v>76305.279999999999</v>
      </c>
      <c r="H42" s="102"/>
      <c r="I42" s="102"/>
      <c r="J42" s="102" t="s">
        <v>976</v>
      </c>
      <c r="K42" s="102" t="s">
        <v>1028</v>
      </c>
      <c r="L42" s="24">
        <v>0.85</v>
      </c>
      <c r="M42" s="102" t="s">
        <v>46</v>
      </c>
    </row>
    <row r="43" spans="1:13" x14ac:dyDescent="0.3">
      <c r="A43" s="59">
        <v>45770.336597222216</v>
      </c>
      <c r="B43" s="60" t="s">
        <v>1889</v>
      </c>
      <c r="C43" s="60" t="s">
        <v>1890</v>
      </c>
      <c r="D43" s="59">
        <v>45770</v>
      </c>
      <c r="E43" s="60">
        <v>0</v>
      </c>
      <c r="F43" s="60">
        <v>6904.51</v>
      </c>
      <c r="G43" s="60">
        <v>83209.789999999994</v>
      </c>
      <c r="H43" s="60"/>
      <c r="I43" s="60"/>
      <c r="J43" s="60" t="s">
        <v>29</v>
      </c>
      <c r="K43" s="60" t="s">
        <v>606</v>
      </c>
      <c r="L43" s="24">
        <v>0.85</v>
      </c>
      <c r="M43" s="60" t="s">
        <v>46</v>
      </c>
    </row>
    <row r="44" spans="1:13" x14ac:dyDescent="0.3">
      <c r="A44" s="83">
        <v>45770.338819444441</v>
      </c>
      <c r="B44" s="84" t="s">
        <v>1891</v>
      </c>
      <c r="C44" s="84" t="s">
        <v>1892</v>
      </c>
      <c r="D44" s="83">
        <v>45770</v>
      </c>
      <c r="E44" s="84">
        <v>2763.6</v>
      </c>
      <c r="F44" s="84">
        <v>0</v>
      </c>
      <c r="G44" s="84">
        <v>80446.19</v>
      </c>
      <c r="H44" s="84"/>
      <c r="I44" s="84"/>
      <c r="J44" s="84" t="s">
        <v>973</v>
      </c>
      <c r="K44" s="84" t="s">
        <v>1014</v>
      </c>
      <c r="L44" s="40">
        <v>0.68</v>
      </c>
      <c r="M44" s="84" t="s">
        <v>46</v>
      </c>
    </row>
    <row r="45" spans="1:13" x14ac:dyDescent="0.3">
      <c r="A45" s="83">
        <v>45770.344027777777</v>
      </c>
      <c r="B45" s="84" t="s">
        <v>1893</v>
      </c>
      <c r="C45" s="84" t="s">
        <v>1894</v>
      </c>
      <c r="D45" s="83">
        <v>45770</v>
      </c>
      <c r="E45" s="84">
        <v>162.69999999999999</v>
      </c>
      <c r="F45" s="84">
        <v>0</v>
      </c>
      <c r="G45" s="84">
        <v>80283.490000000005</v>
      </c>
      <c r="H45" s="84"/>
      <c r="I45" s="84"/>
      <c r="J45" s="84" t="s">
        <v>973</v>
      </c>
      <c r="K45" s="84" t="s">
        <v>1014</v>
      </c>
      <c r="L45" s="40">
        <v>0.68</v>
      </c>
      <c r="M45" s="84" t="s">
        <v>46</v>
      </c>
    </row>
    <row r="46" spans="1:13" x14ac:dyDescent="0.3">
      <c r="A46" s="89">
        <v>45771.312557870369</v>
      </c>
      <c r="B46" s="90" t="s">
        <v>1895</v>
      </c>
      <c r="C46" s="90" t="s">
        <v>1896</v>
      </c>
      <c r="D46" s="89">
        <v>45771</v>
      </c>
      <c r="E46" s="90">
        <v>40</v>
      </c>
      <c r="F46" s="90">
        <v>0</v>
      </c>
      <c r="G46" s="90">
        <v>80243.490000000005</v>
      </c>
      <c r="H46" s="90" t="s">
        <v>1897</v>
      </c>
      <c r="I46" s="90"/>
      <c r="J46" s="90" t="s">
        <v>975</v>
      </c>
      <c r="K46" s="90" t="s">
        <v>91</v>
      </c>
      <c r="L46" s="39">
        <v>0.55000000000000004</v>
      </c>
      <c r="M46" s="90" t="s">
        <v>46</v>
      </c>
    </row>
    <row r="47" spans="1:13" x14ac:dyDescent="0.3">
      <c r="A47" s="27">
        <v>45773.391655092593</v>
      </c>
      <c r="B47" s="28" t="s">
        <v>1898</v>
      </c>
      <c r="C47" s="28" t="s">
        <v>1899</v>
      </c>
      <c r="D47" s="27">
        <v>45773</v>
      </c>
      <c r="E47" s="28">
        <v>5000</v>
      </c>
      <c r="F47" s="28">
        <v>0</v>
      </c>
      <c r="G47" s="28">
        <v>75243.490000000005</v>
      </c>
      <c r="H47" s="28"/>
      <c r="I47" s="28"/>
      <c r="J47" s="28" t="s">
        <v>30</v>
      </c>
      <c r="K47" s="28" t="s">
        <v>837</v>
      </c>
      <c r="L47" s="24">
        <v>0.95</v>
      </c>
      <c r="M47" s="28" t="s">
        <v>46</v>
      </c>
    </row>
    <row r="48" spans="1:13" x14ac:dyDescent="0.3">
      <c r="A48" s="89">
        <v>45773.777060185188</v>
      </c>
      <c r="B48" s="90" t="s">
        <v>1900</v>
      </c>
      <c r="C48" s="90" t="s">
        <v>1901</v>
      </c>
      <c r="D48" s="89">
        <v>45773</v>
      </c>
      <c r="E48" s="90">
        <v>20</v>
      </c>
      <c r="F48" s="90">
        <v>0</v>
      </c>
      <c r="G48" s="90">
        <v>75223.490000000005</v>
      </c>
      <c r="H48" s="90" t="s">
        <v>1902</v>
      </c>
      <c r="I48" s="90"/>
      <c r="J48" s="90" t="s">
        <v>975</v>
      </c>
      <c r="K48" s="90" t="s">
        <v>91</v>
      </c>
      <c r="L48" s="39">
        <v>0.55000000000000004</v>
      </c>
      <c r="M48" s="90" t="s">
        <v>46</v>
      </c>
    </row>
    <row r="49" spans="1:13" x14ac:dyDescent="0.3">
      <c r="A49" s="22">
        <v>45775.308668981481</v>
      </c>
      <c r="B49" s="23" t="s">
        <v>1903</v>
      </c>
      <c r="C49" s="23" t="s">
        <v>1904</v>
      </c>
      <c r="D49" s="22">
        <v>45775</v>
      </c>
      <c r="E49" s="23">
        <v>7000</v>
      </c>
      <c r="F49" s="23">
        <v>0</v>
      </c>
      <c r="G49" s="23">
        <v>68223.490000000005</v>
      </c>
      <c r="H49" s="23"/>
      <c r="I49" s="23"/>
      <c r="J49" s="23" t="s">
        <v>2</v>
      </c>
      <c r="K49" s="23" t="s">
        <v>2</v>
      </c>
      <c r="L49" s="24">
        <v>0.96</v>
      </c>
      <c r="M49" s="23" t="s">
        <v>46</v>
      </c>
    </row>
    <row r="50" spans="1:13" x14ac:dyDescent="0.3">
      <c r="A50" s="97">
        <v>45778.822939814818</v>
      </c>
      <c r="B50" s="98" t="s">
        <v>1905</v>
      </c>
      <c r="C50" s="98" t="s">
        <v>1906</v>
      </c>
      <c r="D50" s="97">
        <v>45778</v>
      </c>
      <c r="E50" s="98">
        <v>5000</v>
      </c>
      <c r="F50" s="98">
        <v>0</v>
      </c>
      <c r="G50" s="98">
        <v>63223.49</v>
      </c>
      <c r="H50" s="98"/>
      <c r="I50" s="98"/>
      <c r="J50" s="98" t="s">
        <v>978</v>
      </c>
      <c r="K50" s="98" t="s">
        <v>1031</v>
      </c>
      <c r="L50" s="24">
        <v>0.85</v>
      </c>
      <c r="M50" s="98" t="s">
        <v>46</v>
      </c>
    </row>
    <row r="51" spans="1:13" x14ac:dyDescent="0.3">
      <c r="A51" s="97">
        <v>45778.824247685188</v>
      </c>
      <c r="B51" s="98" t="s">
        <v>1907</v>
      </c>
      <c r="C51" s="98" t="s">
        <v>1908</v>
      </c>
      <c r="D51" s="97">
        <v>45778</v>
      </c>
      <c r="E51" s="98">
        <v>5000</v>
      </c>
      <c r="F51" s="98">
        <v>0</v>
      </c>
      <c r="G51" s="98">
        <v>58223.49</v>
      </c>
      <c r="H51" s="98"/>
      <c r="I51" s="98"/>
      <c r="J51" s="98" t="s">
        <v>978</v>
      </c>
      <c r="K51" s="98" t="s">
        <v>1031</v>
      </c>
      <c r="L51" s="24">
        <v>0.85</v>
      </c>
      <c r="M51" s="98" t="s">
        <v>46</v>
      </c>
    </row>
    <row r="52" spans="1:13" x14ac:dyDescent="0.3">
      <c r="A52" s="95">
        <v>45779.471574074072</v>
      </c>
      <c r="B52" s="96" t="s">
        <v>1909</v>
      </c>
      <c r="C52" s="96" t="s">
        <v>1910</v>
      </c>
      <c r="D52" s="95">
        <v>45779</v>
      </c>
      <c r="E52" s="96">
        <v>23000</v>
      </c>
      <c r="F52" s="96">
        <v>0</v>
      </c>
      <c r="G52" s="96">
        <v>35223.49</v>
      </c>
      <c r="H52" s="96"/>
      <c r="I52" s="96"/>
      <c r="J52" s="96" t="s">
        <v>979</v>
      </c>
      <c r="K52" s="96" t="s">
        <v>990</v>
      </c>
      <c r="L52" s="24">
        <v>0.88</v>
      </c>
      <c r="M52" s="96" t="s">
        <v>46</v>
      </c>
    </row>
    <row r="53" spans="1:13" x14ac:dyDescent="0.3">
      <c r="A53" s="27">
        <v>45779.477824074071</v>
      </c>
      <c r="B53" s="28" t="s">
        <v>1911</v>
      </c>
      <c r="C53" s="28" t="s">
        <v>1912</v>
      </c>
      <c r="D53" s="27">
        <v>45779</v>
      </c>
      <c r="E53" s="28">
        <v>0</v>
      </c>
      <c r="F53" s="28">
        <v>1</v>
      </c>
      <c r="G53" s="28">
        <v>35224.49</v>
      </c>
      <c r="H53" s="28"/>
      <c r="I53" s="28"/>
      <c r="J53" s="28" t="s">
        <v>1656</v>
      </c>
      <c r="K53" s="28" t="s">
        <v>1680</v>
      </c>
      <c r="L53" s="24">
        <v>0.95</v>
      </c>
      <c r="M53" s="28" t="s">
        <v>46</v>
      </c>
    </row>
    <row r="54" spans="1:13" x14ac:dyDescent="0.3">
      <c r="A54" s="27">
        <v>45779.478530092587</v>
      </c>
      <c r="B54" s="28" t="s">
        <v>1913</v>
      </c>
      <c r="C54" s="28" t="s">
        <v>1914</v>
      </c>
      <c r="D54" s="27">
        <v>45779</v>
      </c>
      <c r="E54" s="28">
        <v>0</v>
      </c>
      <c r="F54" s="28">
        <v>65000</v>
      </c>
      <c r="G54" s="28">
        <v>100224.49</v>
      </c>
      <c r="H54" s="28"/>
      <c r="I54" s="28"/>
      <c r="J54" s="28" t="s">
        <v>1656</v>
      </c>
      <c r="K54" s="28" t="s">
        <v>1680</v>
      </c>
      <c r="L54" s="24">
        <v>0.95</v>
      </c>
      <c r="M54" s="28" t="s">
        <v>46</v>
      </c>
    </row>
    <row r="55" spans="1:13" x14ac:dyDescent="0.3">
      <c r="A55" s="89">
        <v>45779.804560185177</v>
      </c>
      <c r="B55" s="90" t="s">
        <v>1915</v>
      </c>
      <c r="C55" s="90" t="s">
        <v>1916</v>
      </c>
      <c r="D55" s="89">
        <v>45779</v>
      </c>
      <c r="E55" s="90">
        <v>20</v>
      </c>
      <c r="F55" s="90">
        <v>0</v>
      </c>
      <c r="G55" s="90">
        <v>100204.49</v>
      </c>
      <c r="H55" s="90" t="s">
        <v>1902</v>
      </c>
      <c r="I55" s="90"/>
      <c r="J55" s="90" t="s">
        <v>975</v>
      </c>
      <c r="K55" s="90" t="s">
        <v>91</v>
      </c>
      <c r="L55" s="39">
        <v>0.55000000000000004</v>
      </c>
      <c r="M55" s="90" t="s">
        <v>46</v>
      </c>
    </row>
    <row r="56" spans="1:13" x14ac:dyDescent="0.3">
      <c r="A56" s="27">
        <v>45780.569247685176</v>
      </c>
      <c r="B56" s="28" t="s">
        <v>1917</v>
      </c>
      <c r="C56" s="28" t="s">
        <v>1918</v>
      </c>
      <c r="D56" s="27">
        <v>45780</v>
      </c>
      <c r="E56" s="28">
        <v>0</v>
      </c>
      <c r="F56" s="28">
        <v>7000</v>
      </c>
      <c r="G56" s="28">
        <v>107204.49</v>
      </c>
      <c r="H56" s="28"/>
      <c r="I56" s="28"/>
      <c r="J56" s="28" t="s">
        <v>1656</v>
      </c>
      <c r="K56" s="28" t="s">
        <v>1680</v>
      </c>
      <c r="L56" s="24">
        <v>0.95</v>
      </c>
      <c r="M56" s="28" t="s">
        <v>46</v>
      </c>
    </row>
    <row r="57" spans="1:13" x14ac:dyDescent="0.3">
      <c r="A57" s="89">
        <v>45781.430636574078</v>
      </c>
      <c r="B57" s="90" t="s">
        <v>1919</v>
      </c>
      <c r="C57" s="90" t="s">
        <v>1920</v>
      </c>
      <c r="D57" s="89">
        <v>45781</v>
      </c>
      <c r="E57" s="90">
        <v>850</v>
      </c>
      <c r="F57" s="90">
        <v>0</v>
      </c>
      <c r="G57" s="90">
        <v>106354.49</v>
      </c>
      <c r="H57" s="90" t="s">
        <v>1921</v>
      </c>
      <c r="I57" s="90"/>
      <c r="J57" s="90" t="s">
        <v>975</v>
      </c>
      <c r="K57" s="90" t="s">
        <v>91</v>
      </c>
      <c r="L57" s="39">
        <v>0.55000000000000004</v>
      </c>
      <c r="M57" s="90" t="s">
        <v>46</v>
      </c>
    </row>
    <row r="58" spans="1:13" x14ac:dyDescent="0.3">
      <c r="A58" s="27">
        <v>45781.538263888891</v>
      </c>
      <c r="B58" s="28" t="s">
        <v>1922</v>
      </c>
      <c r="C58" s="28" t="s">
        <v>1923</v>
      </c>
      <c r="D58" s="27">
        <v>45781</v>
      </c>
      <c r="E58" s="28">
        <v>700</v>
      </c>
      <c r="F58" s="28">
        <v>0</v>
      </c>
      <c r="G58" s="28">
        <v>105654.49</v>
      </c>
      <c r="H58" s="28"/>
      <c r="I58" s="28"/>
      <c r="J58" s="28" t="s">
        <v>11</v>
      </c>
      <c r="K58" s="28" t="s">
        <v>112</v>
      </c>
      <c r="L58" s="40">
        <v>0.68</v>
      </c>
      <c r="M58" s="28" t="s">
        <v>46</v>
      </c>
    </row>
    <row r="59" spans="1:13" x14ac:dyDescent="0.3">
      <c r="A59" s="37">
        <v>45782.089085648149</v>
      </c>
      <c r="B59" s="38" t="s">
        <v>1924</v>
      </c>
      <c r="C59" s="38" t="s">
        <v>1925</v>
      </c>
      <c r="D59" s="37">
        <v>45782</v>
      </c>
      <c r="E59" s="38">
        <v>0</v>
      </c>
      <c r="F59" s="38">
        <v>13.38</v>
      </c>
      <c r="G59" s="38">
        <v>105667.87</v>
      </c>
      <c r="H59" s="38"/>
      <c r="I59" s="38"/>
      <c r="J59" s="38" t="s">
        <v>1809</v>
      </c>
      <c r="K59" s="38" t="s">
        <v>91</v>
      </c>
      <c r="L59" s="40">
        <v>0.72</v>
      </c>
      <c r="M59" s="38" t="s">
        <v>46</v>
      </c>
    </row>
    <row r="60" spans="1:13" x14ac:dyDescent="0.3">
      <c r="A60" s="37">
        <v>45782.110405092593</v>
      </c>
      <c r="B60" s="38" t="s">
        <v>1926</v>
      </c>
      <c r="C60" s="38" t="s">
        <v>1927</v>
      </c>
      <c r="D60" s="37">
        <v>45782</v>
      </c>
      <c r="E60" s="38">
        <v>0</v>
      </c>
      <c r="F60" s="38">
        <v>10679.9</v>
      </c>
      <c r="G60" s="38">
        <v>116347.77</v>
      </c>
      <c r="H60" s="38"/>
      <c r="I60" s="38"/>
      <c r="J60" s="38" t="s">
        <v>1809</v>
      </c>
      <c r="K60" s="38" t="s">
        <v>91</v>
      </c>
      <c r="L60" s="40">
        <v>0.72</v>
      </c>
      <c r="M60" s="38" t="s">
        <v>46</v>
      </c>
    </row>
    <row r="61" spans="1:13" x14ac:dyDescent="0.3">
      <c r="A61" s="22">
        <v>45783.509305555563</v>
      </c>
      <c r="B61" s="23" t="s">
        <v>1928</v>
      </c>
      <c r="C61" s="23" t="s">
        <v>1929</v>
      </c>
      <c r="D61" s="22">
        <v>45783</v>
      </c>
      <c r="E61" s="23">
        <v>20000</v>
      </c>
      <c r="F61" s="23">
        <v>0</v>
      </c>
      <c r="G61" s="23">
        <v>96347.77</v>
      </c>
      <c r="H61" s="23"/>
      <c r="I61" s="23"/>
      <c r="J61" s="23" t="s">
        <v>1667</v>
      </c>
      <c r="K61" s="23" t="s">
        <v>1735</v>
      </c>
      <c r="L61" s="24">
        <v>0.92</v>
      </c>
      <c r="M61" s="23" t="s">
        <v>46</v>
      </c>
    </row>
    <row r="62" spans="1:13" x14ac:dyDescent="0.3">
      <c r="A62" s="101">
        <v>45785.357060185182</v>
      </c>
      <c r="B62" s="102" t="s">
        <v>1930</v>
      </c>
      <c r="C62" s="102" t="s">
        <v>1931</v>
      </c>
      <c r="D62" s="101">
        <v>45785</v>
      </c>
      <c r="E62" s="102">
        <v>232</v>
      </c>
      <c r="F62" s="102">
        <v>0</v>
      </c>
      <c r="G62" s="102">
        <v>96115.77</v>
      </c>
      <c r="H62" s="102"/>
      <c r="I62" s="102"/>
      <c r="J62" s="102" t="s">
        <v>985</v>
      </c>
      <c r="K62" s="102" t="s">
        <v>91</v>
      </c>
      <c r="L62" s="40">
        <v>0.68</v>
      </c>
      <c r="M62" s="102" t="s">
        <v>46</v>
      </c>
    </row>
    <row r="63" spans="1:13" x14ac:dyDescent="0.3">
      <c r="A63" s="97">
        <v>45785.542708333327</v>
      </c>
      <c r="B63" s="98" t="s">
        <v>1932</v>
      </c>
      <c r="C63" s="98" t="s">
        <v>1933</v>
      </c>
      <c r="D63" s="97">
        <v>45785</v>
      </c>
      <c r="E63" s="98">
        <v>10</v>
      </c>
      <c r="F63" s="98">
        <v>0</v>
      </c>
      <c r="G63" s="98">
        <v>96105.77</v>
      </c>
      <c r="H63" s="98"/>
      <c r="I63" s="98"/>
      <c r="J63" s="98" t="s">
        <v>978</v>
      </c>
      <c r="K63" s="98" t="s">
        <v>1031</v>
      </c>
      <c r="L63" s="24">
        <v>0.85</v>
      </c>
      <c r="M63" s="98" t="s">
        <v>46</v>
      </c>
    </row>
    <row r="64" spans="1:13" x14ac:dyDescent="0.3">
      <c r="A64" s="89">
        <v>45786.862592592603</v>
      </c>
      <c r="B64" s="90" t="s">
        <v>1934</v>
      </c>
      <c r="C64" s="90" t="s">
        <v>1935</v>
      </c>
      <c r="D64" s="89">
        <v>45786</v>
      </c>
      <c r="E64" s="90">
        <v>45</v>
      </c>
      <c r="F64" s="90">
        <v>0</v>
      </c>
      <c r="G64" s="90">
        <v>96060.77</v>
      </c>
      <c r="H64" s="90" t="s">
        <v>1936</v>
      </c>
      <c r="I64" s="90"/>
      <c r="J64" s="90" t="s">
        <v>975</v>
      </c>
      <c r="K64" s="90" t="s">
        <v>91</v>
      </c>
      <c r="L64" s="39">
        <v>0.55000000000000004</v>
      </c>
      <c r="M64" s="90" t="s">
        <v>46</v>
      </c>
    </row>
    <row r="65" spans="1:13" x14ac:dyDescent="0.3">
      <c r="A65" s="89">
        <v>45787.556273148148</v>
      </c>
      <c r="B65" s="90" t="s">
        <v>1937</v>
      </c>
      <c r="C65" s="90" t="s">
        <v>1938</v>
      </c>
      <c r="D65" s="89">
        <v>45787</v>
      </c>
      <c r="E65" s="90">
        <v>20</v>
      </c>
      <c r="F65" s="90">
        <v>0</v>
      </c>
      <c r="G65" s="90">
        <v>96040.77</v>
      </c>
      <c r="H65" s="90" t="s">
        <v>1939</v>
      </c>
      <c r="I65" s="90"/>
      <c r="J65" s="90" t="s">
        <v>975</v>
      </c>
      <c r="K65" s="90" t="s">
        <v>91</v>
      </c>
      <c r="L65" s="39">
        <v>0.55000000000000004</v>
      </c>
      <c r="M65" s="90" t="s">
        <v>46</v>
      </c>
    </row>
    <row r="66" spans="1:13" x14ac:dyDescent="0.3">
      <c r="A66" s="115">
        <v>45787.573391203703</v>
      </c>
      <c r="B66" s="116" t="s">
        <v>1940</v>
      </c>
      <c r="C66" s="116" t="s">
        <v>1941</v>
      </c>
      <c r="D66" s="115">
        <v>45787</v>
      </c>
      <c r="E66" s="116">
        <v>1960</v>
      </c>
      <c r="F66" s="116">
        <v>0</v>
      </c>
      <c r="G66" s="116">
        <v>94080.77</v>
      </c>
      <c r="H66" s="116"/>
      <c r="I66" s="116"/>
      <c r="J66" s="116" t="s">
        <v>999</v>
      </c>
      <c r="K66" s="116" t="s">
        <v>91</v>
      </c>
      <c r="L66" s="40">
        <v>0.65</v>
      </c>
      <c r="M66" s="116" t="s">
        <v>46</v>
      </c>
    </row>
    <row r="67" spans="1:13" x14ac:dyDescent="0.3">
      <c r="A67" s="83">
        <v>45788.384733796287</v>
      </c>
      <c r="B67" s="84" t="s">
        <v>1942</v>
      </c>
      <c r="C67" s="84" t="s">
        <v>1943</v>
      </c>
      <c r="D67" s="83">
        <v>45788</v>
      </c>
      <c r="E67" s="84">
        <v>688.15</v>
      </c>
      <c r="F67" s="84">
        <v>0</v>
      </c>
      <c r="G67" s="84">
        <v>93392.62</v>
      </c>
      <c r="H67" s="84"/>
      <c r="I67" s="84"/>
      <c r="J67" s="84" t="s">
        <v>973</v>
      </c>
      <c r="K67" s="84" t="s">
        <v>1014</v>
      </c>
      <c r="L67" s="40">
        <v>0.68</v>
      </c>
      <c r="M67" s="84" t="s">
        <v>46</v>
      </c>
    </row>
    <row r="68" spans="1:13" x14ac:dyDescent="0.3">
      <c r="A68" s="83">
        <v>45788.387997685182</v>
      </c>
      <c r="B68" s="84" t="s">
        <v>1944</v>
      </c>
      <c r="C68" s="84" t="s">
        <v>1945</v>
      </c>
      <c r="D68" s="83">
        <v>45788</v>
      </c>
      <c r="E68" s="84">
        <v>462.7</v>
      </c>
      <c r="F68" s="84">
        <v>0</v>
      </c>
      <c r="G68" s="84">
        <v>92929.919999999998</v>
      </c>
      <c r="H68" s="84"/>
      <c r="I68" s="84"/>
      <c r="J68" s="84" t="s">
        <v>973</v>
      </c>
      <c r="K68" s="84" t="s">
        <v>1014</v>
      </c>
      <c r="L68" s="40">
        <v>0.68</v>
      </c>
      <c r="M68" s="84" t="s">
        <v>46</v>
      </c>
    </row>
    <row r="69" spans="1:13" x14ac:dyDescent="0.3">
      <c r="A69" s="89">
        <v>45789.800138888888</v>
      </c>
      <c r="B69" s="90" t="s">
        <v>1946</v>
      </c>
      <c r="C69" s="90" t="s">
        <v>1947</v>
      </c>
      <c r="D69" s="89">
        <v>45789</v>
      </c>
      <c r="E69" s="90">
        <v>50</v>
      </c>
      <c r="F69" s="90">
        <v>0</v>
      </c>
      <c r="G69" s="90">
        <v>92879.92</v>
      </c>
      <c r="H69" s="90" t="s">
        <v>1948</v>
      </c>
      <c r="I69" s="90"/>
      <c r="J69" s="90" t="s">
        <v>975</v>
      </c>
      <c r="K69" s="90" t="s">
        <v>91</v>
      </c>
      <c r="L69" s="39">
        <v>0.55000000000000004</v>
      </c>
      <c r="M69" s="90" t="s">
        <v>46</v>
      </c>
    </row>
    <row r="70" spans="1:13" x14ac:dyDescent="0.3">
      <c r="A70" s="22">
        <v>45790.349780092591</v>
      </c>
      <c r="B70" s="23" t="s">
        <v>1949</v>
      </c>
      <c r="C70" s="23" t="s">
        <v>1950</v>
      </c>
      <c r="D70" s="22">
        <v>45790</v>
      </c>
      <c r="E70" s="23">
        <v>20000</v>
      </c>
      <c r="F70" s="23">
        <v>0</v>
      </c>
      <c r="G70" s="23">
        <v>72879.92</v>
      </c>
      <c r="H70" s="23"/>
      <c r="I70" s="23"/>
      <c r="J70" s="23" t="s">
        <v>1667</v>
      </c>
      <c r="K70" s="23" t="s">
        <v>1735</v>
      </c>
      <c r="L70" s="24">
        <v>0.92</v>
      </c>
      <c r="M70" s="23" t="s">
        <v>46</v>
      </c>
    </row>
    <row r="71" spans="1:13" x14ac:dyDescent="0.3">
      <c r="A71" s="59">
        <v>45790.356874999998</v>
      </c>
      <c r="B71" s="60" t="s">
        <v>1951</v>
      </c>
      <c r="C71" s="60" t="s">
        <v>1952</v>
      </c>
      <c r="D71" s="59">
        <v>45790</v>
      </c>
      <c r="E71" s="60">
        <v>0</v>
      </c>
      <c r="F71" s="60">
        <v>501</v>
      </c>
      <c r="G71" s="60">
        <v>73380.92</v>
      </c>
      <c r="H71" s="60"/>
      <c r="I71" s="60"/>
      <c r="J71" s="60" t="s">
        <v>29</v>
      </c>
      <c r="K71" s="60" t="s">
        <v>606</v>
      </c>
      <c r="L71" s="24">
        <v>0.85</v>
      </c>
      <c r="M71" s="60" t="s">
        <v>46</v>
      </c>
    </row>
    <row r="72" spans="1:13" x14ac:dyDescent="0.3">
      <c r="A72" s="101">
        <v>45792.293692129628</v>
      </c>
      <c r="B72" s="102" t="s">
        <v>1953</v>
      </c>
      <c r="C72" s="102" t="s">
        <v>1954</v>
      </c>
      <c r="D72" s="101">
        <v>45792</v>
      </c>
      <c r="E72" s="102">
        <v>109</v>
      </c>
      <c r="F72" s="102">
        <v>0</v>
      </c>
      <c r="G72" s="102">
        <v>73271.92</v>
      </c>
      <c r="H72" s="102"/>
      <c r="I72" s="102"/>
      <c r="J72" s="102" t="s">
        <v>985</v>
      </c>
      <c r="K72" s="102" t="s">
        <v>91</v>
      </c>
      <c r="L72" s="24">
        <v>0.85</v>
      </c>
      <c r="M72" s="102" t="s">
        <v>46</v>
      </c>
    </row>
    <row r="73" spans="1:13" x14ac:dyDescent="0.3">
      <c r="A73" s="101">
        <v>45792.313587962963</v>
      </c>
      <c r="B73" s="102" t="s">
        <v>1955</v>
      </c>
      <c r="C73" s="102" t="s">
        <v>1956</v>
      </c>
      <c r="D73" s="101">
        <v>45792</v>
      </c>
      <c r="E73" s="102">
        <v>1000</v>
      </c>
      <c r="F73" s="102">
        <v>0</v>
      </c>
      <c r="G73" s="102">
        <v>72271.92</v>
      </c>
      <c r="H73" s="102"/>
      <c r="I73" s="102"/>
      <c r="J73" s="102" t="s">
        <v>976</v>
      </c>
      <c r="K73" s="102" t="s">
        <v>1028</v>
      </c>
      <c r="L73" s="24">
        <v>0.85</v>
      </c>
      <c r="M73" s="102" t="s">
        <v>46</v>
      </c>
    </row>
    <row r="74" spans="1:13" x14ac:dyDescent="0.3">
      <c r="A74" s="83">
        <v>45794.417337962957</v>
      </c>
      <c r="B74" s="84" t="s">
        <v>1957</v>
      </c>
      <c r="C74" s="84" t="s">
        <v>1958</v>
      </c>
      <c r="D74" s="83">
        <v>45794</v>
      </c>
      <c r="E74" s="84">
        <v>5014.5</v>
      </c>
      <c r="F74" s="84">
        <v>0</v>
      </c>
      <c r="G74" s="84">
        <v>67257.42</v>
      </c>
      <c r="H74" s="84"/>
      <c r="I74" s="84"/>
      <c r="J74" s="84" t="s">
        <v>973</v>
      </c>
      <c r="K74" s="84" t="s">
        <v>1014</v>
      </c>
      <c r="L74" s="40">
        <v>0.68</v>
      </c>
      <c r="M74" s="84" t="s">
        <v>46</v>
      </c>
    </row>
    <row r="75" spans="1:13" x14ac:dyDescent="0.3">
      <c r="A75" s="83">
        <v>45794.694398148153</v>
      </c>
      <c r="B75" s="84" t="s">
        <v>1959</v>
      </c>
      <c r="C75" s="84" t="s">
        <v>1960</v>
      </c>
      <c r="D75" s="83">
        <v>45794</v>
      </c>
      <c r="E75" s="84">
        <v>0</v>
      </c>
      <c r="F75" s="84">
        <v>2610</v>
      </c>
      <c r="G75" s="84">
        <v>69867.42</v>
      </c>
      <c r="H75" s="84"/>
      <c r="I75" s="84"/>
      <c r="J75" s="84" t="s">
        <v>973</v>
      </c>
      <c r="K75" s="84" t="s">
        <v>1014</v>
      </c>
      <c r="L75" s="24">
        <v>0.92</v>
      </c>
      <c r="M75" s="84" t="s">
        <v>46</v>
      </c>
    </row>
    <row r="76" spans="1:13" x14ac:dyDescent="0.3">
      <c r="A76" s="101">
        <v>45795.356215277781</v>
      </c>
      <c r="B76" s="102" t="s">
        <v>1961</v>
      </c>
      <c r="C76" s="102" t="s">
        <v>1962</v>
      </c>
      <c r="D76" s="101">
        <v>45795</v>
      </c>
      <c r="E76" s="102">
        <v>430</v>
      </c>
      <c r="F76" s="102">
        <v>0</v>
      </c>
      <c r="G76" s="102">
        <v>69437.42</v>
      </c>
      <c r="H76" s="102"/>
      <c r="I76" s="102"/>
      <c r="J76" s="102" t="s">
        <v>985</v>
      </c>
      <c r="K76" s="102" t="s">
        <v>91</v>
      </c>
      <c r="L76" s="40">
        <v>0.68</v>
      </c>
      <c r="M76" s="102" t="s">
        <v>46</v>
      </c>
    </row>
    <row r="77" spans="1:13" x14ac:dyDescent="0.3">
      <c r="A77" s="89">
        <v>45795.375648148147</v>
      </c>
      <c r="B77" s="90" t="s">
        <v>1963</v>
      </c>
      <c r="C77" s="90" t="s">
        <v>1964</v>
      </c>
      <c r="D77" s="89">
        <v>45795</v>
      </c>
      <c r="E77" s="90">
        <v>20</v>
      </c>
      <c r="F77" s="90">
        <v>0</v>
      </c>
      <c r="G77" s="90">
        <v>69417.42</v>
      </c>
      <c r="H77" s="90" t="s">
        <v>1965</v>
      </c>
      <c r="I77" s="90"/>
      <c r="J77" s="90" t="s">
        <v>975</v>
      </c>
      <c r="K77" s="90" t="s">
        <v>91</v>
      </c>
      <c r="L77" s="39">
        <v>0.55000000000000004</v>
      </c>
      <c r="M77" s="90" t="s">
        <v>46</v>
      </c>
    </row>
    <row r="78" spans="1:13" x14ac:dyDescent="0.3">
      <c r="A78" s="101">
        <v>45796.321261574078</v>
      </c>
      <c r="B78" s="102" t="s">
        <v>1966</v>
      </c>
      <c r="C78" s="102" t="s">
        <v>1967</v>
      </c>
      <c r="D78" s="101">
        <v>45796</v>
      </c>
      <c r="E78" s="102">
        <v>250</v>
      </c>
      <c r="F78" s="102">
        <v>0</v>
      </c>
      <c r="G78" s="102">
        <v>69167.42</v>
      </c>
      <c r="H78" s="102"/>
      <c r="I78" s="102"/>
      <c r="J78" s="102" t="s">
        <v>985</v>
      </c>
      <c r="K78" s="102" t="s">
        <v>91</v>
      </c>
      <c r="L78" s="40">
        <v>0.68</v>
      </c>
      <c r="M78" s="102" t="s">
        <v>46</v>
      </c>
    </row>
    <row r="79" spans="1:13" x14ac:dyDescent="0.3">
      <c r="A79" s="89">
        <v>45796.781666666669</v>
      </c>
      <c r="B79" s="90" t="s">
        <v>1968</v>
      </c>
      <c r="C79" s="90" t="s">
        <v>1969</v>
      </c>
      <c r="D79" s="89">
        <v>45796</v>
      </c>
      <c r="E79" s="90">
        <v>45</v>
      </c>
      <c r="F79" s="90">
        <v>0</v>
      </c>
      <c r="G79" s="90">
        <v>69122.42</v>
      </c>
      <c r="H79" s="90" t="s">
        <v>1970</v>
      </c>
      <c r="I79" s="90"/>
      <c r="J79" s="90" t="s">
        <v>975</v>
      </c>
      <c r="K79" s="90" t="s">
        <v>91</v>
      </c>
      <c r="L79" s="39">
        <v>0.55000000000000004</v>
      </c>
      <c r="M79" s="90" t="s">
        <v>46</v>
      </c>
    </row>
    <row r="80" spans="1:13" x14ac:dyDescent="0.3">
      <c r="A80" s="89">
        <v>45797.512025462973</v>
      </c>
      <c r="B80" s="90" t="s">
        <v>1971</v>
      </c>
      <c r="C80" s="90" t="s">
        <v>1972</v>
      </c>
      <c r="D80" s="89">
        <v>45797</v>
      </c>
      <c r="E80" s="90">
        <v>100</v>
      </c>
      <c r="F80" s="90">
        <v>0</v>
      </c>
      <c r="G80" s="90">
        <v>69022.42</v>
      </c>
      <c r="H80" s="90" t="s">
        <v>1973</v>
      </c>
      <c r="I80" s="90"/>
      <c r="J80" s="90" t="s">
        <v>975</v>
      </c>
      <c r="K80" s="90" t="s">
        <v>91</v>
      </c>
      <c r="L80" s="39">
        <v>0.55000000000000004</v>
      </c>
      <c r="M80" s="90" t="s">
        <v>46</v>
      </c>
    </row>
    <row r="81" spans="1:13" x14ac:dyDescent="0.3">
      <c r="A81" s="115">
        <v>45798.811168981483</v>
      </c>
      <c r="B81" s="116" t="s">
        <v>1974</v>
      </c>
      <c r="C81" s="116" t="s">
        <v>1975</v>
      </c>
      <c r="D81" s="115">
        <v>45798</v>
      </c>
      <c r="E81" s="116">
        <v>74</v>
      </c>
      <c r="F81" s="116">
        <v>0</v>
      </c>
      <c r="G81" s="116">
        <v>68948.42</v>
      </c>
      <c r="H81" s="116"/>
      <c r="I81" s="116"/>
      <c r="J81" s="116" t="s">
        <v>999</v>
      </c>
      <c r="K81" s="116" t="s">
        <v>91</v>
      </c>
      <c r="L81" s="40">
        <v>0.65</v>
      </c>
      <c r="M81" s="116" t="s">
        <v>46</v>
      </c>
    </row>
    <row r="82" spans="1:13" x14ac:dyDescent="0.3">
      <c r="A82" s="157">
        <v>45799.675752314812</v>
      </c>
      <c r="B82" s="158" t="s">
        <v>1976</v>
      </c>
      <c r="C82" s="158" t="s">
        <v>1977</v>
      </c>
      <c r="D82" s="157">
        <v>45799</v>
      </c>
      <c r="E82" s="158">
        <v>0</v>
      </c>
      <c r="F82" s="158">
        <v>9220</v>
      </c>
      <c r="G82" s="158">
        <v>78168.42</v>
      </c>
      <c r="H82" s="158"/>
      <c r="I82" s="158"/>
      <c r="J82" s="158" t="s">
        <v>1810</v>
      </c>
      <c r="K82" s="158" t="s">
        <v>112</v>
      </c>
      <c r="L82" s="24">
        <v>0.9</v>
      </c>
      <c r="M82" s="158" t="s">
        <v>46</v>
      </c>
    </row>
    <row r="83" spans="1:13" x14ac:dyDescent="0.3">
      <c r="A83" s="97">
        <v>45799.876909722218</v>
      </c>
      <c r="B83" s="98" t="s">
        <v>1978</v>
      </c>
      <c r="C83" s="98" t="s">
        <v>1979</v>
      </c>
      <c r="D83" s="97">
        <v>45799</v>
      </c>
      <c r="E83" s="98">
        <v>10000</v>
      </c>
      <c r="F83" s="98">
        <v>0</v>
      </c>
      <c r="G83" s="98">
        <v>68168.42</v>
      </c>
      <c r="H83" s="98"/>
      <c r="I83" s="98"/>
      <c r="J83" s="98" t="s">
        <v>978</v>
      </c>
      <c r="K83" s="98" t="s">
        <v>1031</v>
      </c>
      <c r="L83" s="24">
        <v>0.85</v>
      </c>
      <c r="M83" s="98" t="s">
        <v>46</v>
      </c>
    </row>
    <row r="84" spans="1:13" x14ac:dyDescent="0.3">
      <c r="A84" s="101">
        <v>45800.718622685177</v>
      </c>
      <c r="B84" s="102" t="s">
        <v>1980</v>
      </c>
      <c r="C84" s="102" t="s">
        <v>1981</v>
      </c>
      <c r="D84" s="101">
        <v>45800</v>
      </c>
      <c r="E84" s="102">
        <v>88</v>
      </c>
      <c r="F84" s="102">
        <v>0</v>
      </c>
      <c r="G84" s="102">
        <v>68080.42</v>
      </c>
      <c r="H84" s="102"/>
      <c r="I84" s="102"/>
      <c r="J84" s="102" t="s">
        <v>985</v>
      </c>
      <c r="K84" s="102" t="s">
        <v>91</v>
      </c>
      <c r="L84" s="40">
        <v>0.68</v>
      </c>
      <c r="M84" s="102" t="s">
        <v>46</v>
      </c>
    </row>
    <row r="85" spans="1:13" x14ac:dyDescent="0.3">
      <c r="A85" s="103">
        <v>45803.359699074077</v>
      </c>
      <c r="B85" s="104" t="s">
        <v>1982</v>
      </c>
      <c r="C85" s="104" t="s">
        <v>1983</v>
      </c>
      <c r="D85" s="103">
        <v>45803</v>
      </c>
      <c r="E85" s="104">
        <v>90</v>
      </c>
      <c r="F85" s="104">
        <v>0</v>
      </c>
      <c r="G85" s="104">
        <v>67990.42</v>
      </c>
      <c r="H85" s="104"/>
      <c r="I85" s="104"/>
      <c r="J85" s="104" t="s">
        <v>983</v>
      </c>
      <c r="K85" s="104" t="s">
        <v>131</v>
      </c>
      <c r="L85" s="40">
        <v>0.82</v>
      </c>
      <c r="M85" s="104" t="s">
        <v>46</v>
      </c>
    </row>
    <row r="86" spans="1:13" x14ac:dyDescent="0.3">
      <c r="A86" s="115">
        <v>45803.368622685193</v>
      </c>
      <c r="B86" s="116" t="s">
        <v>1984</v>
      </c>
      <c r="C86" s="116" t="s">
        <v>1985</v>
      </c>
      <c r="D86" s="115">
        <v>45803</v>
      </c>
      <c r="E86" s="116">
        <v>405</v>
      </c>
      <c r="F86" s="116">
        <v>0</v>
      </c>
      <c r="G86" s="116">
        <v>67585.42</v>
      </c>
      <c r="H86" s="116"/>
      <c r="I86" s="116"/>
      <c r="J86" s="116" t="s">
        <v>999</v>
      </c>
      <c r="K86" s="116" t="s">
        <v>91</v>
      </c>
      <c r="L86" s="40">
        <v>0.65</v>
      </c>
      <c r="M86" s="116" t="s">
        <v>46</v>
      </c>
    </row>
    <row r="87" spans="1:13" x14ac:dyDescent="0.3">
      <c r="A87" s="101">
        <v>45803.371099537027</v>
      </c>
      <c r="B87" s="102" t="s">
        <v>1986</v>
      </c>
      <c r="C87" s="102" t="s">
        <v>1987</v>
      </c>
      <c r="D87" s="101">
        <v>45803</v>
      </c>
      <c r="E87" s="102">
        <v>20</v>
      </c>
      <c r="F87" s="102">
        <v>0</v>
      </c>
      <c r="G87" s="102">
        <v>67565.42</v>
      </c>
      <c r="H87" s="102"/>
      <c r="I87" s="102"/>
      <c r="J87" s="102" t="s">
        <v>985</v>
      </c>
      <c r="K87" s="102" t="s">
        <v>91</v>
      </c>
      <c r="L87" s="40">
        <v>0.68</v>
      </c>
      <c r="M87" s="102" t="s">
        <v>46</v>
      </c>
    </row>
    <row r="88" spans="1:13" x14ac:dyDescent="0.3">
      <c r="A88" s="49">
        <v>45803.711770833332</v>
      </c>
      <c r="B88" s="50" t="s">
        <v>1988</v>
      </c>
      <c r="C88" s="50" t="s">
        <v>1989</v>
      </c>
      <c r="D88" s="49">
        <v>45803</v>
      </c>
      <c r="E88" s="50">
        <v>0</v>
      </c>
      <c r="F88" s="50">
        <v>24</v>
      </c>
      <c r="G88" s="50">
        <v>67589.42</v>
      </c>
      <c r="H88" s="50"/>
      <c r="I88" s="50"/>
      <c r="J88" s="50" t="s">
        <v>17</v>
      </c>
      <c r="K88" s="50" t="s">
        <v>17</v>
      </c>
      <c r="L88" s="24">
        <v>0.93</v>
      </c>
      <c r="M88" s="50" t="s">
        <v>46</v>
      </c>
    </row>
    <row r="89" spans="1:13" x14ac:dyDescent="0.3">
      <c r="A89" s="101">
        <v>45804.433449074073</v>
      </c>
      <c r="B89" s="102" t="s">
        <v>1990</v>
      </c>
      <c r="C89" s="102" t="s">
        <v>1991</v>
      </c>
      <c r="D89" s="101">
        <v>45804</v>
      </c>
      <c r="E89" s="102">
        <v>127</v>
      </c>
      <c r="F89" s="102">
        <v>0</v>
      </c>
      <c r="G89" s="102">
        <v>67462.42</v>
      </c>
      <c r="H89" s="102"/>
      <c r="I89" s="102"/>
      <c r="J89" s="102" t="s">
        <v>985</v>
      </c>
      <c r="K89" s="102" t="s">
        <v>91</v>
      </c>
      <c r="L89" s="40">
        <v>0.68</v>
      </c>
      <c r="M89" s="102" t="s">
        <v>46</v>
      </c>
    </row>
    <row r="90" spans="1:13" x14ac:dyDescent="0.3">
      <c r="A90" s="22">
        <v>45805.283750000002</v>
      </c>
      <c r="B90" s="23" t="s">
        <v>1992</v>
      </c>
      <c r="C90" s="23" t="s">
        <v>1993</v>
      </c>
      <c r="D90" s="22">
        <v>45805</v>
      </c>
      <c r="E90" s="23">
        <v>7000</v>
      </c>
      <c r="F90" s="23">
        <v>0</v>
      </c>
      <c r="G90" s="23">
        <v>60462.42</v>
      </c>
      <c r="H90" s="23"/>
      <c r="I90" s="23"/>
      <c r="J90" s="23" t="s">
        <v>2</v>
      </c>
      <c r="K90" s="23" t="s">
        <v>2</v>
      </c>
      <c r="L90" s="24">
        <v>0.96</v>
      </c>
      <c r="M90" s="23" t="s">
        <v>46</v>
      </c>
    </row>
    <row r="91" spans="1:13" x14ac:dyDescent="0.3">
      <c r="A91" s="83">
        <v>45807.438715277778</v>
      </c>
      <c r="B91" s="84" t="s">
        <v>1994</v>
      </c>
      <c r="C91" s="84" t="s">
        <v>1995</v>
      </c>
      <c r="D91" s="83">
        <v>45807</v>
      </c>
      <c r="E91" s="84">
        <v>272.25</v>
      </c>
      <c r="F91" s="84">
        <v>0</v>
      </c>
      <c r="G91" s="84">
        <v>60190.17</v>
      </c>
      <c r="H91" s="84"/>
      <c r="I91" s="84"/>
      <c r="J91" s="84" t="s">
        <v>973</v>
      </c>
      <c r="K91" s="84" t="s">
        <v>1014</v>
      </c>
      <c r="L91" s="40">
        <v>0.68</v>
      </c>
      <c r="M91" s="84" t="s">
        <v>46</v>
      </c>
    </row>
    <row r="92" spans="1:13" x14ac:dyDescent="0.3">
      <c r="A92" s="89">
        <v>45807.744988425933</v>
      </c>
      <c r="B92" s="90" t="s">
        <v>1996</v>
      </c>
      <c r="C92" s="90" t="s">
        <v>1997</v>
      </c>
      <c r="D92" s="89">
        <v>45807</v>
      </c>
      <c r="E92" s="90">
        <v>70</v>
      </c>
      <c r="F92" s="90">
        <v>0</v>
      </c>
      <c r="G92" s="90">
        <v>60120.17</v>
      </c>
      <c r="H92" s="90" t="s">
        <v>1998</v>
      </c>
      <c r="I92" s="90"/>
      <c r="J92" s="90" t="s">
        <v>975</v>
      </c>
      <c r="K92" s="90" t="s">
        <v>91</v>
      </c>
      <c r="L92" s="39">
        <v>0.55000000000000004</v>
      </c>
      <c r="M92" s="90" t="s">
        <v>46</v>
      </c>
    </row>
    <row r="93" spans="1:13" x14ac:dyDescent="0.3">
      <c r="A93" s="103">
        <v>45807.761956018519</v>
      </c>
      <c r="B93" s="104" t="s">
        <v>1999</v>
      </c>
      <c r="C93" s="104" t="s">
        <v>2000</v>
      </c>
      <c r="D93" s="103">
        <v>45807</v>
      </c>
      <c r="E93" s="104">
        <v>84</v>
      </c>
      <c r="F93" s="104">
        <v>0</v>
      </c>
      <c r="G93" s="104">
        <v>60036.17</v>
      </c>
      <c r="H93" s="104"/>
      <c r="I93" s="104"/>
      <c r="J93" s="104" t="s">
        <v>983</v>
      </c>
      <c r="K93" s="104" t="s">
        <v>131</v>
      </c>
      <c r="L93" s="40">
        <v>0.82</v>
      </c>
      <c r="M93" s="104" t="s">
        <v>46</v>
      </c>
    </row>
    <row r="94" spans="1:13" x14ac:dyDescent="0.3">
      <c r="A94" s="83">
        <v>45807.968576388892</v>
      </c>
      <c r="B94" s="84" t="s">
        <v>2001</v>
      </c>
      <c r="C94" s="84" t="s">
        <v>2002</v>
      </c>
      <c r="D94" s="83">
        <v>45807</v>
      </c>
      <c r="E94" s="84">
        <v>192.7</v>
      </c>
      <c r="F94" s="84">
        <v>0</v>
      </c>
      <c r="G94" s="84">
        <v>59843.47</v>
      </c>
      <c r="H94" s="84"/>
      <c r="I94" s="84"/>
      <c r="J94" s="84" t="s">
        <v>973</v>
      </c>
      <c r="K94" s="84" t="s">
        <v>1014</v>
      </c>
      <c r="L94" s="40">
        <v>0.68</v>
      </c>
      <c r="M94" s="84" t="s">
        <v>46</v>
      </c>
    </row>
    <row r="95" spans="1:13" x14ac:dyDescent="0.3">
      <c r="A95" s="51">
        <v>45808.816689814812</v>
      </c>
      <c r="B95" s="52" t="s">
        <v>2003</v>
      </c>
      <c r="C95" s="52" t="s">
        <v>2004</v>
      </c>
      <c r="D95" s="51">
        <v>45808</v>
      </c>
      <c r="E95" s="52">
        <v>0</v>
      </c>
      <c r="F95" s="52">
        <v>799</v>
      </c>
      <c r="G95" s="52">
        <v>60642.47</v>
      </c>
      <c r="H95" s="52"/>
      <c r="I95" s="52"/>
      <c r="J95" s="52" t="s">
        <v>20</v>
      </c>
      <c r="K95" s="52" t="s">
        <v>181</v>
      </c>
      <c r="L95" s="24">
        <v>0.85</v>
      </c>
      <c r="M95" s="52" t="s">
        <v>46</v>
      </c>
    </row>
    <row r="96" spans="1:13" x14ac:dyDescent="0.3">
      <c r="A96" s="51">
        <v>45808.845590277779</v>
      </c>
      <c r="B96" s="52" t="s">
        <v>2005</v>
      </c>
      <c r="C96" s="52" t="s">
        <v>2006</v>
      </c>
      <c r="D96" s="51">
        <v>45808</v>
      </c>
      <c r="E96" s="52">
        <v>0</v>
      </c>
      <c r="F96" s="52">
        <v>1000</v>
      </c>
      <c r="G96" s="52">
        <v>61642.47</v>
      </c>
      <c r="H96" s="52"/>
      <c r="I96" s="52"/>
      <c r="J96" s="52" t="s">
        <v>20</v>
      </c>
      <c r="K96" s="52" t="s">
        <v>181</v>
      </c>
      <c r="L96" s="24">
        <v>0.85</v>
      </c>
      <c r="M96" s="52" t="s">
        <v>46</v>
      </c>
    </row>
    <row r="97" spans="1:13" x14ac:dyDescent="0.3">
      <c r="A97" s="51">
        <v>45808.925555555557</v>
      </c>
      <c r="B97" s="52" t="s">
        <v>2007</v>
      </c>
      <c r="C97" s="52" t="s">
        <v>2008</v>
      </c>
      <c r="D97" s="51">
        <v>45808</v>
      </c>
      <c r="E97" s="52">
        <v>1800</v>
      </c>
      <c r="F97" s="52">
        <v>0</v>
      </c>
      <c r="G97" s="52">
        <v>59842.47</v>
      </c>
      <c r="H97" s="52"/>
      <c r="I97" s="52"/>
      <c r="J97" s="52" t="s">
        <v>18</v>
      </c>
      <c r="K97" s="52" t="s">
        <v>181</v>
      </c>
      <c r="L97" s="24">
        <v>0.85</v>
      </c>
      <c r="M97" s="52" t="s">
        <v>46</v>
      </c>
    </row>
    <row r="98" spans="1:13" x14ac:dyDescent="0.3">
      <c r="A98" s="101">
        <v>45809.755925925929</v>
      </c>
      <c r="B98" s="102" t="s">
        <v>2009</v>
      </c>
      <c r="C98" s="102" t="s">
        <v>2010</v>
      </c>
      <c r="D98" s="101">
        <v>45809</v>
      </c>
      <c r="E98" s="102">
        <v>66</v>
      </c>
      <c r="F98" s="102">
        <v>0</v>
      </c>
      <c r="G98" s="102">
        <v>59776.47</v>
      </c>
      <c r="H98" s="102"/>
      <c r="I98" s="102"/>
      <c r="J98" s="102" t="s">
        <v>985</v>
      </c>
      <c r="K98" s="102" t="s">
        <v>91</v>
      </c>
      <c r="L98" s="40">
        <v>0.68</v>
      </c>
      <c r="M98" s="102" t="s">
        <v>46</v>
      </c>
    </row>
    <row r="99" spans="1:13" x14ac:dyDescent="0.3">
      <c r="A99" s="103">
        <v>45809.756689814807</v>
      </c>
      <c r="B99" s="104" t="s">
        <v>2011</v>
      </c>
      <c r="C99" s="104" t="s">
        <v>2012</v>
      </c>
      <c r="D99" s="103">
        <v>45809</v>
      </c>
      <c r="E99" s="104">
        <v>24</v>
      </c>
      <c r="F99" s="104">
        <v>0</v>
      </c>
      <c r="G99" s="104">
        <v>59752.47</v>
      </c>
      <c r="H99" s="104"/>
      <c r="I99" s="104"/>
      <c r="J99" s="104" t="s">
        <v>983</v>
      </c>
      <c r="K99" s="104" t="s">
        <v>131</v>
      </c>
      <c r="L99" s="40">
        <v>0.82</v>
      </c>
      <c r="M99" s="104" t="s">
        <v>46</v>
      </c>
    </row>
    <row r="100" spans="1:13" x14ac:dyDescent="0.3">
      <c r="A100" s="27">
        <v>45810.543657407397</v>
      </c>
      <c r="B100" s="28" t="s">
        <v>2013</v>
      </c>
      <c r="C100" s="28" t="s">
        <v>2014</v>
      </c>
      <c r="D100" s="27">
        <v>45810</v>
      </c>
      <c r="E100" s="28">
        <v>0</v>
      </c>
      <c r="F100" s="28">
        <v>5000</v>
      </c>
      <c r="G100" s="28">
        <v>64752.47</v>
      </c>
      <c r="H100" s="28"/>
      <c r="I100" s="28"/>
      <c r="J100" s="28" t="s">
        <v>1656</v>
      </c>
      <c r="K100" s="28" t="s">
        <v>1680</v>
      </c>
      <c r="L100" s="24">
        <v>0.95</v>
      </c>
      <c r="M100" s="28" t="s">
        <v>46</v>
      </c>
    </row>
    <row r="101" spans="1:13" x14ac:dyDescent="0.3">
      <c r="A101" s="27">
        <v>45810.545717592591</v>
      </c>
      <c r="B101" s="28" t="s">
        <v>2015</v>
      </c>
      <c r="C101" s="28" t="s">
        <v>2016</v>
      </c>
      <c r="D101" s="27">
        <v>45810</v>
      </c>
      <c r="E101" s="28">
        <v>0</v>
      </c>
      <c r="F101" s="28">
        <v>40000</v>
      </c>
      <c r="G101" s="28">
        <v>104752.47</v>
      </c>
      <c r="H101" s="28"/>
      <c r="I101" s="28"/>
      <c r="J101" s="28" t="s">
        <v>1656</v>
      </c>
      <c r="K101" s="28" t="s">
        <v>1680</v>
      </c>
      <c r="L101" s="24">
        <v>0.95</v>
      </c>
      <c r="M101" s="28" t="s">
        <v>46</v>
      </c>
    </row>
    <row r="102" spans="1:13" x14ac:dyDescent="0.3">
      <c r="A102" s="146">
        <v>45811.019166666672</v>
      </c>
      <c r="B102" s="147" t="s">
        <v>2017</v>
      </c>
      <c r="C102" s="147" t="s">
        <v>2018</v>
      </c>
      <c r="D102" s="146">
        <v>45811</v>
      </c>
      <c r="E102" s="147">
        <v>0</v>
      </c>
      <c r="F102" s="147">
        <v>49.36</v>
      </c>
      <c r="G102" s="147">
        <v>104801.83</v>
      </c>
      <c r="H102" s="147"/>
      <c r="I102" s="147"/>
      <c r="J102" s="147" t="s">
        <v>1678</v>
      </c>
      <c r="K102" s="147" t="s">
        <v>1658</v>
      </c>
      <c r="L102" s="24">
        <v>0.88</v>
      </c>
      <c r="M102" s="147" t="s">
        <v>46</v>
      </c>
    </row>
    <row r="103" spans="1:13" x14ac:dyDescent="0.3">
      <c r="A103" s="89">
        <v>45811.437858796293</v>
      </c>
      <c r="B103" s="90" t="s">
        <v>2019</v>
      </c>
      <c r="C103" s="90" t="s">
        <v>2020</v>
      </c>
      <c r="D103" s="89">
        <v>45811</v>
      </c>
      <c r="E103" s="90">
        <v>72</v>
      </c>
      <c r="F103" s="90">
        <v>0</v>
      </c>
      <c r="G103" s="90">
        <v>104729.83</v>
      </c>
      <c r="H103" s="90" t="s">
        <v>2021</v>
      </c>
      <c r="I103" s="90"/>
      <c r="J103" s="90" t="s">
        <v>975</v>
      </c>
      <c r="K103" s="90" t="s">
        <v>91</v>
      </c>
      <c r="L103" s="39">
        <v>0.55000000000000004</v>
      </c>
      <c r="M103" s="90" t="s">
        <v>46</v>
      </c>
    </row>
    <row r="104" spans="1:13" x14ac:dyDescent="0.3">
      <c r="A104" s="89">
        <v>45811.712777777779</v>
      </c>
      <c r="B104" s="90" t="s">
        <v>2022</v>
      </c>
      <c r="C104" s="90" t="s">
        <v>2023</v>
      </c>
      <c r="D104" s="89">
        <v>45811</v>
      </c>
      <c r="E104" s="90">
        <v>47</v>
      </c>
      <c r="F104" s="90">
        <v>0</v>
      </c>
      <c r="G104" s="90">
        <v>104682.83</v>
      </c>
      <c r="H104" s="90" t="s">
        <v>2024</v>
      </c>
      <c r="I104" s="90"/>
      <c r="J104" s="90" t="s">
        <v>975</v>
      </c>
      <c r="K104" s="90" t="s">
        <v>91</v>
      </c>
      <c r="L104" s="39">
        <v>0.55000000000000004</v>
      </c>
      <c r="M104" s="90" t="s">
        <v>46</v>
      </c>
    </row>
    <row r="105" spans="1:13" x14ac:dyDescent="0.3">
      <c r="A105" s="99">
        <v>45811.831724537027</v>
      </c>
      <c r="B105" s="100" t="s">
        <v>2025</v>
      </c>
      <c r="C105" s="100" t="s">
        <v>2026</v>
      </c>
      <c r="D105" s="99">
        <v>45811</v>
      </c>
      <c r="E105" s="100">
        <v>260</v>
      </c>
      <c r="F105" s="100">
        <v>0</v>
      </c>
      <c r="G105" s="100">
        <v>104422.83</v>
      </c>
      <c r="H105" s="100"/>
      <c r="I105" s="100"/>
      <c r="J105" s="100" t="s">
        <v>989</v>
      </c>
      <c r="K105" s="100" t="s">
        <v>1053</v>
      </c>
      <c r="L105" s="40">
        <v>0.75</v>
      </c>
      <c r="M105" s="100" t="s">
        <v>46</v>
      </c>
    </row>
    <row r="106" spans="1:13" x14ac:dyDescent="0.3">
      <c r="A106" s="146">
        <v>45812.100405092591</v>
      </c>
      <c r="B106" s="147" t="s">
        <v>2027</v>
      </c>
      <c r="C106" s="147" t="s">
        <v>2028</v>
      </c>
      <c r="D106" s="146">
        <v>45812</v>
      </c>
      <c r="E106" s="147">
        <v>0</v>
      </c>
      <c r="F106" s="147">
        <v>8</v>
      </c>
      <c r="G106" s="147">
        <v>104430.83</v>
      </c>
      <c r="H106" s="147"/>
      <c r="I106" s="147"/>
      <c r="J106" s="147" t="s">
        <v>1811</v>
      </c>
      <c r="K106" s="147" t="s">
        <v>1658</v>
      </c>
      <c r="L106" s="24">
        <v>0.88</v>
      </c>
      <c r="M106" s="147" t="s">
        <v>46</v>
      </c>
    </row>
    <row r="107" spans="1:13" x14ac:dyDescent="0.3">
      <c r="A107" s="22">
        <v>45812.801701388889</v>
      </c>
      <c r="B107" s="23" t="s">
        <v>2029</v>
      </c>
      <c r="C107" s="23" t="s">
        <v>2030</v>
      </c>
      <c r="D107" s="22">
        <v>45812</v>
      </c>
      <c r="E107" s="23">
        <v>20000</v>
      </c>
      <c r="F107" s="23">
        <v>0</v>
      </c>
      <c r="G107" s="23">
        <v>84430.83</v>
      </c>
      <c r="H107" s="23"/>
      <c r="I107" s="23"/>
      <c r="J107" s="23" t="s">
        <v>1812</v>
      </c>
      <c r="K107" s="23" t="s">
        <v>1701</v>
      </c>
      <c r="L107" s="24">
        <v>0.88</v>
      </c>
      <c r="M107" s="23" t="s">
        <v>46</v>
      </c>
    </row>
    <row r="108" spans="1:13" x14ac:dyDescent="0.3">
      <c r="A108" s="89">
        <v>45812.81821759259</v>
      </c>
      <c r="B108" s="90" t="s">
        <v>2031</v>
      </c>
      <c r="C108" s="90" t="s">
        <v>2032</v>
      </c>
      <c r="D108" s="89">
        <v>45812</v>
      </c>
      <c r="E108" s="90">
        <v>789</v>
      </c>
      <c r="F108" s="90">
        <v>0</v>
      </c>
      <c r="G108" s="90">
        <v>83641.83</v>
      </c>
      <c r="H108" s="90" t="s">
        <v>2033</v>
      </c>
      <c r="I108" s="90"/>
      <c r="J108" s="90" t="s">
        <v>975</v>
      </c>
      <c r="K108" s="90" t="s">
        <v>91</v>
      </c>
      <c r="L108" s="39">
        <v>0.55000000000000004</v>
      </c>
      <c r="M108" s="90" t="s">
        <v>46</v>
      </c>
    </row>
    <row r="109" spans="1:13" x14ac:dyDescent="0.3">
      <c r="A109" s="27">
        <v>45812.820069444453</v>
      </c>
      <c r="B109" s="28" t="s">
        <v>2034</v>
      </c>
      <c r="C109" s="28" t="s">
        <v>2035</v>
      </c>
      <c r="D109" s="27">
        <v>45812</v>
      </c>
      <c r="E109" s="28">
        <v>1001</v>
      </c>
      <c r="F109" s="28">
        <v>0</v>
      </c>
      <c r="G109" s="28">
        <v>82640.83</v>
      </c>
      <c r="H109" s="28"/>
      <c r="I109" s="28"/>
      <c r="J109" s="28" t="s">
        <v>11</v>
      </c>
      <c r="K109" s="28" t="s">
        <v>112</v>
      </c>
      <c r="L109" s="40">
        <v>0.68</v>
      </c>
      <c r="M109" s="28" t="s">
        <v>46</v>
      </c>
    </row>
    <row r="110" spans="1:13" x14ac:dyDescent="0.3">
      <c r="A110" s="103">
        <v>45814.822766203702</v>
      </c>
      <c r="B110" s="104" t="s">
        <v>2036</v>
      </c>
      <c r="C110" s="104" t="s">
        <v>2037</v>
      </c>
      <c r="D110" s="103">
        <v>45814</v>
      </c>
      <c r="E110" s="104">
        <v>48</v>
      </c>
      <c r="F110" s="104">
        <v>0</v>
      </c>
      <c r="G110" s="104">
        <v>82592.83</v>
      </c>
      <c r="H110" s="104"/>
      <c r="I110" s="104"/>
      <c r="J110" s="104" t="s">
        <v>983</v>
      </c>
      <c r="K110" s="104" t="s">
        <v>131</v>
      </c>
      <c r="L110" s="40">
        <v>0.82</v>
      </c>
      <c r="M110" s="104" t="s">
        <v>46</v>
      </c>
    </row>
    <row r="111" spans="1:13" x14ac:dyDescent="0.3">
      <c r="A111" s="101">
        <v>45815.895567129628</v>
      </c>
      <c r="B111" s="102" t="s">
        <v>2038</v>
      </c>
      <c r="C111" s="102" t="s">
        <v>2039</v>
      </c>
      <c r="D111" s="101">
        <v>45815</v>
      </c>
      <c r="E111" s="102">
        <v>25</v>
      </c>
      <c r="F111" s="102">
        <v>0</v>
      </c>
      <c r="G111" s="102">
        <v>82567.83</v>
      </c>
      <c r="H111" s="102"/>
      <c r="I111" s="102"/>
      <c r="J111" s="102" t="s">
        <v>985</v>
      </c>
      <c r="K111" s="102" t="s">
        <v>91</v>
      </c>
      <c r="L111" s="40">
        <v>0.68</v>
      </c>
      <c r="M111" s="102" t="s">
        <v>46</v>
      </c>
    </row>
    <row r="112" spans="1:13" x14ac:dyDescent="0.3">
      <c r="A112" s="101">
        <v>45815.897685185177</v>
      </c>
      <c r="B112" s="102" t="s">
        <v>2040</v>
      </c>
      <c r="C112" s="102" t="s">
        <v>2041</v>
      </c>
      <c r="D112" s="101">
        <v>45815</v>
      </c>
      <c r="E112" s="102">
        <v>25</v>
      </c>
      <c r="F112" s="102">
        <v>0</v>
      </c>
      <c r="G112" s="102">
        <v>82542.83</v>
      </c>
      <c r="H112" s="102"/>
      <c r="I112" s="102"/>
      <c r="J112" s="102" t="s">
        <v>985</v>
      </c>
      <c r="K112" s="102" t="s">
        <v>91</v>
      </c>
      <c r="L112" s="40">
        <v>0.68</v>
      </c>
      <c r="M112" s="102" t="s">
        <v>46</v>
      </c>
    </row>
    <row r="113" spans="1:13" x14ac:dyDescent="0.3">
      <c r="A113" s="103">
        <v>45816.434652777767</v>
      </c>
      <c r="B113" s="104" t="s">
        <v>2042</v>
      </c>
      <c r="C113" s="104" t="s">
        <v>2043</v>
      </c>
      <c r="D113" s="103">
        <v>45816</v>
      </c>
      <c r="E113" s="104">
        <v>46</v>
      </c>
      <c r="F113" s="104">
        <v>0</v>
      </c>
      <c r="G113" s="104">
        <v>82496.83</v>
      </c>
      <c r="H113" s="104"/>
      <c r="I113" s="104"/>
      <c r="J113" s="104" t="s">
        <v>983</v>
      </c>
      <c r="K113" s="104" t="s">
        <v>131</v>
      </c>
      <c r="L113" s="40">
        <v>0.82</v>
      </c>
      <c r="M113" s="104" t="s">
        <v>46</v>
      </c>
    </row>
    <row r="114" spans="1:13" x14ac:dyDescent="0.3">
      <c r="A114" s="101">
        <v>45816.722858796304</v>
      </c>
      <c r="B114" s="102" t="s">
        <v>2044</v>
      </c>
      <c r="C114" s="102" t="s">
        <v>2045</v>
      </c>
      <c r="D114" s="101">
        <v>45816</v>
      </c>
      <c r="E114" s="102">
        <v>120</v>
      </c>
      <c r="F114" s="102">
        <v>0</v>
      </c>
      <c r="G114" s="102">
        <v>82376.83</v>
      </c>
      <c r="H114" s="102"/>
      <c r="I114" s="102"/>
      <c r="J114" s="102" t="s">
        <v>985</v>
      </c>
      <c r="K114" s="102" t="s">
        <v>91</v>
      </c>
      <c r="L114" s="40">
        <v>0.68</v>
      </c>
      <c r="M114" s="102" t="s">
        <v>46</v>
      </c>
    </row>
    <row r="115" spans="1:13" x14ac:dyDescent="0.3">
      <c r="A115" s="31">
        <v>45817.651921296303</v>
      </c>
      <c r="B115" s="32" t="s">
        <v>2046</v>
      </c>
      <c r="C115" s="32" t="s">
        <v>2047</v>
      </c>
      <c r="D115" s="31">
        <v>45817</v>
      </c>
      <c r="E115" s="32">
        <v>0</v>
      </c>
      <c r="F115" s="32">
        <v>122.22</v>
      </c>
      <c r="G115" s="32">
        <v>82499.05</v>
      </c>
      <c r="H115" s="32"/>
      <c r="I115" s="32"/>
      <c r="J115" s="32" t="s">
        <v>1813</v>
      </c>
      <c r="K115" s="32" t="s">
        <v>2048</v>
      </c>
      <c r="L115" s="24">
        <v>0.9</v>
      </c>
      <c r="M115" s="32" t="s">
        <v>46</v>
      </c>
    </row>
    <row r="116" spans="1:13" x14ac:dyDescent="0.3">
      <c r="A116" s="103">
        <v>45818.827615740738</v>
      </c>
      <c r="B116" s="104" t="s">
        <v>2049</v>
      </c>
      <c r="C116" s="104" t="s">
        <v>2050</v>
      </c>
      <c r="D116" s="103">
        <v>45818</v>
      </c>
      <c r="E116" s="104">
        <v>24</v>
      </c>
      <c r="F116" s="104">
        <v>0</v>
      </c>
      <c r="G116" s="104">
        <v>82475.05</v>
      </c>
      <c r="H116" s="104"/>
      <c r="I116" s="104"/>
      <c r="J116" s="104" t="s">
        <v>983</v>
      </c>
      <c r="K116" s="104" t="s">
        <v>131</v>
      </c>
      <c r="L116" s="40">
        <v>0.82</v>
      </c>
      <c r="M116" s="104" t="s">
        <v>46</v>
      </c>
    </row>
    <row r="117" spans="1:13" x14ac:dyDescent="0.3">
      <c r="A117" s="101">
        <v>45818.96266203704</v>
      </c>
      <c r="B117" s="102" t="s">
        <v>2051</v>
      </c>
      <c r="C117" s="102" t="s">
        <v>2052</v>
      </c>
      <c r="D117" s="101">
        <v>45818</v>
      </c>
      <c r="E117" s="102">
        <v>1010</v>
      </c>
      <c r="F117" s="102">
        <v>0</v>
      </c>
      <c r="G117" s="102">
        <v>81465.05</v>
      </c>
      <c r="H117" s="102"/>
      <c r="I117" s="102"/>
      <c r="J117" s="102" t="s">
        <v>976</v>
      </c>
      <c r="K117" s="102" t="s">
        <v>1028</v>
      </c>
      <c r="L117" s="24">
        <v>0.85</v>
      </c>
      <c r="M117" s="102" t="s">
        <v>46</v>
      </c>
    </row>
    <row r="118" spans="1:13" x14ac:dyDescent="0.3">
      <c r="A118" s="101">
        <v>45819.008379629631</v>
      </c>
      <c r="B118" s="102" t="s">
        <v>2053</v>
      </c>
      <c r="C118" s="102" t="s">
        <v>2054</v>
      </c>
      <c r="D118" s="101">
        <v>45819</v>
      </c>
      <c r="E118" s="102">
        <v>1000</v>
      </c>
      <c r="F118" s="102">
        <v>0</v>
      </c>
      <c r="G118" s="102">
        <v>80465.05</v>
      </c>
      <c r="H118" s="102"/>
      <c r="I118" s="102"/>
      <c r="J118" s="102" t="s">
        <v>976</v>
      </c>
      <c r="K118" s="102" t="s">
        <v>1028</v>
      </c>
      <c r="L118" s="24">
        <v>0.85</v>
      </c>
      <c r="M118" s="102" t="s">
        <v>46</v>
      </c>
    </row>
    <row r="119" spans="1:13" x14ac:dyDescent="0.3">
      <c r="A119" s="59">
        <v>45819.358506944453</v>
      </c>
      <c r="B119" s="60" t="s">
        <v>2055</v>
      </c>
      <c r="C119" s="60" t="s">
        <v>2056</v>
      </c>
      <c r="D119" s="59">
        <v>45819</v>
      </c>
      <c r="E119" s="60">
        <v>0</v>
      </c>
      <c r="F119" s="60">
        <v>501</v>
      </c>
      <c r="G119" s="60">
        <v>80966.05</v>
      </c>
      <c r="H119" s="60"/>
      <c r="I119" s="60"/>
      <c r="J119" s="60" t="s">
        <v>29</v>
      </c>
      <c r="K119" s="60" t="s">
        <v>606</v>
      </c>
      <c r="L119" s="24">
        <v>0.85</v>
      </c>
      <c r="M119" s="60" t="s">
        <v>46</v>
      </c>
    </row>
    <row r="120" spans="1:13" x14ac:dyDescent="0.3">
      <c r="A120" s="101">
        <v>45819.576354166667</v>
      </c>
      <c r="B120" s="102" t="s">
        <v>2057</v>
      </c>
      <c r="C120" s="102" t="s">
        <v>2058</v>
      </c>
      <c r="D120" s="101">
        <v>45819</v>
      </c>
      <c r="E120" s="102">
        <v>1000</v>
      </c>
      <c r="F120" s="102">
        <v>0</v>
      </c>
      <c r="G120" s="102">
        <v>79966.05</v>
      </c>
      <c r="H120" s="102"/>
      <c r="I120" s="102"/>
      <c r="J120" s="102" t="s">
        <v>976</v>
      </c>
      <c r="K120" s="102" t="s">
        <v>1028</v>
      </c>
      <c r="L120" s="24">
        <v>0.85</v>
      </c>
      <c r="M120" s="102" t="s">
        <v>46</v>
      </c>
    </row>
    <row r="121" spans="1:13" x14ac:dyDescent="0.3">
      <c r="A121" s="101">
        <v>45819.579594907409</v>
      </c>
      <c r="B121" s="102" t="s">
        <v>2059</v>
      </c>
      <c r="C121" s="102" t="s">
        <v>2060</v>
      </c>
      <c r="D121" s="101">
        <v>45819</v>
      </c>
      <c r="E121" s="102">
        <v>1000</v>
      </c>
      <c r="F121" s="102">
        <v>0</v>
      </c>
      <c r="G121" s="102">
        <v>78966.05</v>
      </c>
      <c r="H121" s="102"/>
      <c r="I121" s="102"/>
      <c r="J121" s="102" t="s">
        <v>976</v>
      </c>
      <c r="K121" s="102" t="s">
        <v>1028</v>
      </c>
      <c r="L121" s="24">
        <v>0.85</v>
      </c>
      <c r="M121" s="102" t="s">
        <v>46</v>
      </c>
    </row>
    <row r="122" spans="1:13" x14ac:dyDescent="0.3">
      <c r="A122" s="83">
        <v>45819.625787037039</v>
      </c>
      <c r="B122" s="84" t="s">
        <v>2061</v>
      </c>
      <c r="C122" s="84" t="s">
        <v>2062</v>
      </c>
      <c r="D122" s="83">
        <v>45819</v>
      </c>
      <c r="E122" s="84">
        <v>1574.5</v>
      </c>
      <c r="F122" s="84">
        <v>0</v>
      </c>
      <c r="G122" s="84">
        <v>77391.55</v>
      </c>
      <c r="H122" s="84"/>
      <c r="I122" s="84"/>
      <c r="J122" s="84" t="s">
        <v>973</v>
      </c>
      <c r="K122" s="84" t="s">
        <v>1014</v>
      </c>
      <c r="L122" s="40">
        <v>0.68</v>
      </c>
      <c r="M122" s="84" t="s">
        <v>46</v>
      </c>
    </row>
    <row r="123" spans="1:13" x14ac:dyDescent="0.3">
      <c r="A123" s="83">
        <v>45819.651076388887</v>
      </c>
      <c r="B123" s="84" t="s">
        <v>2063</v>
      </c>
      <c r="C123" s="84" t="s">
        <v>2064</v>
      </c>
      <c r="D123" s="83">
        <v>45819</v>
      </c>
      <c r="E123" s="84">
        <v>1874.5</v>
      </c>
      <c r="F123" s="84">
        <v>0</v>
      </c>
      <c r="G123" s="84">
        <v>75517.05</v>
      </c>
      <c r="H123" s="84"/>
      <c r="I123" s="84"/>
      <c r="J123" s="84" t="s">
        <v>973</v>
      </c>
      <c r="K123" s="84" t="s">
        <v>1014</v>
      </c>
      <c r="L123" s="40">
        <v>0.68</v>
      </c>
      <c r="M123" s="84" t="s">
        <v>46</v>
      </c>
    </row>
    <row r="124" spans="1:13" x14ac:dyDescent="0.3">
      <c r="A124" s="103">
        <v>45819.908773148149</v>
      </c>
      <c r="B124" s="104" t="s">
        <v>2065</v>
      </c>
      <c r="C124" s="104" t="s">
        <v>2066</v>
      </c>
      <c r="D124" s="103">
        <v>45819</v>
      </c>
      <c r="E124" s="104">
        <v>48</v>
      </c>
      <c r="F124" s="104">
        <v>0</v>
      </c>
      <c r="G124" s="104">
        <v>75469.05</v>
      </c>
      <c r="H124" s="104"/>
      <c r="I124" s="104"/>
      <c r="J124" s="104" t="s">
        <v>983</v>
      </c>
      <c r="K124" s="104" t="s">
        <v>131</v>
      </c>
      <c r="L124" s="40">
        <v>0.82</v>
      </c>
      <c r="M124" s="104" t="s">
        <v>46</v>
      </c>
    </row>
    <row r="125" spans="1:13" x14ac:dyDescent="0.3">
      <c r="A125" s="101">
        <v>45820.35733796296</v>
      </c>
      <c r="B125" s="102" t="s">
        <v>2067</v>
      </c>
      <c r="C125" s="102" t="s">
        <v>2068</v>
      </c>
      <c r="D125" s="101">
        <v>45820</v>
      </c>
      <c r="E125" s="102">
        <v>1001</v>
      </c>
      <c r="F125" s="102">
        <v>0</v>
      </c>
      <c r="G125" s="102">
        <v>74468.05</v>
      </c>
      <c r="H125" s="102"/>
      <c r="I125" s="102"/>
      <c r="J125" s="102" t="s">
        <v>976</v>
      </c>
      <c r="K125" s="102" t="s">
        <v>1028</v>
      </c>
      <c r="L125" s="24">
        <v>0.85</v>
      </c>
      <c r="M125" s="102" t="s">
        <v>46</v>
      </c>
    </row>
    <row r="126" spans="1:13" x14ac:dyDescent="0.3">
      <c r="A126" s="101">
        <v>45820.912361111114</v>
      </c>
      <c r="B126" s="102" t="s">
        <v>2069</v>
      </c>
      <c r="C126" s="102" t="s">
        <v>2070</v>
      </c>
      <c r="D126" s="101">
        <v>45820</v>
      </c>
      <c r="E126" s="102">
        <v>1000</v>
      </c>
      <c r="F126" s="102">
        <v>0</v>
      </c>
      <c r="G126" s="102">
        <v>73468.05</v>
      </c>
      <c r="H126" s="102"/>
      <c r="I126" s="102"/>
      <c r="J126" s="102" t="s">
        <v>976</v>
      </c>
      <c r="K126" s="102" t="s">
        <v>1028</v>
      </c>
      <c r="L126" s="24">
        <v>0.85</v>
      </c>
      <c r="M126" s="102" t="s">
        <v>46</v>
      </c>
    </row>
    <row r="127" spans="1:13" x14ac:dyDescent="0.3">
      <c r="A127" s="101">
        <v>45820.957083333327</v>
      </c>
      <c r="B127" s="102" t="s">
        <v>2071</v>
      </c>
      <c r="C127" s="102" t="s">
        <v>2072</v>
      </c>
      <c r="D127" s="101">
        <v>45820</v>
      </c>
      <c r="E127" s="102">
        <v>1000</v>
      </c>
      <c r="F127" s="102">
        <v>0</v>
      </c>
      <c r="G127" s="102">
        <v>72468.05</v>
      </c>
      <c r="H127" s="102"/>
      <c r="I127" s="102"/>
      <c r="J127" s="102" t="s">
        <v>976</v>
      </c>
      <c r="K127" s="102" t="s">
        <v>1028</v>
      </c>
      <c r="L127" s="24">
        <v>0.85</v>
      </c>
      <c r="M127" s="102" t="s">
        <v>46</v>
      </c>
    </row>
    <row r="128" spans="1:13" x14ac:dyDescent="0.3">
      <c r="A128" s="83">
        <v>45821.349756944437</v>
      </c>
      <c r="B128" s="84" t="s">
        <v>2073</v>
      </c>
      <c r="C128" s="84" t="s">
        <v>2074</v>
      </c>
      <c r="D128" s="83">
        <v>45821</v>
      </c>
      <c r="E128" s="84">
        <v>0</v>
      </c>
      <c r="F128" s="84">
        <v>1470.72</v>
      </c>
      <c r="G128" s="84">
        <v>73938.77</v>
      </c>
      <c r="H128" s="84"/>
      <c r="I128" s="84"/>
      <c r="J128" s="84" t="s">
        <v>973</v>
      </c>
      <c r="K128" s="84" t="s">
        <v>1014</v>
      </c>
      <c r="L128" s="24">
        <v>0.92</v>
      </c>
      <c r="M128" s="84" t="s">
        <v>46</v>
      </c>
    </row>
    <row r="129" spans="1:13" x14ac:dyDescent="0.3">
      <c r="A129" s="101">
        <v>45821.427210648151</v>
      </c>
      <c r="B129" s="102" t="s">
        <v>2075</v>
      </c>
      <c r="C129" s="102" t="s">
        <v>2076</v>
      </c>
      <c r="D129" s="101">
        <v>45821</v>
      </c>
      <c r="E129" s="102">
        <v>1000</v>
      </c>
      <c r="F129" s="102">
        <v>0</v>
      </c>
      <c r="G129" s="102">
        <v>72938.77</v>
      </c>
      <c r="H129" s="102"/>
      <c r="I129" s="102"/>
      <c r="J129" s="102" t="s">
        <v>976</v>
      </c>
      <c r="K129" s="102" t="s">
        <v>1028</v>
      </c>
      <c r="L129" s="24">
        <v>0.85</v>
      </c>
      <c r="M129" s="102" t="s">
        <v>46</v>
      </c>
    </row>
    <row r="130" spans="1:13" x14ac:dyDescent="0.3">
      <c r="A130" s="101">
        <v>45821.428148148138</v>
      </c>
      <c r="B130" s="102" t="s">
        <v>2077</v>
      </c>
      <c r="C130" s="102" t="s">
        <v>2078</v>
      </c>
      <c r="D130" s="101">
        <v>45821</v>
      </c>
      <c r="E130" s="102">
        <v>1000</v>
      </c>
      <c r="F130" s="102">
        <v>0</v>
      </c>
      <c r="G130" s="102">
        <v>71938.77</v>
      </c>
      <c r="H130" s="102"/>
      <c r="I130" s="102"/>
      <c r="J130" s="102" t="s">
        <v>976</v>
      </c>
      <c r="K130" s="102" t="s">
        <v>1028</v>
      </c>
      <c r="L130" s="24">
        <v>0.85</v>
      </c>
      <c r="M130" s="102" t="s">
        <v>46</v>
      </c>
    </row>
    <row r="131" spans="1:13" x14ac:dyDescent="0.3">
      <c r="A131" s="27">
        <v>45821.590300925927</v>
      </c>
      <c r="B131" s="28" t="s">
        <v>2079</v>
      </c>
      <c r="C131" s="28" t="s">
        <v>2080</v>
      </c>
      <c r="D131" s="27">
        <v>45821</v>
      </c>
      <c r="E131" s="28">
        <v>0</v>
      </c>
      <c r="F131" s="28">
        <v>15000</v>
      </c>
      <c r="G131" s="28">
        <v>86938.77</v>
      </c>
      <c r="H131" s="28"/>
      <c r="I131" s="28"/>
      <c r="J131" s="28" t="s">
        <v>1656</v>
      </c>
      <c r="K131" s="28" t="s">
        <v>1680</v>
      </c>
      <c r="L131" s="24">
        <v>0.95</v>
      </c>
      <c r="M131" s="28" t="s">
        <v>46</v>
      </c>
    </row>
    <row r="132" spans="1:13" x14ac:dyDescent="0.3">
      <c r="A132" s="101">
        <v>45822.04928240741</v>
      </c>
      <c r="B132" s="102" t="s">
        <v>2081</v>
      </c>
      <c r="C132" s="102" t="s">
        <v>2082</v>
      </c>
      <c r="D132" s="101">
        <v>45822</v>
      </c>
      <c r="E132" s="102">
        <v>1000</v>
      </c>
      <c r="F132" s="102">
        <v>0</v>
      </c>
      <c r="G132" s="102">
        <v>85938.77</v>
      </c>
      <c r="H132" s="102"/>
      <c r="I132" s="102"/>
      <c r="J132" s="102" t="s">
        <v>976</v>
      </c>
      <c r="K132" s="102" t="s">
        <v>1028</v>
      </c>
      <c r="L132" s="24">
        <v>0.85</v>
      </c>
      <c r="M132" s="102" t="s">
        <v>46</v>
      </c>
    </row>
    <row r="133" spans="1:13" x14ac:dyDescent="0.3">
      <c r="A133" s="101">
        <v>45822.490069444437</v>
      </c>
      <c r="B133" s="102" t="s">
        <v>2083</v>
      </c>
      <c r="C133" s="102" t="s">
        <v>2084</v>
      </c>
      <c r="D133" s="101">
        <v>45822</v>
      </c>
      <c r="E133" s="102">
        <v>1000</v>
      </c>
      <c r="F133" s="102">
        <v>0</v>
      </c>
      <c r="G133" s="102">
        <v>84938.77</v>
      </c>
      <c r="H133" s="102"/>
      <c r="I133" s="102"/>
      <c r="J133" s="102" t="s">
        <v>976</v>
      </c>
      <c r="K133" s="102" t="s">
        <v>1028</v>
      </c>
      <c r="L133" s="24">
        <v>0.85</v>
      </c>
      <c r="M133" s="102" t="s">
        <v>46</v>
      </c>
    </row>
    <row r="134" spans="1:13" x14ac:dyDescent="0.3">
      <c r="A134" s="103">
        <v>45822.574374999997</v>
      </c>
      <c r="B134" s="104" t="s">
        <v>2085</v>
      </c>
      <c r="C134" s="104" t="s">
        <v>2086</v>
      </c>
      <c r="D134" s="103">
        <v>45822</v>
      </c>
      <c r="E134" s="104">
        <v>52</v>
      </c>
      <c r="F134" s="104">
        <v>0</v>
      </c>
      <c r="G134" s="104">
        <v>84886.77</v>
      </c>
      <c r="H134" s="104"/>
      <c r="I134" s="104"/>
      <c r="J134" s="104" t="s">
        <v>983</v>
      </c>
      <c r="K134" s="104" t="s">
        <v>131</v>
      </c>
      <c r="L134" s="40">
        <v>0.82</v>
      </c>
      <c r="M134" s="104" t="s">
        <v>46</v>
      </c>
    </row>
    <row r="135" spans="1:13" x14ac:dyDescent="0.3">
      <c r="A135" s="101">
        <v>45822.742268518523</v>
      </c>
      <c r="B135" s="102" t="s">
        <v>2087</v>
      </c>
      <c r="C135" s="102" t="s">
        <v>2088</v>
      </c>
      <c r="D135" s="101">
        <v>45822</v>
      </c>
      <c r="E135" s="102">
        <v>1000</v>
      </c>
      <c r="F135" s="102">
        <v>0</v>
      </c>
      <c r="G135" s="102">
        <v>83886.77</v>
      </c>
      <c r="H135" s="102"/>
      <c r="I135" s="102"/>
      <c r="J135" s="102" t="s">
        <v>976</v>
      </c>
      <c r="K135" s="102" t="s">
        <v>1028</v>
      </c>
      <c r="L135" s="24">
        <v>0.85</v>
      </c>
      <c r="M135" s="102" t="s">
        <v>46</v>
      </c>
    </row>
    <row r="136" spans="1:13" x14ac:dyDescent="0.3">
      <c r="A136" s="101">
        <v>45823.02480324074</v>
      </c>
      <c r="B136" s="102" t="s">
        <v>2089</v>
      </c>
      <c r="C136" s="102" t="s">
        <v>2090</v>
      </c>
      <c r="D136" s="101">
        <v>45823</v>
      </c>
      <c r="E136" s="102">
        <v>1000</v>
      </c>
      <c r="F136" s="102">
        <v>0</v>
      </c>
      <c r="G136" s="102">
        <v>82886.77</v>
      </c>
      <c r="H136" s="102"/>
      <c r="I136" s="102"/>
      <c r="J136" s="102" t="s">
        <v>976</v>
      </c>
      <c r="K136" s="102" t="s">
        <v>1028</v>
      </c>
      <c r="L136" s="24">
        <v>0.85</v>
      </c>
      <c r="M136" s="102" t="s">
        <v>46</v>
      </c>
    </row>
    <row r="137" spans="1:13" x14ac:dyDescent="0.3">
      <c r="A137" s="101">
        <v>45823.404120370367</v>
      </c>
      <c r="B137" s="102" t="s">
        <v>2091</v>
      </c>
      <c r="C137" s="102" t="s">
        <v>2092</v>
      </c>
      <c r="D137" s="101">
        <v>45823</v>
      </c>
      <c r="E137" s="102">
        <v>1000</v>
      </c>
      <c r="F137" s="102">
        <v>0</v>
      </c>
      <c r="G137" s="102">
        <v>81886.77</v>
      </c>
      <c r="H137" s="102"/>
      <c r="I137" s="102"/>
      <c r="J137" s="102" t="s">
        <v>976</v>
      </c>
      <c r="K137" s="102" t="s">
        <v>1028</v>
      </c>
      <c r="L137" s="24">
        <v>0.85</v>
      </c>
      <c r="M137" s="102" t="s">
        <v>46</v>
      </c>
    </row>
    <row r="138" spans="1:13" x14ac:dyDescent="0.3">
      <c r="A138" s="101">
        <v>45823.628657407397</v>
      </c>
      <c r="B138" s="102" t="s">
        <v>2093</v>
      </c>
      <c r="C138" s="102" t="s">
        <v>2094</v>
      </c>
      <c r="D138" s="101">
        <v>45823</v>
      </c>
      <c r="E138" s="102">
        <v>1000</v>
      </c>
      <c r="F138" s="102">
        <v>0</v>
      </c>
      <c r="G138" s="102">
        <v>80886.77</v>
      </c>
      <c r="H138" s="102"/>
      <c r="I138" s="102"/>
      <c r="J138" s="102" t="s">
        <v>976</v>
      </c>
      <c r="K138" s="102" t="s">
        <v>1028</v>
      </c>
      <c r="L138" s="24">
        <v>0.85</v>
      </c>
      <c r="M138" s="102" t="s">
        <v>46</v>
      </c>
    </row>
    <row r="139" spans="1:13" x14ac:dyDescent="0.3">
      <c r="A139" s="89">
        <v>45823.925532407397</v>
      </c>
      <c r="B139" s="90" t="s">
        <v>2095</v>
      </c>
      <c r="C139" s="90" t="s">
        <v>2096</v>
      </c>
      <c r="D139" s="89">
        <v>45823</v>
      </c>
      <c r="E139" s="90">
        <v>2720</v>
      </c>
      <c r="F139" s="90">
        <v>0</v>
      </c>
      <c r="G139" s="90">
        <v>78166.77</v>
      </c>
      <c r="H139" s="90" t="s">
        <v>2097</v>
      </c>
      <c r="I139" s="90"/>
      <c r="J139" s="90" t="s">
        <v>975</v>
      </c>
      <c r="K139" s="90" t="s">
        <v>91</v>
      </c>
      <c r="L139" s="39">
        <v>0.55000000000000004</v>
      </c>
      <c r="M139" s="90" t="s">
        <v>46</v>
      </c>
    </row>
    <row r="140" spans="1:13" x14ac:dyDescent="0.3">
      <c r="A140" s="101">
        <v>45824.375613425917</v>
      </c>
      <c r="B140" s="102" t="s">
        <v>2098</v>
      </c>
      <c r="C140" s="102" t="s">
        <v>2099</v>
      </c>
      <c r="D140" s="101">
        <v>45824</v>
      </c>
      <c r="E140" s="102">
        <v>1000</v>
      </c>
      <c r="F140" s="102">
        <v>0</v>
      </c>
      <c r="G140" s="102">
        <v>77166.77</v>
      </c>
      <c r="H140" s="102"/>
      <c r="I140" s="102"/>
      <c r="J140" s="102" t="s">
        <v>976</v>
      </c>
      <c r="K140" s="102" t="s">
        <v>1028</v>
      </c>
      <c r="L140" s="24">
        <v>0.85</v>
      </c>
      <c r="M140" s="102" t="s">
        <v>46</v>
      </c>
    </row>
    <row r="141" spans="1:13" x14ac:dyDescent="0.3">
      <c r="A141" s="103">
        <v>45824.393206018518</v>
      </c>
      <c r="B141" s="104" t="s">
        <v>2100</v>
      </c>
      <c r="C141" s="104" t="s">
        <v>2101</v>
      </c>
      <c r="D141" s="103">
        <v>45824</v>
      </c>
      <c r="E141" s="104">
        <v>74</v>
      </c>
      <c r="F141" s="104">
        <v>0</v>
      </c>
      <c r="G141" s="104">
        <v>77092.77</v>
      </c>
      <c r="H141" s="104"/>
      <c r="I141" s="104"/>
      <c r="J141" s="104" t="s">
        <v>983</v>
      </c>
      <c r="K141" s="104" t="s">
        <v>131</v>
      </c>
      <c r="L141" s="40">
        <v>0.82</v>
      </c>
      <c r="M141" s="104" t="s">
        <v>46</v>
      </c>
    </row>
    <row r="142" spans="1:13" x14ac:dyDescent="0.3">
      <c r="A142" s="101">
        <v>45824.508055555547</v>
      </c>
      <c r="B142" s="102" t="s">
        <v>2102</v>
      </c>
      <c r="C142" s="102" t="s">
        <v>2103</v>
      </c>
      <c r="D142" s="101">
        <v>45824</v>
      </c>
      <c r="E142" s="102">
        <v>500</v>
      </c>
      <c r="F142" s="102">
        <v>0</v>
      </c>
      <c r="G142" s="102">
        <v>76592.77</v>
      </c>
      <c r="H142" s="102"/>
      <c r="I142" s="102"/>
      <c r="J142" s="102" t="s">
        <v>985</v>
      </c>
      <c r="K142" s="102" t="s">
        <v>91</v>
      </c>
      <c r="L142" s="40">
        <v>0.68</v>
      </c>
      <c r="M142" s="102" t="s">
        <v>46</v>
      </c>
    </row>
    <row r="143" spans="1:13" x14ac:dyDescent="0.3">
      <c r="A143" s="101">
        <v>45825.382939814823</v>
      </c>
      <c r="B143" s="102" t="s">
        <v>2104</v>
      </c>
      <c r="C143" s="102" t="s">
        <v>2105</v>
      </c>
      <c r="D143" s="101">
        <v>45825</v>
      </c>
      <c r="E143" s="102">
        <v>1000</v>
      </c>
      <c r="F143" s="102">
        <v>0</v>
      </c>
      <c r="G143" s="102">
        <v>75592.77</v>
      </c>
      <c r="H143" s="102"/>
      <c r="I143" s="102"/>
      <c r="J143" s="102" t="s">
        <v>976</v>
      </c>
      <c r="K143" s="102" t="s">
        <v>1028</v>
      </c>
      <c r="L143" s="24">
        <v>0.85</v>
      </c>
      <c r="M143" s="102" t="s">
        <v>46</v>
      </c>
    </row>
    <row r="144" spans="1:13" x14ac:dyDescent="0.3">
      <c r="A144" s="101">
        <v>45825.701041666667</v>
      </c>
      <c r="B144" s="102" t="s">
        <v>2106</v>
      </c>
      <c r="C144" s="102" t="s">
        <v>2107</v>
      </c>
      <c r="D144" s="101">
        <v>45825</v>
      </c>
      <c r="E144" s="102">
        <v>1000</v>
      </c>
      <c r="F144" s="102">
        <v>0</v>
      </c>
      <c r="G144" s="102">
        <v>74592.77</v>
      </c>
      <c r="H144" s="102"/>
      <c r="I144" s="102"/>
      <c r="J144" s="102" t="s">
        <v>976</v>
      </c>
      <c r="K144" s="102" t="s">
        <v>1028</v>
      </c>
      <c r="L144" s="24">
        <v>0.85</v>
      </c>
      <c r="M144" s="102" t="s">
        <v>46</v>
      </c>
    </row>
    <row r="145" spans="1:13" x14ac:dyDescent="0.3">
      <c r="A145" s="103">
        <v>45825.934756944444</v>
      </c>
      <c r="B145" s="104" t="s">
        <v>2108</v>
      </c>
      <c r="C145" s="104" t="s">
        <v>2109</v>
      </c>
      <c r="D145" s="103">
        <v>45825</v>
      </c>
      <c r="E145" s="104">
        <v>46</v>
      </c>
      <c r="F145" s="104">
        <v>0</v>
      </c>
      <c r="G145" s="104">
        <v>74546.77</v>
      </c>
      <c r="H145" s="104"/>
      <c r="I145" s="104"/>
      <c r="J145" s="104" t="s">
        <v>983</v>
      </c>
      <c r="K145" s="104" t="s">
        <v>131</v>
      </c>
      <c r="L145" s="40">
        <v>0.82</v>
      </c>
      <c r="M145" s="104" t="s">
        <v>46</v>
      </c>
    </row>
    <row r="146" spans="1:13" x14ac:dyDescent="0.3">
      <c r="A146" s="101">
        <v>45826.073981481481</v>
      </c>
      <c r="B146" s="102" t="s">
        <v>2110</v>
      </c>
      <c r="C146" s="102" t="s">
        <v>2111</v>
      </c>
      <c r="D146" s="101">
        <v>45826</v>
      </c>
      <c r="E146" s="102">
        <v>1000</v>
      </c>
      <c r="F146" s="102">
        <v>0</v>
      </c>
      <c r="G146" s="102">
        <v>73546.77</v>
      </c>
      <c r="H146" s="102"/>
      <c r="I146" s="102"/>
      <c r="J146" s="102" t="s">
        <v>976</v>
      </c>
      <c r="K146" s="102" t="s">
        <v>1028</v>
      </c>
      <c r="L146" s="24">
        <v>0.85</v>
      </c>
      <c r="M146" s="102" t="s">
        <v>46</v>
      </c>
    </row>
    <row r="147" spans="1:13" x14ac:dyDescent="0.3">
      <c r="A147" s="103">
        <v>45826.46125</v>
      </c>
      <c r="B147" s="104" t="s">
        <v>2112</v>
      </c>
      <c r="C147" s="104" t="s">
        <v>2113</v>
      </c>
      <c r="D147" s="103">
        <v>45826</v>
      </c>
      <c r="E147" s="104">
        <v>28</v>
      </c>
      <c r="F147" s="104">
        <v>0</v>
      </c>
      <c r="G147" s="104">
        <v>73518.77</v>
      </c>
      <c r="H147" s="104"/>
      <c r="I147" s="104"/>
      <c r="J147" s="104" t="s">
        <v>983</v>
      </c>
      <c r="K147" s="104" t="s">
        <v>131</v>
      </c>
      <c r="L147" s="40">
        <v>0.82</v>
      </c>
      <c r="M147" s="104" t="s">
        <v>46</v>
      </c>
    </row>
    <row r="148" spans="1:13" x14ac:dyDescent="0.3">
      <c r="A148" s="101">
        <v>45827.364814814813</v>
      </c>
      <c r="B148" s="102" t="s">
        <v>2114</v>
      </c>
      <c r="C148" s="102" t="s">
        <v>2115</v>
      </c>
      <c r="D148" s="101">
        <v>45827</v>
      </c>
      <c r="E148" s="102">
        <v>1000</v>
      </c>
      <c r="F148" s="102">
        <v>0</v>
      </c>
      <c r="G148" s="102">
        <v>72518.77</v>
      </c>
      <c r="H148" s="102"/>
      <c r="I148" s="102"/>
      <c r="J148" s="102" t="s">
        <v>976</v>
      </c>
      <c r="K148" s="102" t="s">
        <v>1028</v>
      </c>
      <c r="L148" s="24">
        <v>0.85</v>
      </c>
      <c r="M148" s="102" t="s">
        <v>46</v>
      </c>
    </row>
    <row r="149" spans="1:13" x14ac:dyDescent="0.3">
      <c r="A149" s="101">
        <v>45827.907696759263</v>
      </c>
      <c r="B149" s="102" t="s">
        <v>2116</v>
      </c>
      <c r="C149" s="102" t="s">
        <v>2117</v>
      </c>
      <c r="D149" s="101">
        <v>45827</v>
      </c>
      <c r="E149" s="102">
        <v>349.07</v>
      </c>
      <c r="F149" s="102">
        <v>0</v>
      </c>
      <c r="G149" s="102">
        <v>72169.7</v>
      </c>
      <c r="H149" s="102"/>
      <c r="I149" s="102"/>
      <c r="J149" s="102" t="s">
        <v>985</v>
      </c>
      <c r="K149" s="102" t="s">
        <v>91</v>
      </c>
      <c r="L149" s="40">
        <v>0.68</v>
      </c>
      <c r="M149" s="102" t="s">
        <v>46</v>
      </c>
    </row>
    <row r="150" spans="1:13" x14ac:dyDescent="0.3">
      <c r="A150" s="103">
        <v>45827.913877314822</v>
      </c>
      <c r="B150" s="104" t="s">
        <v>2118</v>
      </c>
      <c r="C150" s="104" t="s">
        <v>2119</v>
      </c>
      <c r="D150" s="103">
        <v>45827</v>
      </c>
      <c r="E150" s="104">
        <v>40</v>
      </c>
      <c r="F150" s="104">
        <v>0</v>
      </c>
      <c r="G150" s="104">
        <v>72129.7</v>
      </c>
      <c r="H150" s="104"/>
      <c r="I150" s="104"/>
      <c r="J150" s="104" t="s">
        <v>983</v>
      </c>
      <c r="K150" s="104" t="s">
        <v>131</v>
      </c>
      <c r="L150" s="40">
        <v>0.82</v>
      </c>
      <c r="M150" s="104" t="s">
        <v>46</v>
      </c>
    </row>
    <row r="151" spans="1:13" x14ac:dyDescent="0.3">
      <c r="A151" s="101">
        <v>45828.443310185183</v>
      </c>
      <c r="B151" s="102" t="s">
        <v>2120</v>
      </c>
      <c r="C151" s="102" t="s">
        <v>2121</v>
      </c>
      <c r="D151" s="101">
        <v>45828</v>
      </c>
      <c r="E151" s="102">
        <v>1000</v>
      </c>
      <c r="F151" s="102">
        <v>0</v>
      </c>
      <c r="G151" s="102">
        <v>71129.7</v>
      </c>
      <c r="H151" s="102"/>
      <c r="I151" s="102"/>
      <c r="J151" s="102" t="s">
        <v>976</v>
      </c>
      <c r="K151" s="102" t="s">
        <v>1028</v>
      </c>
      <c r="L151" s="24">
        <v>0.85</v>
      </c>
      <c r="M151" s="102" t="s">
        <v>46</v>
      </c>
    </row>
    <row r="152" spans="1:13" x14ac:dyDescent="0.3">
      <c r="A152" s="101">
        <v>45829.400347222218</v>
      </c>
      <c r="B152" s="102" t="s">
        <v>2122</v>
      </c>
      <c r="C152" s="102" t="s">
        <v>2123</v>
      </c>
      <c r="D152" s="101">
        <v>45829</v>
      </c>
      <c r="E152" s="102">
        <v>1000</v>
      </c>
      <c r="F152" s="102">
        <v>0</v>
      </c>
      <c r="G152" s="102">
        <v>70129.7</v>
      </c>
      <c r="H152" s="102"/>
      <c r="I152" s="102"/>
      <c r="J152" s="102" t="s">
        <v>976</v>
      </c>
      <c r="K152" s="102" t="s">
        <v>1028</v>
      </c>
      <c r="L152" s="24">
        <v>0.85</v>
      </c>
      <c r="M152" s="102" t="s">
        <v>46</v>
      </c>
    </row>
    <row r="153" spans="1:13" x14ac:dyDescent="0.3">
      <c r="A153" s="101">
        <v>45830.392824074072</v>
      </c>
      <c r="B153" s="102" t="s">
        <v>2124</v>
      </c>
      <c r="C153" s="102" t="s">
        <v>2125</v>
      </c>
      <c r="D153" s="101">
        <v>45830</v>
      </c>
      <c r="E153" s="102">
        <v>1000</v>
      </c>
      <c r="F153" s="102">
        <v>0</v>
      </c>
      <c r="G153" s="102">
        <v>69129.7</v>
      </c>
      <c r="H153" s="102"/>
      <c r="I153" s="102"/>
      <c r="J153" s="102" t="s">
        <v>976</v>
      </c>
      <c r="K153" s="102" t="s">
        <v>1028</v>
      </c>
      <c r="L153" s="24">
        <v>0.85</v>
      </c>
      <c r="M153" s="102" t="s">
        <v>46</v>
      </c>
    </row>
    <row r="154" spans="1:13" x14ac:dyDescent="0.3">
      <c r="A154" s="101">
        <v>45831.387511574067</v>
      </c>
      <c r="B154" s="102" t="s">
        <v>2126</v>
      </c>
      <c r="C154" s="102" t="s">
        <v>2127</v>
      </c>
      <c r="D154" s="101">
        <v>45831</v>
      </c>
      <c r="E154" s="102">
        <v>1000</v>
      </c>
      <c r="F154" s="102">
        <v>0</v>
      </c>
      <c r="G154" s="102">
        <v>68129.7</v>
      </c>
      <c r="H154" s="102"/>
      <c r="I154" s="102"/>
      <c r="J154" s="102" t="s">
        <v>976</v>
      </c>
      <c r="K154" s="102" t="s">
        <v>1028</v>
      </c>
      <c r="L154" s="24">
        <v>0.85</v>
      </c>
      <c r="M154" s="102" t="s">
        <v>46</v>
      </c>
    </row>
    <row r="155" spans="1:13" x14ac:dyDescent="0.3">
      <c r="A155" s="101">
        <v>45832.380300925928</v>
      </c>
      <c r="B155" s="102" t="s">
        <v>2128</v>
      </c>
      <c r="C155" s="102" t="s">
        <v>2129</v>
      </c>
      <c r="D155" s="101">
        <v>45832</v>
      </c>
      <c r="E155" s="102">
        <v>1891.75</v>
      </c>
      <c r="F155" s="102">
        <v>0</v>
      </c>
      <c r="G155" s="102">
        <v>66237.95</v>
      </c>
      <c r="H155" s="102"/>
      <c r="I155" s="102"/>
      <c r="J155" s="102" t="s">
        <v>976</v>
      </c>
      <c r="K155" s="102" t="s">
        <v>1028</v>
      </c>
      <c r="L155" s="24">
        <v>0.85</v>
      </c>
      <c r="M155" s="102" t="s">
        <v>46</v>
      </c>
    </row>
    <row r="156" spans="1:13" x14ac:dyDescent="0.3">
      <c r="A156" s="89">
        <v>45834.046770833331</v>
      </c>
      <c r="B156" s="90" t="s">
        <v>2130</v>
      </c>
      <c r="C156" s="90">
        <v>517719008897</v>
      </c>
      <c r="D156" s="89">
        <v>45834</v>
      </c>
      <c r="E156" s="90">
        <v>2</v>
      </c>
      <c r="F156" s="90">
        <v>0</v>
      </c>
      <c r="G156" s="90">
        <v>66235.95</v>
      </c>
      <c r="H156" s="90"/>
      <c r="I156" s="90"/>
      <c r="J156" s="90" t="s">
        <v>1814</v>
      </c>
      <c r="K156" s="90" t="s">
        <v>91</v>
      </c>
      <c r="L156" s="24">
        <v>0.88</v>
      </c>
      <c r="M156" s="90" t="s">
        <v>46</v>
      </c>
    </row>
    <row r="157" spans="1:13" x14ac:dyDescent="0.3">
      <c r="A157" s="89">
        <v>45836.710578703707</v>
      </c>
      <c r="B157" s="90" t="s">
        <v>2131</v>
      </c>
      <c r="C157" s="90" t="s">
        <v>2132</v>
      </c>
      <c r="D157" s="89">
        <v>45836</v>
      </c>
      <c r="E157" s="90">
        <v>248</v>
      </c>
      <c r="F157" s="90">
        <v>0</v>
      </c>
      <c r="G157" s="90">
        <v>65987.95</v>
      </c>
      <c r="H157" s="90" t="s">
        <v>2133</v>
      </c>
      <c r="I157" s="90"/>
      <c r="J157" s="90" t="s">
        <v>975</v>
      </c>
      <c r="K157" s="90" t="s">
        <v>91</v>
      </c>
      <c r="L157" s="39">
        <v>0.55000000000000004</v>
      </c>
      <c r="M157" s="90" t="s">
        <v>46</v>
      </c>
    </row>
    <row r="158" spans="1:13" x14ac:dyDescent="0.3">
      <c r="A158" s="55">
        <v>45839.270011574074</v>
      </c>
      <c r="B158" s="56" t="s">
        <v>2134</v>
      </c>
      <c r="C158" s="56"/>
      <c r="D158" s="55">
        <v>45838</v>
      </c>
      <c r="E158" s="56">
        <v>0</v>
      </c>
      <c r="F158" s="56">
        <v>452</v>
      </c>
      <c r="G158" s="56">
        <v>65771.95</v>
      </c>
      <c r="H158" s="56"/>
      <c r="I158" s="56"/>
      <c r="J158" s="56" t="s">
        <v>22</v>
      </c>
      <c r="K158" s="56" t="s">
        <v>22</v>
      </c>
      <c r="L158" s="24">
        <v>0.95</v>
      </c>
      <c r="M158" s="56" t="s">
        <v>46</v>
      </c>
    </row>
    <row r="159" spans="1:13" x14ac:dyDescent="0.3">
      <c r="A159" s="89">
        <v>45839.246111111112</v>
      </c>
      <c r="B159" s="90" t="s">
        <v>2135</v>
      </c>
      <c r="C159" s="90" t="s">
        <v>2136</v>
      </c>
      <c r="D159" s="89">
        <v>45839</v>
      </c>
      <c r="E159" s="90">
        <v>668</v>
      </c>
      <c r="F159" s="90">
        <v>0</v>
      </c>
      <c r="G159" s="90">
        <v>65319.95</v>
      </c>
      <c r="H159" s="90" t="s">
        <v>2137</v>
      </c>
      <c r="I159" s="90"/>
      <c r="J159" s="90" t="s">
        <v>975</v>
      </c>
      <c r="K159" s="90" t="s">
        <v>91</v>
      </c>
      <c r="L159" s="39">
        <v>0.55000000000000004</v>
      </c>
      <c r="M159" s="90" t="s">
        <v>46</v>
      </c>
    </row>
    <row r="160" spans="1:13" x14ac:dyDescent="0.3">
      <c r="A160" s="89">
        <v>45839.656365740739</v>
      </c>
      <c r="B160" s="90" t="s">
        <v>2138</v>
      </c>
      <c r="C160" s="90" t="s">
        <v>2139</v>
      </c>
      <c r="D160" s="89">
        <v>45839</v>
      </c>
      <c r="E160" s="90">
        <v>55</v>
      </c>
      <c r="F160" s="90">
        <v>0</v>
      </c>
      <c r="G160" s="90">
        <v>65716.95</v>
      </c>
      <c r="H160" s="90" t="s">
        <v>2140</v>
      </c>
      <c r="I160" s="90"/>
      <c r="J160" s="90" t="s">
        <v>975</v>
      </c>
      <c r="K160" s="90" t="s">
        <v>91</v>
      </c>
      <c r="L160" s="39">
        <v>0.55000000000000004</v>
      </c>
      <c r="M160" s="90" t="s">
        <v>46</v>
      </c>
    </row>
    <row r="161" spans="1:13" x14ac:dyDescent="0.3">
      <c r="A161" s="103">
        <v>45839.780185185176</v>
      </c>
      <c r="B161" s="104" t="s">
        <v>2141</v>
      </c>
      <c r="C161" s="104" t="s">
        <v>2142</v>
      </c>
      <c r="D161" s="103">
        <v>45839</v>
      </c>
      <c r="E161" s="104">
        <v>54</v>
      </c>
      <c r="F161" s="104">
        <v>0</v>
      </c>
      <c r="G161" s="104">
        <v>65662.95</v>
      </c>
      <c r="H161" s="104"/>
      <c r="I161" s="104"/>
      <c r="J161" s="104" t="s">
        <v>983</v>
      </c>
      <c r="K161" s="104" t="s">
        <v>131</v>
      </c>
      <c r="L161" s="40">
        <v>0.82</v>
      </c>
      <c r="M161" s="104" t="s">
        <v>46</v>
      </c>
    </row>
    <row r="162" spans="1:13" x14ac:dyDescent="0.3">
      <c r="A162" s="101">
        <v>45840.381921296299</v>
      </c>
      <c r="B162" s="102" t="s">
        <v>2143</v>
      </c>
      <c r="C162" s="102" t="s">
        <v>2144</v>
      </c>
      <c r="D162" s="101">
        <v>45840</v>
      </c>
      <c r="E162" s="102">
        <v>1000</v>
      </c>
      <c r="F162" s="102">
        <v>0</v>
      </c>
      <c r="G162" s="102">
        <v>64662.95</v>
      </c>
      <c r="H162" s="102"/>
      <c r="I162" s="102"/>
      <c r="J162" s="102" t="s">
        <v>976</v>
      </c>
      <c r="K162" s="102" t="s">
        <v>1028</v>
      </c>
      <c r="L162" s="24">
        <v>0.85</v>
      </c>
      <c r="M162" s="102" t="s">
        <v>46</v>
      </c>
    </row>
    <row r="163" spans="1:13" x14ac:dyDescent="0.3">
      <c r="A163" s="89">
        <v>45840.391377314823</v>
      </c>
      <c r="B163" s="90" t="s">
        <v>2145</v>
      </c>
      <c r="C163" s="90" t="s">
        <v>2146</v>
      </c>
      <c r="D163" s="89">
        <v>45840</v>
      </c>
      <c r="E163" s="90">
        <v>1800</v>
      </c>
      <c r="F163" s="90">
        <v>0</v>
      </c>
      <c r="G163" s="90">
        <v>62862.95</v>
      </c>
      <c r="H163" s="90" t="s">
        <v>2147</v>
      </c>
      <c r="I163" s="90"/>
      <c r="J163" s="90" t="s">
        <v>975</v>
      </c>
      <c r="K163" s="90" t="s">
        <v>91</v>
      </c>
      <c r="L163" s="39">
        <v>0.55000000000000004</v>
      </c>
      <c r="M163" s="90" t="s">
        <v>46</v>
      </c>
    </row>
    <row r="164" spans="1:13" x14ac:dyDescent="0.3">
      <c r="A164" s="22">
        <v>45842.49664351852</v>
      </c>
      <c r="B164" s="23" t="s">
        <v>2148</v>
      </c>
      <c r="C164" s="23" t="s">
        <v>2149</v>
      </c>
      <c r="D164" s="22">
        <v>45842</v>
      </c>
      <c r="E164" s="23">
        <v>20000</v>
      </c>
      <c r="F164" s="23">
        <v>0</v>
      </c>
      <c r="G164" s="23">
        <v>42862.95</v>
      </c>
      <c r="H164" s="23"/>
      <c r="I164" s="23"/>
      <c r="J164" s="23" t="s">
        <v>1667</v>
      </c>
      <c r="K164" s="23" t="s">
        <v>1735</v>
      </c>
      <c r="L164" s="24">
        <v>0.92</v>
      </c>
      <c r="M164" s="23" t="s">
        <v>46</v>
      </c>
    </row>
    <row r="165" spans="1:13" x14ac:dyDescent="0.3">
      <c r="A165" s="103">
        <v>45842.538703703707</v>
      </c>
      <c r="B165" s="104" t="s">
        <v>2150</v>
      </c>
      <c r="C165" s="104" t="s">
        <v>2151</v>
      </c>
      <c r="D165" s="103">
        <v>45842</v>
      </c>
      <c r="E165" s="104">
        <v>28</v>
      </c>
      <c r="F165" s="104">
        <v>0</v>
      </c>
      <c r="G165" s="104">
        <v>42834.95</v>
      </c>
      <c r="H165" s="104"/>
      <c r="I165" s="104"/>
      <c r="J165" s="104" t="s">
        <v>983</v>
      </c>
      <c r="K165" s="104" t="s">
        <v>131</v>
      </c>
      <c r="L165" s="40">
        <v>0.82</v>
      </c>
      <c r="M165" s="104" t="s">
        <v>46</v>
      </c>
    </row>
    <row r="166" spans="1:13" x14ac:dyDescent="0.3">
      <c r="A166" s="89">
        <v>45843.80133101852</v>
      </c>
      <c r="B166" s="90" t="s">
        <v>2152</v>
      </c>
      <c r="C166" s="90" t="s">
        <v>2153</v>
      </c>
      <c r="D166" s="89">
        <v>45843</v>
      </c>
      <c r="E166" s="90">
        <v>2000</v>
      </c>
      <c r="F166" s="90">
        <v>0</v>
      </c>
      <c r="G166" s="90">
        <v>40834.949999999997</v>
      </c>
      <c r="H166" s="90" t="s">
        <v>2154</v>
      </c>
      <c r="I166" s="90"/>
      <c r="J166" s="90" t="s">
        <v>975</v>
      </c>
      <c r="K166" s="90" t="s">
        <v>91</v>
      </c>
      <c r="L166" s="39">
        <v>0.55000000000000004</v>
      </c>
      <c r="M166" s="90" t="s">
        <v>46</v>
      </c>
    </row>
    <row r="167" spans="1:13" x14ac:dyDescent="0.3">
      <c r="A167" s="101">
        <v>45845.765532407408</v>
      </c>
      <c r="B167" s="102" t="s">
        <v>2155</v>
      </c>
      <c r="C167" s="102" t="s">
        <v>2156</v>
      </c>
      <c r="D167" s="101">
        <v>45845</v>
      </c>
      <c r="E167" s="102">
        <v>450</v>
      </c>
      <c r="F167" s="102">
        <v>0</v>
      </c>
      <c r="G167" s="102">
        <v>40384.949999999997</v>
      </c>
      <c r="H167" s="102"/>
      <c r="I167" s="102"/>
      <c r="J167" s="102" t="s">
        <v>985</v>
      </c>
      <c r="K167" s="102" t="s">
        <v>91</v>
      </c>
      <c r="L167" s="40">
        <v>0.68</v>
      </c>
      <c r="M167" s="102" t="s">
        <v>46</v>
      </c>
    </row>
    <row r="168" spans="1:13" x14ac:dyDescent="0.3">
      <c r="A168" s="101">
        <v>45845.771608796298</v>
      </c>
      <c r="B168" s="102" t="s">
        <v>2157</v>
      </c>
      <c r="C168" s="102" t="s">
        <v>2158</v>
      </c>
      <c r="D168" s="101">
        <v>45845</v>
      </c>
      <c r="E168" s="102">
        <v>1000</v>
      </c>
      <c r="F168" s="102">
        <v>0</v>
      </c>
      <c r="G168" s="102">
        <v>39384.949999999997</v>
      </c>
      <c r="H168" s="102"/>
      <c r="I168" s="102"/>
      <c r="J168" s="102" t="s">
        <v>976</v>
      </c>
      <c r="K168" s="102" t="s">
        <v>1028</v>
      </c>
      <c r="L168" s="24">
        <v>0.85</v>
      </c>
      <c r="M168" s="102" t="s">
        <v>46</v>
      </c>
    </row>
    <row r="169" spans="1:13" x14ac:dyDescent="0.3">
      <c r="A169" s="49">
        <v>45846.550810185188</v>
      </c>
      <c r="B169" s="50" t="s">
        <v>2159</v>
      </c>
      <c r="C169" s="50" t="s">
        <v>2160</v>
      </c>
      <c r="D169" s="49">
        <v>45846</v>
      </c>
      <c r="E169" s="50">
        <v>0</v>
      </c>
      <c r="F169" s="50">
        <v>210</v>
      </c>
      <c r="G169" s="50">
        <v>39594.949999999997</v>
      </c>
      <c r="H169" s="50"/>
      <c r="I169" s="50"/>
      <c r="J169" s="50" t="s">
        <v>17</v>
      </c>
      <c r="K169" s="50" t="s">
        <v>17</v>
      </c>
      <c r="L169" s="24">
        <v>0.93</v>
      </c>
      <c r="M169" s="50" t="s">
        <v>46</v>
      </c>
    </row>
    <row r="170" spans="1:13" x14ac:dyDescent="0.3">
      <c r="A170" s="101">
        <v>45846.919745370367</v>
      </c>
      <c r="B170" s="102" t="s">
        <v>2161</v>
      </c>
      <c r="C170" s="102" t="s">
        <v>2162</v>
      </c>
      <c r="D170" s="101">
        <v>45846</v>
      </c>
      <c r="E170" s="102">
        <v>1000</v>
      </c>
      <c r="F170" s="102">
        <v>0</v>
      </c>
      <c r="G170" s="102">
        <v>38594.949999999997</v>
      </c>
      <c r="H170" s="102"/>
      <c r="I170" s="102"/>
      <c r="J170" s="102" t="s">
        <v>976</v>
      </c>
      <c r="K170" s="102" t="s">
        <v>1028</v>
      </c>
      <c r="L170" s="24">
        <v>0.85</v>
      </c>
      <c r="M170" s="102" t="s">
        <v>46</v>
      </c>
    </row>
    <row r="171" spans="1:13" x14ac:dyDescent="0.3">
      <c r="A171" s="101">
        <v>45847.346666666657</v>
      </c>
      <c r="B171" s="102" t="s">
        <v>2163</v>
      </c>
      <c r="C171" s="102" t="s">
        <v>2164</v>
      </c>
      <c r="D171" s="101">
        <v>45847</v>
      </c>
      <c r="E171" s="102">
        <v>1000</v>
      </c>
      <c r="F171" s="102">
        <v>0</v>
      </c>
      <c r="G171" s="102">
        <v>37594.949999999997</v>
      </c>
      <c r="H171" s="102"/>
      <c r="I171" s="102"/>
      <c r="J171" s="102" t="s">
        <v>976</v>
      </c>
      <c r="K171" s="102" t="s">
        <v>1028</v>
      </c>
      <c r="L171" s="24">
        <v>0.85</v>
      </c>
      <c r="M171" s="102" t="s">
        <v>46</v>
      </c>
    </row>
    <row r="172" spans="1:13" x14ac:dyDescent="0.3">
      <c r="A172" s="101">
        <v>45848.332499999997</v>
      </c>
      <c r="B172" s="102" t="s">
        <v>2165</v>
      </c>
      <c r="C172" s="102" t="s">
        <v>2166</v>
      </c>
      <c r="D172" s="101">
        <v>45848</v>
      </c>
      <c r="E172" s="102">
        <v>1000</v>
      </c>
      <c r="F172" s="102">
        <v>0</v>
      </c>
      <c r="G172" s="102">
        <v>36594.949999999997</v>
      </c>
      <c r="H172" s="102"/>
      <c r="I172" s="102"/>
      <c r="J172" s="102" t="s">
        <v>976</v>
      </c>
      <c r="K172" s="102" t="s">
        <v>1028</v>
      </c>
      <c r="L172" s="24">
        <v>0.85</v>
      </c>
      <c r="M172" s="102" t="s">
        <v>46</v>
      </c>
    </row>
    <row r="173" spans="1:13" x14ac:dyDescent="0.3">
      <c r="A173" s="59">
        <v>45848.357060185182</v>
      </c>
      <c r="B173" s="60" t="s">
        <v>2167</v>
      </c>
      <c r="C173" s="60" t="s">
        <v>2168</v>
      </c>
      <c r="D173" s="59">
        <v>45848</v>
      </c>
      <c r="E173" s="60">
        <v>0</v>
      </c>
      <c r="F173" s="60">
        <v>501</v>
      </c>
      <c r="G173" s="60">
        <v>37095.949999999997</v>
      </c>
      <c r="H173" s="60"/>
      <c r="I173" s="60"/>
      <c r="J173" s="60" t="s">
        <v>29</v>
      </c>
      <c r="K173" s="60" t="s">
        <v>606</v>
      </c>
      <c r="L173" s="24">
        <v>0.85</v>
      </c>
      <c r="M173" s="60" t="s">
        <v>46</v>
      </c>
    </row>
    <row r="174" spans="1:13" x14ac:dyDescent="0.3">
      <c r="A174" s="22">
        <v>45848.578634259262</v>
      </c>
      <c r="B174" s="23" t="s">
        <v>2169</v>
      </c>
      <c r="C174" s="23" t="s">
        <v>2170</v>
      </c>
      <c r="D174" s="22">
        <v>45848</v>
      </c>
      <c r="E174" s="23">
        <v>10000</v>
      </c>
      <c r="F174" s="23">
        <v>0</v>
      </c>
      <c r="G174" s="23">
        <v>27095.95</v>
      </c>
      <c r="H174" s="23"/>
      <c r="I174" s="23"/>
      <c r="J174" s="23" t="s">
        <v>1667</v>
      </c>
      <c r="K174" s="23" t="s">
        <v>1735</v>
      </c>
      <c r="L174" s="24">
        <v>0.92</v>
      </c>
      <c r="M174" s="23" t="s">
        <v>46</v>
      </c>
    </row>
    <row r="175" spans="1:13" x14ac:dyDescent="0.3">
      <c r="A175" s="101">
        <v>45849.322071759263</v>
      </c>
      <c r="B175" s="102" t="s">
        <v>2171</v>
      </c>
      <c r="C175" s="102" t="s">
        <v>2172</v>
      </c>
      <c r="D175" s="101">
        <v>45849</v>
      </c>
      <c r="E175" s="102">
        <v>1000</v>
      </c>
      <c r="F175" s="102">
        <v>0</v>
      </c>
      <c r="G175" s="102">
        <v>26095.95</v>
      </c>
      <c r="H175" s="102"/>
      <c r="I175" s="102"/>
      <c r="J175" s="102" t="s">
        <v>976</v>
      </c>
      <c r="K175" s="102" t="s">
        <v>1028</v>
      </c>
      <c r="L175" s="24">
        <v>0.85</v>
      </c>
      <c r="M175" s="102" t="s">
        <v>46</v>
      </c>
    </row>
    <row r="176" spans="1:13" x14ac:dyDescent="0.3">
      <c r="A176" s="22">
        <v>45849.56726851852</v>
      </c>
      <c r="B176" s="23" t="s">
        <v>2173</v>
      </c>
      <c r="C176" s="23" t="s">
        <v>2174</v>
      </c>
      <c r="D176" s="22">
        <v>45849</v>
      </c>
      <c r="E176" s="23">
        <v>20000</v>
      </c>
      <c r="F176" s="23">
        <v>0</v>
      </c>
      <c r="G176" s="23">
        <v>6095.95</v>
      </c>
      <c r="H176" s="23"/>
      <c r="I176" s="23"/>
      <c r="J176" s="23" t="s">
        <v>1667</v>
      </c>
      <c r="K176" s="23" t="s">
        <v>1735</v>
      </c>
      <c r="L176" s="24">
        <v>0.92</v>
      </c>
      <c r="M176" s="23" t="s">
        <v>46</v>
      </c>
    </row>
    <row r="177" spans="1:13" x14ac:dyDescent="0.3">
      <c r="A177" s="101">
        <v>45850.397418981483</v>
      </c>
      <c r="B177" s="102" t="s">
        <v>2175</v>
      </c>
      <c r="C177" s="102" t="s">
        <v>2176</v>
      </c>
      <c r="D177" s="101">
        <v>45850</v>
      </c>
      <c r="E177" s="102">
        <v>1000</v>
      </c>
      <c r="F177" s="102">
        <v>0</v>
      </c>
      <c r="G177" s="102">
        <v>5095.95</v>
      </c>
      <c r="H177" s="102"/>
      <c r="I177" s="102"/>
      <c r="J177" s="102" t="s">
        <v>976</v>
      </c>
      <c r="K177" s="102" t="s">
        <v>1028</v>
      </c>
      <c r="L177" s="24">
        <v>0.85</v>
      </c>
      <c r="M177" s="102" t="s">
        <v>46</v>
      </c>
    </row>
    <row r="178" spans="1:13" x14ac:dyDescent="0.3">
      <c r="A178" s="101">
        <v>45851.380648148152</v>
      </c>
      <c r="B178" s="102" t="s">
        <v>2177</v>
      </c>
      <c r="C178" s="102" t="s">
        <v>2178</v>
      </c>
      <c r="D178" s="101">
        <v>45851</v>
      </c>
      <c r="E178" s="102">
        <v>1100</v>
      </c>
      <c r="F178" s="102">
        <v>0</v>
      </c>
      <c r="G178" s="102">
        <v>3995.95</v>
      </c>
      <c r="H178" s="102"/>
      <c r="I178" s="102"/>
      <c r="J178" s="102" t="s">
        <v>976</v>
      </c>
      <c r="K178" s="102" t="s">
        <v>1028</v>
      </c>
      <c r="L178" s="24">
        <v>0.85</v>
      </c>
      <c r="M178" s="102" t="s">
        <v>46</v>
      </c>
    </row>
    <row r="179" spans="1:13" x14ac:dyDescent="0.3">
      <c r="A179" s="89">
        <v>45851.68074074074</v>
      </c>
      <c r="B179" s="90" t="s">
        <v>2179</v>
      </c>
      <c r="C179" s="90" t="s">
        <v>2180</v>
      </c>
      <c r="D179" s="89">
        <v>45851</v>
      </c>
      <c r="E179" s="90">
        <v>150</v>
      </c>
      <c r="F179" s="90">
        <v>0</v>
      </c>
      <c r="G179" s="90">
        <v>3845.95</v>
      </c>
      <c r="H179" s="90" t="s">
        <v>2181</v>
      </c>
      <c r="I179" s="90"/>
      <c r="J179" s="90" t="s">
        <v>975</v>
      </c>
      <c r="K179" s="90" t="s">
        <v>91</v>
      </c>
      <c r="L179" s="39">
        <v>0.55000000000000004</v>
      </c>
      <c r="M179" s="90" t="s">
        <v>46</v>
      </c>
    </row>
    <row r="180" spans="1:13" x14ac:dyDescent="0.3">
      <c r="A180" s="89">
        <v>45851.741793981477</v>
      </c>
      <c r="B180" s="90" t="s">
        <v>2182</v>
      </c>
      <c r="C180" s="90" t="s">
        <v>2183</v>
      </c>
      <c r="D180" s="89">
        <v>45851</v>
      </c>
      <c r="E180" s="90">
        <v>250</v>
      </c>
      <c r="F180" s="90">
        <v>0</v>
      </c>
      <c r="G180" s="90">
        <v>3595.95</v>
      </c>
      <c r="H180" s="90" t="s">
        <v>2184</v>
      </c>
      <c r="I180" s="90"/>
      <c r="J180" s="90" t="s">
        <v>975</v>
      </c>
      <c r="K180" s="90" t="s">
        <v>91</v>
      </c>
      <c r="L180" s="39">
        <v>0.55000000000000004</v>
      </c>
      <c r="M180" s="90" t="s">
        <v>46</v>
      </c>
    </row>
    <row r="181" spans="1:13" x14ac:dyDescent="0.3">
      <c r="A181" s="101">
        <v>45852.362164351849</v>
      </c>
      <c r="B181" s="102" t="s">
        <v>2185</v>
      </c>
      <c r="C181" s="102" t="s">
        <v>2186</v>
      </c>
      <c r="D181" s="101">
        <v>45852</v>
      </c>
      <c r="E181" s="102">
        <v>1000</v>
      </c>
      <c r="F181" s="102">
        <v>0</v>
      </c>
      <c r="G181" s="102">
        <v>2595.9499999999998</v>
      </c>
      <c r="H181" s="102"/>
      <c r="I181" s="102"/>
      <c r="J181" s="102" t="s">
        <v>976</v>
      </c>
      <c r="K181" s="102" t="s">
        <v>1028</v>
      </c>
      <c r="L181" s="24">
        <v>0.85</v>
      </c>
      <c r="M181" s="102" t="s">
        <v>46</v>
      </c>
    </row>
    <row r="182" spans="1:13" x14ac:dyDescent="0.3">
      <c r="A182" s="103">
        <v>45852.5153587963</v>
      </c>
      <c r="B182" s="104" t="s">
        <v>2187</v>
      </c>
      <c r="C182" s="104" t="s">
        <v>2188</v>
      </c>
      <c r="D182" s="103">
        <v>45852</v>
      </c>
      <c r="E182" s="104">
        <v>28</v>
      </c>
      <c r="F182" s="104">
        <v>0</v>
      </c>
      <c r="G182" s="104">
        <v>2567.9499999999998</v>
      </c>
      <c r="H182" s="104"/>
      <c r="I182" s="104"/>
      <c r="J182" s="104" t="s">
        <v>983</v>
      </c>
      <c r="K182" s="104" t="s">
        <v>131</v>
      </c>
      <c r="L182" s="40">
        <v>0.82</v>
      </c>
      <c r="M182" s="104" t="s">
        <v>46</v>
      </c>
    </row>
    <row r="183" spans="1:13" x14ac:dyDescent="0.3">
      <c r="A183" s="101">
        <v>45853.366365740738</v>
      </c>
      <c r="B183" s="102" t="s">
        <v>2189</v>
      </c>
      <c r="C183" s="102" t="s">
        <v>2190</v>
      </c>
      <c r="D183" s="101">
        <v>45853</v>
      </c>
      <c r="E183" s="102">
        <v>1000</v>
      </c>
      <c r="F183" s="102">
        <v>0</v>
      </c>
      <c r="G183" s="102">
        <v>1567.95</v>
      </c>
      <c r="H183" s="102"/>
      <c r="I183" s="102"/>
      <c r="J183" s="102" t="s">
        <v>976</v>
      </c>
      <c r="K183" s="102" t="s">
        <v>1028</v>
      </c>
      <c r="L183" s="24">
        <v>0.85</v>
      </c>
      <c r="M183" s="102" t="s">
        <v>46</v>
      </c>
    </row>
    <row r="184" spans="1:13" x14ac:dyDescent="0.3">
      <c r="A184" s="97">
        <v>45853.57203703704</v>
      </c>
      <c r="B184" s="98" t="s">
        <v>2191</v>
      </c>
      <c r="C184" s="98" t="s">
        <v>2192</v>
      </c>
      <c r="D184" s="97">
        <v>45853</v>
      </c>
      <c r="E184" s="98">
        <v>1</v>
      </c>
      <c r="F184" s="98">
        <v>0</v>
      </c>
      <c r="G184" s="98">
        <v>1566.95</v>
      </c>
      <c r="H184" s="98"/>
      <c r="I184" s="98"/>
      <c r="J184" s="98" t="s">
        <v>978</v>
      </c>
      <c r="K184" s="98" t="s">
        <v>1031</v>
      </c>
      <c r="L184" s="24">
        <v>0.85</v>
      </c>
      <c r="M184" s="98" t="s">
        <v>46</v>
      </c>
    </row>
    <row r="185" spans="1:13" x14ac:dyDescent="0.3">
      <c r="A185" s="97">
        <v>45853.609224537038</v>
      </c>
      <c r="B185" s="98" t="s">
        <v>2193</v>
      </c>
      <c r="C185" s="98" t="s">
        <v>2194</v>
      </c>
      <c r="D185" s="97">
        <v>45853</v>
      </c>
      <c r="E185" s="98">
        <v>101</v>
      </c>
      <c r="F185" s="98">
        <v>0</v>
      </c>
      <c r="G185" s="98">
        <v>1465.95</v>
      </c>
      <c r="H185" s="98"/>
      <c r="I185" s="98"/>
      <c r="J185" s="98" t="s">
        <v>978</v>
      </c>
      <c r="K185" s="98" t="s">
        <v>1031</v>
      </c>
      <c r="L185" s="24">
        <v>0.85</v>
      </c>
      <c r="M185" s="98" t="s">
        <v>46</v>
      </c>
    </row>
    <row r="186" spans="1:13" x14ac:dyDescent="0.3">
      <c r="A186" s="136">
        <v>45854.422673611109</v>
      </c>
      <c r="B186" s="137" t="s">
        <v>2195</v>
      </c>
      <c r="C186" s="137" t="s">
        <v>2196</v>
      </c>
      <c r="D186" s="136">
        <v>45854</v>
      </c>
      <c r="E186" s="137">
        <v>2</v>
      </c>
      <c r="F186" s="137">
        <v>0</v>
      </c>
      <c r="G186" s="137">
        <v>1463.95</v>
      </c>
      <c r="H186" s="137"/>
      <c r="I186" s="137"/>
      <c r="J186" s="137" t="s">
        <v>1815</v>
      </c>
      <c r="K186" s="137" t="s">
        <v>1795</v>
      </c>
      <c r="L186" s="24">
        <v>0.88</v>
      </c>
      <c r="M186" s="137" t="s">
        <v>46</v>
      </c>
    </row>
    <row r="187" spans="1:13" x14ac:dyDescent="0.3">
      <c r="A187" s="101">
        <v>45854.51630787037</v>
      </c>
      <c r="B187" s="102" t="s">
        <v>2197</v>
      </c>
      <c r="C187" s="102" t="s">
        <v>2198</v>
      </c>
      <c r="D187" s="101">
        <v>45854</v>
      </c>
      <c r="E187" s="102">
        <v>1000</v>
      </c>
      <c r="F187" s="102">
        <v>0</v>
      </c>
      <c r="G187" s="102">
        <v>463.95</v>
      </c>
      <c r="H187" s="102"/>
      <c r="I187" s="102"/>
      <c r="J187" s="102" t="s">
        <v>976</v>
      </c>
      <c r="K187" s="102" t="s">
        <v>1028</v>
      </c>
      <c r="L187" s="24">
        <v>0.85</v>
      </c>
      <c r="M187" s="102" t="s">
        <v>46</v>
      </c>
    </row>
    <row r="188" spans="1:13" x14ac:dyDescent="0.3">
      <c r="A188" s="146">
        <v>45855.684444444443</v>
      </c>
      <c r="B188" s="147" t="s">
        <v>2199</v>
      </c>
      <c r="C188" s="147" t="s">
        <v>2200</v>
      </c>
      <c r="D188" s="146">
        <v>45855</v>
      </c>
      <c r="E188" s="147">
        <v>0</v>
      </c>
      <c r="F188" s="147">
        <v>79.34</v>
      </c>
      <c r="G188" s="147">
        <v>543.29</v>
      </c>
      <c r="H188" s="147"/>
      <c r="I188" s="147"/>
      <c r="J188" s="147" t="s">
        <v>1678</v>
      </c>
      <c r="K188" s="147" t="s">
        <v>1658</v>
      </c>
      <c r="L188" s="24">
        <v>0.88</v>
      </c>
      <c r="M188" s="147" t="s">
        <v>46</v>
      </c>
    </row>
    <row r="189" spans="1:13" x14ac:dyDescent="0.3">
      <c r="A189" s="136">
        <v>45855.922905092593</v>
      </c>
      <c r="B189" s="137" t="s">
        <v>2201</v>
      </c>
      <c r="C189" s="137" t="s">
        <v>2202</v>
      </c>
      <c r="D189" s="136">
        <v>45855</v>
      </c>
      <c r="E189" s="137">
        <v>2</v>
      </c>
      <c r="F189" s="137">
        <v>0</v>
      </c>
      <c r="G189" s="137">
        <v>541.29</v>
      </c>
      <c r="H189" s="137"/>
      <c r="I189" s="137"/>
      <c r="J189" s="137" t="s">
        <v>1815</v>
      </c>
      <c r="K189" s="137" t="s">
        <v>1795</v>
      </c>
      <c r="L189" s="24">
        <v>0.88</v>
      </c>
      <c r="M189" s="137" t="s">
        <v>46</v>
      </c>
    </row>
    <row r="190" spans="1:13" x14ac:dyDescent="0.3">
      <c r="A190" s="49">
        <v>45862.281018518523</v>
      </c>
      <c r="B190" s="50" t="s">
        <v>2203</v>
      </c>
      <c r="C190" s="50" t="s">
        <v>2204</v>
      </c>
      <c r="D190" s="49">
        <v>45862</v>
      </c>
      <c r="E190" s="50">
        <v>0</v>
      </c>
      <c r="F190" s="50">
        <v>50</v>
      </c>
      <c r="G190" s="50">
        <v>591.29</v>
      </c>
      <c r="H190" s="50"/>
      <c r="I190" s="50"/>
      <c r="J190" s="50" t="s">
        <v>17</v>
      </c>
      <c r="K190" s="50" t="s">
        <v>17</v>
      </c>
      <c r="L190" s="24">
        <v>0.93</v>
      </c>
      <c r="M190" s="50" t="s">
        <v>46</v>
      </c>
    </row>
    <row r="191" spans="1:13" x14ac:dyDescent="0.3">
      <c r="A191" s="27">
        <v>45862.437511574077</v>
      </c>
      <c r="B191" s="28" t="s">
        <v>2205</v>
      </c>
      <c r="C191" s="28" t="s">
        <v>2206</v>
      </c>
      <c r="D191" s="27">
        <v>45862</v>
      </c>
      <c r="E191" s="28">
        <v>0</v>
      </c>
      <c r="F191" s="28">
        <v>15000</v>
      </c>
      <c r="G191" s="28">
        <v>15591.29</v>
      </c>
      <c r="H191" s="28"/>
      <c r="I191" s="28"/>
      <c r="J191" s="28" t="s">
        <v>1656</v>
      </c>
      <c r="K191" s="28" t="s">
        <v>1680</v>
      </c>
      <c r="L191" s="24">
        <v>0.95</v>
      </c>
      <c r="M191" s="28" t="s">
        <v>46</v>
      </c>
    </row>
    <row r="192" spans="1:13" x14ac:dyDescent="0.3">
      <c r="A192" s="49">
        <v>45863.284282407411</v>
      </c>
      <c r="B192" s="50" t="s">
        <v>2207</v>
      </c>
      <c r="C192" s="50" t="s">
        <v>2208</v>
      </c>
      <c r="D192" s="49">
        <v>45863</v>
      </c>
      <c r="E192" s="50">
        <v>0</v>
      </c>
      <c r="F192" s="50">
        <v>228</v>
      </c>
      <c r="G192" s="50">
        <v>15819.29</v>
      </c>
      <c r="H192" s="50"/>
      <c r="I192" s="50"/>
      <c r="J192" s="50" t="s">
        <v>17</v>
      </c>
      <c r="K192" s="50" t="s">
        <v>17</v>
      </c>
      <c r="L192" s="24">
        <v>0.93</v>
      </c>
      <c r="M192" s="50" t="s">
        <v>46</v>
      </c>
    </row>
    <row r="193" spans="1:13" x14ac:dyDescent="0.3">
      <c r="A193" s="49">
        <v>45863.631574074083</v>
      </c>
      <c r="B193" s="50" t="s">
        <v>2209</v>
      </c>
      <c r="C193" s="50" t="s">
        <v>2210</v>
      </c>
      <c r="D193" s="49">
        <v>45863</v>
      </c>
      <c r="E193" s="50">
        <v>0</v>
      </c>
      <c r="F193" s="50">
        <v>88</v>
      </c>
      <c r="G193" s="50">
        <v>15907.29</v>
      </c>
      <c r="H193" s="50"/>
      <c r="I193" s="50"/>
      <c r="J193" s="50" t="s">
        <v>17</v>
      </c>
      <c r="K193" s="50" t="s">
        <v>17</v>
      </c>
      <c r="L193" s="24">
        <v>0.93</v>
      </c>
      <c r="M193" s="50" t="s">
        <v>46</v>
      </c>
    </row>
    <row r="194" spans="1:13" x14ac:dyDescent="0.3">
      <c r="A194" s="103">
        <v>45863.858078703714</v>
      </c>
      <c r="B194" s="104" t="s">
        <v>2211</v>
      </c>
      <c r="C194" s="104" t="s">
        <v>2212</v>
      </c>
      <c r="D194" s="103">
        <v>45863</v>
      </c>
      <c r="E194" s="104">
        <v>28</v>
      </c>
      <c r="F194" s="104">
        <v>0</v>
      </c>
      <c r="G194" s="104">
        <v>15879.29</v>
      </c>
      <c r="H194" s="104"/>
      <c r="I194" s="104"/>
      <c r="J194" s="104" t="s">
        <v>983</v>
      </c>
      <c r="K194" s="104" t="s">
        <v>131</v>
      </c>
      <c r="L194" s="40">
        <v>0.82</v>
      </c>
      <c r="M194" s="104" t="s">
        <v>46</v>
      </c>
    </row>
    <row r="195" spans="1:13" x14ac:dyDescent="0.3">
      <c r="A195" s="27">
        <v>45864.35832175926</v>
      </c>
      <c r="B195" s="28" t="s">
        <v>2213</v>
      </c>
      <c r="C195" s="28" t="s">
        <v>2214</v>
      </c>
      <c r="D195" s="27">
        <v>45864</v>
      </c>
      <c r="E195" s="28">
        <v>0</v>
      </c>
      <c r="F195" s="28">
        <v>7000</v>
      </c>
      <c r="G195" s="28">
        <v>22879.29</v>
      </c>
      <c r="H195" s="28"/>
      <c r="I195" s="28"/>
      <c r="J195" s="28" t="s">
        <v>1656</v>
      </c>
      <c r="K195" s="28" t="s">
        <v>1680</v>
      </c>
      <c r="L195" s="24">
        <v>0.95</v>
      </c>
      <c r="M195" s="28" t="s">
        <v>46</v>
      </c>
    </row>
    <row r="196" spans="1:13" x14ac:dyDescent="0.3">
      <c r="A196" s="22">
        <v>45866.285624999997</v>
      </c>
      <c r="B196" s="23" t="s">
        <v>2215</v>
      </c>
      <c r="C196" s="23" t="s">
        <v>2216</v>
      </c>
      <c r="D196" s="22">
        <v>45866</v>
      </c>
      <c r="E196" s="23">
        <v>7000</v>
      </c>
      <c r="F196" s="23">
        <v>0</v>
      </c>
      <c r="G196" s="23">
        <v>15879.29</v>
      </c>
      <c r="H196" s="23"/>
      <c r="I196" s="23"/>
      <c r="J196" s="23" t="s">
        <v>2</v>
      </c>
      <c r="K196" s="23" t="s">
        <v>2</v>
      </c>
      <c r="L196" s="24">
        <v>0.96</v>
      </c>
      <c r="M196" s="23" t="s">
        <v>46</v>
      </c>
    </row>
    <row r="197" spans="1:13" x14ac:dyDescent="0.3">
      <c r="A197" s="89">
        <v>45867.551354166673</v>
      </c>
      <c r="B197" s="90" t="s">
        <v>2217</v>
      </c>
      <c r="C197" s="90" t="s">
        <v>2218</v>
      </c>
      <c r="D197" s="89">
        <v>45867</v>
      </c>
      <c r="E197" s="90">
        <v>35</v>
      </c>
      <c r="F197" s="90">
        <v>0</v>
      </c>
      <c r="G197" s="90">
        <v>15844.29</v>
      </c>
      <c r="H197" s="90" t="s">
        <v>2219</v>
      </c>
      <c r="I197" s="90"/>
      <c r="J197" s="90" t="s">
        <v>975</v>
      </c>
      <c r="K197" s="90" t="s">
        <v>91</v>
      </c>
      <c r="L197" s="39">
        <v>0.55000000000000004</v>
      </c>
      <c r="M197" s="90" t="s">
        <v>46</v>
      </c>
    </row>
    <row r="198" spans="1:13" x14ac:dyDescent="0.3">
      <c r="A198" s="49">
        <v>45868.541030092587</v>
      </c>
      <c r="B198" s="50" t="s">
        <v>2220</v>
      </c>
      <c r="C198" s="50" t="s">
        <v>2221</v>
      </c>
      <c r="D198" s="49">
        <v>45868</v>
      </c>
      <c r="E198" s="50">
        <v>0</v>
      </c>
      <c r="F198" s="50">
        <v>157</v>
      </c>
      <c r="G198" s="50">
        <v>16001.29</v>
      </c>
      <c r="H198" s="50"/>
      <c r="I198" s="50"/>
      <c r="J198" s="50" t="s">
        <v>17</v>
      </c>
      <c r="K198" s="50" t="s">
        <v>17</v>
      </c>
      <c r="L198" s="24">
        <v>0.93</v>
      </c>
      <c r="M198" s="50" t="s">
        <v>46</v>
      </c>
    </row>
    <row r="199" spans="1:13" x14ac:dyDescent="0.3">
      <c r="A199" s="85">
        <v>45870.274930555563</v>
      </c>
      <c r="B199" s="86" t="s">
        <v>2222</v>
      </c>
      <c r="C199" s="86" t="s">
        <v>2223</v>
      </c>
      <c r="D199" s="85">
        <v>45870</v>
      </c>
      <c r="E199" s="86">
        <v>0</v>
      </c>
      <c r="F199" s="86">
        <v>241</v>
      </c>
      <c r="G199" s="86">
        <v>16242.29</v>
      </c>
      <c r="H199" s="86"/>
      <c r="I199" s="86"/>
      <c r="J199" s="86" t="s">
        <v>1816</v>
      </c>
      <c r="K199" s="86" t="s">
        <v>2224</v>
      </c>
      <c r="L199" s="24">
        <v>0.9</v>
      </c>
      <c r="M199" s="86" t="s">
        <v>46</v>
      </c>
    </row>
    <row r="200" spans="1:13" x14ac:dyDescent="0.3">
      <c r="A200" s="49">
        <v>45870.464687500003</v>
      </c>
      <c r="B200" s="50" t="s">
        <v>2225</v>
      </c>
      <c r="C200" s="50" t="s">
        <v>2226</v>
      </c>
      <c r="D200" s="49">
        <v>45870</v>
      </c>
      <c r="E200" s="50">
        <v>0</v>
      </c>
      <c r="F200" s="50">
        <v>30</v>
      </c>
      <c r="G200" s="50">
        <v>16272.29</v>
      </c>
      <c r="H200" s="50"/>
      <c r="I200" s="50"/>
      <c r="J200" s="50" t="s">
        <v>17</v>
      </c>
      <c r="K200" s="50" t="s">
        <v>17</v>
      </c>
      <c r="L200" s="24">
        <v>0.93</v>
      </c>
      <c r="M200" s="50" t="s">
        <v>46</v>
      </c>
    </row>
    <row r="201" spans="1:13" x14ac:dyDescent="0.3">
      <c r="A201" s="27">
        <v>45870.497789351852</v>
      </c>
      <c r="B201" s="28" t="s">
        <v>2227</v>
      </c>
      <c r="C201" s="28" t="s">
        <v>2228</v>
      </c>
      <c r="D201" s="27">
        <v>45870</v>
      </c>
      <c r="E201" s="28">
        <v>0</v>
      </c>
      <c r="F201" s="28">
        <v>37000</v>
      </c>
      <c r="G201" s="28">
        <v>53272.29</v>
      </c>
      <c r="H201" s="28"/>
      <c r="I201" s="28"/>
      <c r="J201" s="28" t="s">
        <v>1656</v>
      </c>
      <c r="K201" s="28" t="s">
        <v>1680</v>
      </c>
      <c r="L201" s="24">
        <v>0.95</v>
      </c>
      <c r="M201" s="28" t="s">
        <v>46</v>
      </c>
    </row>
    <row r="202" spans="1:13" x14ac:dyDescent="0.3">
      <c r="A202" s="22">
        <v>45870.49832175926</v>
      </c>
      <c r="B202" s="23" t="s">
        <v>2229</v>
      </c>
      <c r="C202" s="23" t="s">
        <v>2230</v>
      </c>
      <c r="D202" s="22">
        <v>45870</v>
      </c>
      <c r="E202" s="23">
        <v>37000</v>
      </c>
      <c r="F202" s="23">
        <v>0</v>
      </c>
      <c r="G202" s="23">
        <v>16272.29</v>
      </c>
      <c r="H202" s="23"/>
      <c r="I202" s="23"/>
      <c r="J202" s="23" t="s">
        <v>1667</v>
      </c>
      <c r="K202" s="23" t="s">
        <v>1735</v>
      </c>
      <c r="L202" s="24">
        <v>0.92</v>
      </c>
      <c r="M202" s="23" t="s">
        <v>46</v>
      </c>
    </row>
    <row r="203" spans="1:13" x14ac:dyDescent="0.3">
      <c r="A203" s="89">
        <v>45873.846747685187</v>
      </c>
      <c r="B203" s="90" t="s">
        <v>2231</v>
      </c>
      <c r="C203" s="90" t="s">
        <v>2232</v>
      </c>
      <c r="D203" s="89">
        <v>45873</v>
      </c>
      <c r="E203" s="90">
        <v>178</v>
      </c>
      <c r="F203" s="90">
        <v>0</v>
      </c>
      <c r="G203" s="90">
        <v>16094.29</v>
      </c>
      <c r="H203" s="90" t="s">
        <v>2233</v>
      </c>
      <c r="I203" s="90"/>
      <c r="J203" s="90" t="s">
        <v>975</v>
      </c>
      <c r="K203" s="90" t="s">
        <v>91</v>
      </c>
      <c r="L203" s="39">
        <v>0.55000000000000004</v>
      </c>
      <c r="M203" s="90" t="s">
        <v>46</v>
      </c>
    </row>
    <row r="204" spans="1:13" x14ac:dyDescent="0.3">
      <c r="A204" s="89">
        <v>45874.543680555558</v>
      </c>
      <c r="B204" s="90" t="s">
        <v>2234</v>
      </c>
      <c r="C204" s="90" t="s">
        <v>2235</v>
      </c>
      <c r="D204" s="89">
        <v>45874</v>
      </c>
      <c r="E204" s="90">
        <v>45</v>
      </c>
      <c r="F204" s="90">
        <v>0</v>
      </c>
      <c r="G204" s="90">
        <v>16049.29</v>
      </c>
      <c r="H204" s="90" t="s">
        <v>2236</v>
      </c>
      <c r="I204" s="90"/>
      <c r="J204" s="90" t="s">
        <v>975</v>
      </c>
      <c r="K204" s="90" t="s">
        <v>91</v>
      </c>
      <c r="L204" s="39">
        <v>0.55000000000000004</v>
      </c>
      <c r="M204" s="90" t="s">
        <v>46</v>
      </c>
    </row>
    <row r="205" spans="1:13" x14ac:dyDescent="0.3">
      <c r="A205" s="89">
        <v>45876.710532407407</v>
      </c>
      <c r="B205" s="90" t="s">
        <v>2237</v>
      </c>
      <c r="C205" s="90" t="s">
        <v>2238</v>
      </c>
      <c r="D205" s="89">
        <v>45876</v>
      </c>
      <c r="E205" s="90">
        <v>35</v>
      </c>
      <c r="F205" s="90">
        <v>0</v>
      </c>
      <c r="G205" s="90">
        <v>16014.29</v>
      </c>
      <c r="H205" s="90" t="s">
        <v>1973</v>
      </c>
      <c r="I205" s="90"/>
      <c r="J205" s="90" t="s">
        <v>975</v>
      </c>
      <c r="K205" s="90" t="s">
        <v>91</v>
      </c>
      <c r="L205" s="39">
        <v>0.55000000000000004</v>
      </c>
      <c r="M205" s="90" t="s">
        <v>46</v>
      </c>
    </row>
    <row r="206" spans="1:13" x14ac:dyDescent="0.3">
      <c r="A206" s="89">
        <v>45876.838726851849</v>
      </c>
      <c r="B206" s="90" t="s">
        <v>2239</v>
      </c>
      <c r="C206" s="90" t="s">
        <v>2240</v>
      </c>
      <c r="D206" s="89">
        <v>45876</v>
      </c>
      <c r="E206" s="90">
        <v>40</v>
      </c>
      <c r="F206" s="90">
        <v>0</v>
      </c>
      <c r="G206" s="90">
        <v>15974.29</v>
      </c>
      <c r="H206" s="90" t="s">
        <v>2241</v>
      </c>
      <c r="I206" s="90"/>
      <c r="J206" s="90" t="s">
        <v>975</v>
      </c>
      <c r="K206" s="90" t="s">
        <v>91</v>
      </c>
      <c r="L206" s="39">
        <v>0.55000000000000004</v>
      </c>
      <c r="M206" s="90" t="s">
        <v>46</v>
      </c>
    </row>
    <row r="207" spans="1:13" x14ac:dyDescent="0.3">
      <c r="A207" s="27">
        <v>45877.630520833343</v>
      </c>
      <c r="B207" s="28" t="s">
        <v>2242</v>
      </c>
      <c r="C207" s="28" t="s">
        <v>2243</v>
      </c>
      <c r="D207" s="27">
        <v>45877</v>
      </c>
      <c r="E207" s="28">
        <v>0</v>
      </c>
      <c r="F207" s="28">
        <v>10000</v>
      </c>
      <c r="G207" s="28">
        <v>25974.29</v>
      </c>
      <c r="H207" s="28"/>
      <c r="I207" s="28"/>
      <c r="J207" s="28" t="s">
        <v>1656</v>
      </c>
      <c r="K207" s="28" t="s">
        <v>1680</v>
      </c>
      <c r="L207" s="24">
        <v>0.95</v>
      </c>
      <c r="M207" s="28" t="s">
        <v>46</v>
      </c>
    </row>
    <row r="208" spans="1:13" x14ac:dyDescent="0.3">
      <c r="A208" s="22">
        <v>45877.631122685183</v>
      </c>
      <c r="B208" s="23" t="s">
        <v>2244</v>
      </c>
      <c r="C208" s="23" t="s">
        <v>2245</v>
      </c>
      <c r="D208" s="22">
        <v>45877</v>
      </c>
      <c r="E208" s="23">
        <v>10000</v>
      </c>
      <c r="F208" s="23">
        <v>0</v>
      </c>
      <c r="G208" s="23">
        <v>15974.29</v>
      </c>
      <c r="H208" s="23"/>
      <c r="I208" s="23"/>
      <c r="J208" s="23" t="s">
        <v>1667</v>
      </c>
      <c r="K208" s="23" t="s">
        <v>1735</v>
      </c>
      <c r="L208" s="24">
        <v>0.92</v>
      </c>
      <c r="M208" s="23" t="s">
        <v>46</v>
      </c>
    </row>
    <row r="209" spans="1:13" x14ac:dyDescent="0.3">
      <c r="A209" s="27">
        <v>45878.404641203713</v>
      </c>
      <c r="B209" s="28" t="s">
        <v>2246</v>
      </c>
      <c r="C209" s="28" t="s">
        <v>2247</v>
      </c>
      <c r="D209" s="27">
        <v>45878</v>
      </c>
      <c r="E209" s="28">
        <v>0</v>
      </c>
      <c r="F209" s="28">
        <v>7000</v>
      </c>
      <c r="G209" s="28">
        <v>22974.29</v>
      </c>
      <c r="H209" s="28"/>
      <c r="I209" s="28"/>
      <c r="J209" s="28" t="s">
        <v>1656</v>
      </c>
      <c r="K209" s="28" t="s">
        <v>1680</v>
      </c>
      <c r="L209" s="24">
        <v>0.95</v>
      </c>
      <c r="M209" s="28" t="s">
        <v>46</v>
      </c>
    </row>
    <row r="210" spans="1:13" x14ac:dyDescent="0.3">
      <c r="A210" s="119">
        <v>45880.417800925927</v>
      </c>
      <c r="B210" s="120" t="s">
        <v>2248</v>
      </c>
      <c r="C210" s="120" t="s">
        <v>2249</v>
      </c>
      <c r="D210" s="119">
        <v>45880</v>
      </c>
      <c r="E210" s="120">
        <v>0</v>
      </c>
      <c r="F210" s="120">
        <v>120</v>
      </c>
      <c r="G210" s="120">
        <v>23094.29</v>
      </c>
      <c r="H210" s="120"/>
      <c r="I210" s="120"/>
      <c r="J210" s="120" t="s">
        <v>1003</v>
      </c>
      <c r="K210" s="120" t="s">
        <v>91</v>
      </c>
      <c r="L210" s="40">
        <v>0.65</v>
      </c>
      <c r="M210" s="120" t="s">
        <v>46</v>
      </c>
    </row>
    <row r="211" spans="1:13" x14ac:dyDescent="0.3">
      <c r="A211" s="59">
        <v>45881.335833333331</v>
      </c>
      <c r="B211" s="60" t="s">
        <v>2250</v>
      </c>
      <c r="C211" s="60" t="s">
        <v>2251</v>
      </c>
      <c r="D211" s="59">
        <v>45881</v>
      </c>
      <c r="E211" s="60">
        <v>0</v>
      </c>
      <c r="F211" s="60">
        <v>501</v>
      </c>
      <c r="G211" s="60">
        <v>23595.29</v>
      </c>
      <c r="H211" s="60"/>
      <c r="I211" s="60"/>
      <c r="J211" s="60" t="s">
        <v>29</v>
      </c>
      <c r="K211" s="60" t="s">
        <v>606</v>
      </c>
      <c r="L211" s="24">
        <v>0.85</v>
      </c>
      <c r="M211" s="60" t="s">
        <v>46</v>
      </c>
    </row>
    <row r="212" spans="1:13" x14ac:dyDescent="0.3">
      <c r="A212" s="49">
        <v>45885.301423611112</v>
      </c>
      <c r="B212" s="50" t="s">
        <v>2252</v>
      </c>
      <c r="C212" s="50" t="s">
        <v>2253</v>
      </c>
      <c r="D212" s="49">
        <v>45885</v>
      </c>
      <c r="E212" s="50">
        <v>0</v>
      </c>
      <c r="F212" s="50">
        <v>275</v>
      </c>
      <c r="G212" s="50">
        <v>23870.29</v>
      </c>
      <c r="H212" s="50"/>
      <c r="I212" s="50"/>
      <c r="J212" s="50" t="s">
        <v>17</v>
      </c>
      <c r="K212" s="50" t="s">
        <v>17</v>
      </c>
      <c r="L212" s="24">
        <v>0.93</v>
      </c>
      <c r="M212" s="50" t="s">
        <v>46</v>
      </c>
    </row>
    <row r="213" spans="1:13" x14ac:dyDescent="0.3">
      <c r="A213" s="49">
        <v>45890.472812499997</v>
      </c>
      <c r="B213" s="50" t="s">
        <v>2254</v>
      </c>
      <c r="C213" s="50" t="s">
        <v>2255</v>
      </c>
      <c r="D213" s="49">
        <v>45890</v>
      </c>
      <c r="E213" s="50">
        <v>0</v>
      </c>
      <c r="F213" s="50">
        <v>154</v>
      </c>
      <c r="G213" s="50">
        <v>24024.29</v>
      </c>
      <c r="H213" s="50"/>
      <c r="I213" s="50"/>
      <c r="J213" s="50" t="s">
        <v>17</v>
      </c>
      <c r="K213" s="50" t="s">
        <v>17</v>
      </c>
      <c r="L213" s="24">
        <v>0.93</v>
      </c>
      <c r="M213" s="50" t="s">
        <v>46</v>
      </c>
    </row>
    <row r="214" spans="1:13" x14ac:dyDescent="0.3">
      <c r="A214" s="101">
        <v>45897.259502314817</v>
      </c>
      <c r="B214" s="102" t="s">
        <v>2256</v>
      </c>
      <c r="C214" s="102" t="s">
        <v>2257</v>
      </c>
      <c r="D214" s="101">
        <v>45897</v>
      </c>
      <c r="E214" s="102">
        <v>238</v>
      </c>
      <c r="F214" s="102">
        <v>0</v>
      </c>
      <c r="G214" s="102">
        <v>23786.29</v>
      </c>
      <c r="H214" s="102"/>
      <c r="I214" s="102"/>
      <c r="J214" s="102" t="s">
        <v>985</v>
      </c>
      <c r="K214" s="102" t="s">
        <v>91</v>
      </c>
      <c r="L214" s="24">
        <v>0.85</v>
      </c>
      <c r="M214" s="102" t="s">
        <v>46</v>
      </c>
    </row>
    <row r="215" spans="1:13" x14ac:dyDescent="0.3">
      <c r="A215" s="22">
        <v>45897.315370370372</v>
      </c>
      <c r="B215" s="23" t="s">
        <v>2258</v>
      </c>
      <c r="C215" s="23" t="s">
        <v>2259</v>
      </c>
      <c r="D215" s="22">
        <v>45897</v>
      </c>
      <c r="E215" s="23">
        <v>7000</v>
      </c>
      <c r="F215" s="23">
        <v>0</v>
      </c>
      <c r="G215" s="23">
        <v>16786.29</v>
      </c>
      <c r="H215" s="23"/>
      <c r="I215" s="23"/>
      <c r="J215" s="23" t="s">
        <v>2</v>
      </c>
      <c r="K215" s="23" t="s">
        <v>2</v>
      </c>
      <c r="L215" s="24">
        <v>0.96</v>
      </c>
      <c r="M215" s="23" t="s">
        <v>46</v>
      </c>
    </row>
    <row r="216" spans="1:13" x14ac:dyDescent="0.3">
      <c r="A216" s="146">
        <v>45897.584131944437</v>
      </c>
      <c r="B216" s="147" t="s">
        <v>2260</v>
      </c>
      <c r="C216" s="147" t="s">
        <v>2261</v>
      </c>
      <c r="D216" s="146">
        <v>45897</v>
      </c>
      <c r="E216" s="147">
        <v>0</v>
      </c>
      <c r="F216" s="147">
        <v>82.79</v>
      </c>
      <c r="G216" s="147">
        <v>16869.080000000002</v>
      </c>
      <c r="H216" s="147"/>
      <c r="I216" s="147"/>
      <c r="J216" s="147" t="s">
        <v>1678</v>
      </c>
      <c r="K216" s="147" t="s">
        <v>1658</v>
      </c>
      <c r="L216" s="24">
        <v>0.88</v>
      </c>
      <c r="M216" s="147" t="s">
        <v>46</v>
      </c>
    </row>
    <row r="217" spans="1:13" x14ac:dyDescent="0.3">
      <c r="A217" s="49">
        <v>45898.81658564815</v>
      </c>
      <c r="B217" s="50" t="s">
        <v>2262</v>
      </c>
      <c r="C217" s="50" t="s">
        <v>2263</v>
      </c>
      <c r="D217" s="49">
        <v>45898</v>
      </c>
      <c r="E217" s="50">
        <v>0</v>
      </c>
      <c r="F217" s="50">
        <v>110</v>
      </c>
      <c r="G217" s="50">
        <v>16979.080000000002</v>
      </c>
      <c r="H217" s="50"/>
      <c r="I217" s="50"/>
      <c r="J217" s="50" t="s">
        <v>17</v>
      </c>
      <c r="K217" s="50" t="s">
        <v>17</v>
      </c>
      <c r="L217" s="24">
        <v>0.93</v>
      </c>
      <c r="M217" s="50" t="s">
        <v>46</v>
      </c>
    </row>
    <row r="218" spans="1:13" x14ac:dyDescent="0.3">
      <c r="A218" s="101">
        <v>45900.500520833331</v>
      </c>
      <c r="B218" s="102" t="s">
        <v>2264</v>
      </c>
      <c r="C218" s="102" t="s">
        <v>2265</v>
      </c>
      <c r="D218" s="101">
        <v>45900</v>
      </c>
      <c r="E218" s="102">
        <v>500</v>
      </c>
      <c r="F218" s="102">
        <v>0</v>
      </c>
      <c r="G218" s="102">
        <v>16479.080000000002</v>
      </c>
      <c r="H218" s="102"/>
      <c r="I218" s="102"/>
      <c r="J218" s="102" t="s">
        <v>985</v>
      </c>
      <c r="K218" s="102" t="s">
        <v>91</v>
      </c>
      <c r="L218" s="24">
        <v>0.85</v>
      </c>
      <c r="M218" s="102" t="s">
        <v>46</v>
      </c>
    </row>
    <row r="219" spans="1:13" x14ac:dyDescent="0.3">
      <c r="A219" s="101">
        <v>45900.56832175926</v>
      </c>
      <c r="B219" s="102" t="s">
        <v>2266</v>
      </c>
      <c r="C219" s="102" t="s">
        <v>2267</v>
      </c>
      <c r="D219" s="101">
        <v>45900</v>
      </c>
      <c r="E219" s="102">
        <v>297</v>
      </c>
      <c r="F219" s="102">
        <v>0</v>
      </c>
      <c r="G219" s="102">
        <v>16182.08</v>
      </c>
      <c r="H219" s="102"/>
      <c r="I219" s="102"/>
      <c r="J219" s="102" t="s">
        <v>985</v>
      </c>
      <c r="K219" s="102" t="s">
        <v>91</v>
      </c>
      <c r="L219" s="24">
        <v>0.85</v>
      </c>
      <c r="M219" s="102" t="s">
        <v>46</v>
      </c>
    </row>
    <row r="220" spans="1:13" x14ac:dyDescent="0.3">
      <c r="A220" s="51">
        <v>45901.689432870371</v>
      </c>
      <c r="B220" s="52" t="s">
        <v>2268</v>
      </c>
      <c r="C220" s="52" t="s">
        <v>2269</v>
      </c>
      <c r="D220" s="51">
        <v>45901</v>
      </c>
      <c r="E220" s="52">
        <v>0</v>
      </c>
      <c r="F220" s="52">
        <v>10</v>
      </c>
      <c r="G220" s="52">
        <v>16192.08</v>
      </c>
      <c r="H220" s="52"/>
      <c r="I220" s="52"/>
      <c r="J220" s="52" t="s">
        <v>20</v>
      </c>
      <c r="K220" s="52" t="s">
        <v>181</v>
      </c>
      <c r="L220" s="24">
        <v>0.85</v>
      </c>
      <c r="M220" s="52" t="s">
        <v>46</v>
      </c>
    </row>
    <row r="221" spans="1:13" x14ac:dyDescent="0.3">
      <c r="A221" s="107">
        <v>45901.95684027778</v>
      </c>
      <c r="B221" s="108" t="s">
        <v>2270</v>
      </c>
      <c r="C221" s="108" t="s">
        <v>2271</v>
      </c>
      <c r="D221" s="107">
        <v>45901</v>
      </c>
      <c r="E221" s="108">
        <v>1377</v>
      </c>
      <c r="F221" s="108">
        <v>0</v>
      </c>
      <c r="G221" s="108">
        <v>14815.08</v>
      </c>
      <c r="H221" s="108"/>
      <c r="I221" s="108"/>
      <c r="J221" s="108" t="s">
        <v>1817</v>
      </c>
      <c r="K221" s="108" t="s">
        <v>1189</v>
      </c>
      <c r="L221" s="24">
        <v>0.85</v>
      </c>
      <c r="M221" s="108" t="s">
        <v>46</v>
      </c>
    </row>
    <row r="222" spans="1:13" x14ac:dyDescent="0.3">
      <c r="A222" s="49">
        <v>45903.812997685192</v>
      </c>
      <c r="B222" s="50" t="s">
        <v>2272</v>
      </c>
      <c r="C222" s="50" t="s">
        <v>2273</v>
      </c>
      <c r="D222" s="49">
        <v>45903</v>
      </c>
      <c r="E222" s="50">
        <v>0</v>
      </c>
      <c r="F222" s="50">
        <v>10.5</v>
      </c>
      <c r="G222" s="50">
        <v>14825.58</v>
      </c>
      <c r="H222" s="50"/>
      <c r="I222" s="50"/>
      <c r="J222" s="50" t="s">
        <v>17</v>
      </c>
      <c r="K222" s="50" t="s">
        <v>17</v>
      </c>
      <c r="L222" s="24">
        <v>0.93</v>
      </c>
      <c r="M222" s="50" t="s">
        <v>46</v>
      </c>
    </row>
    <row r="223" spans="1:13" x14ac:dyDescent="0.3">
      <c r="A223" s="49">
        <v>45909.32340277778</v>
      </c>
      <c r="B223" s="50" t="s">
        <v>2274</v>
      </c>
      <c r="C223" s="50" t="s">
        <v>2275</v>
      </c>
      <c r="D223" s="49">
        <v>45909</v>
      </c>
      <c r="E223" s="50">
        <v>0</v>
      </c>
      <c r="F223" s="50">
        <v>496</v>
      </c>
      <c r="G223" s="50">
        <v>15321.58</v>
      </c>
      <c r="H223" s="50"/>
      <c r="I223" s="50"/>
      <c r="J223" s="50" t="s">
        <v>17</v>
      </c>
      <c r="K223" s="50" t="s">
        <v>17</v>
      </c>
      <c r="L223" s="24">
        <v>0.93</v>
      </c>
      <c r="M223" s="50" t="s">
        <v>46</v>
      </c>
    </row>
    <row r="224" spans="1:13" x14ac:dyDescent="0.3">
      <c r="A224" s="59">
        <v>45910.358159722222</v>
      </c>
      <c r="B224" s="60" t="s">
        <v>2276</v>
      </c>
      <c r="C224" s="60" t="s">
        <v>2277</v>
      </c>
      <c r="D224" s="59">
        <v>45910</v>
      </c>
      <c r="E224" s="60">
        <v>0</v>
      </c>
      <c r="F224" s="60">
        <v>501</v>
      </c>
      <c r="G224" s="60">
        <v>15822.58</v>
      </c>
      <c r="H224" s="60"/>
      <c r="I224" s="60"/>
      <c r="J224" s="60" t="s">
        <v>29</v>
      </c>
      <c r="K224" s="60" t="s">
        <v>606</v>
      </c>
      <c r="L224" s="24">
        <v>0.85</v>
      </c>
      <c r="M224" s="60" t="s">
        <v>46</v>
      </c>
    </row>
    <row r="225" spans="1:13" x14ac:dyDescent="0.3">
      <c r="A225" s="37">
        <v>45911.617974537039</v>
      </c>
      <c r="B225" s="38" t="s">
        <v>2278</v>
      </c>
      <c r="C225" s="38" t="s">
        <v>2279</v>
      </c>
      <c r="D225" s="37">
        <v>45911</v>
      </c>
      <c r="E225" s="38">
        <v>0</v>
      </c>
      <c r="F225" s="38">
        <v>600</v>
      </c>
      <c r="G225" s="38">
        <v>16422.580000000002</v>
      </c>
      <c r="H225" s="38"/>
      <c r="I225" s="38"/>
      <c r="J225" s="38" t="s">
        <v>1818</v>
      </c>
      <c r="K225" s="38" t="s">
        <v>91</v>
      </c>
      <c r="L225" s="39">
        <v>0.55000000000000004</v>
      </c>
      <c r="M225" s="38" t="s">
        <v>46</v>
      </c>
    </row>
    <row r="226" spans="1:13" x14ac:dyDescent="0.3">
      <c r="A226" s="146">
        <v>45913.8903125</v>
      </c>
      <c r="B226" s="147" t="s">
        <v>2280</v>
      </c>
      <c r="C226" s="147" t="s">
        <v>2281</v>
      </c>
      <c r="D226" s="146">
        <v>45913</v>
      </c>
      <c r="E226" s="147">
        <v>0</v>
      </c>
      <c r="F226" s="147">
        <v>67</v>
      </c>
      <c r="G226" s="147">
        <v>16489.580000000002</v>
      </c>
      <c r="H226" s="147"/>
      <c r="I226" s="147"/>
      <c r="J226" s="147" t="s">
        <v>1678</v>
      </c>
      <c r="K226" s="147" t="s">
        <v>1658</v>
      </c>
      <c r="L226" s="24">
        <v>0.88</v>
      </c>
      <c r="M226" s="147" t="s">
        <v>46</v>
      </c>
    </row>
    <row r="227" spans="1:13" x14ac:dyDescent="0.3">
      <c r="A227" s="37">
        <v>45914.819340277783</v>
      </c>
      <c r="B227" s="38" t="s">
        <v>2282</v>
      </c>
      <c r="C227" s="38" t="s">
        <v>2283</v>
      </c>
      <c r="D227" s="37">
        <v>45914</v>
      </c>
      <c r="E227" s="38">
        <v>0</v>
      </c>
      <c r="F227" s="38">
        <v>600</v>
      </c>
      <c r="G227" s="38">
        <v>17089.580000000002</v>
      </c>
      <c r="H227" s="38"/>
      <c r="I227" s="38"/>
      <c r="J227" s="38" t="s">
        <v>1819</v>
      </c>
      <c r="K227" s="38" t="s">
        <v>91</v>
      </c>
      <c r="L227" s="39">
        <v>0.55000000000000004</v>
      </c>
      <c r="M227" s="38" t="s">
        <v>46</v>
      </c>
    </row>
    <row r="228" spans="1:13" x14ac:dyDescent="0.3">
      <c r="A228" s="89">
        <v>45915.579837962963</v>
      </c>
      <c r="B228" s="90" t="s">
        <v>2284</v>
      </c>
      <c r="C228" s="90" t="s">
        <v>2285</v>
      </c>
      <c r="D228" s="89">
        <v>45915</v>
      </c>
      <c r="E228" s="90">
        <v>600</v>
      </c>
      <c r="F228" s="90">
        <v>0</v>
      </c>
      <c r="G228" s="90">
        <v>16489.580000000002</v>
      </c>
      <c r="H228" s="90" t="s">
        <v>2286</v>
      </c>
      <c r="I228" s="90"/>
      <c r="J228" s="90" t="s">
        <v>975</v>
      </c>
      <c r="K228" s="90" t="s">
        <v>91</v>
      </c>
      <c r="L228" s="39">
        <v>0.55000000000000004</v>
      </c>
      <c r="M228" s="90" t="s">
        <v>46</v>
      </c>
    </row>
    <row r="229" spans="1:13" x14ac:dyDescent="0.3">
      <c r="A229" s="27">
        <v>45916.962071759262</v>
      </c>
      <c r="B229" s="28" t="s">
        <v>2287</v>
      </c>
      <c r="C229" s="28" t="s">
        <v>2288</v>
      </c>
      <c r="D229" s="27">
        <v>45916</v>
      </c>
      <c r="E229" s="28">
        <v>0</v>
      </c>
      <c r="F229" s="28">
        <v>30000</v>
      </c>
      <c r="G229" s="28">
        <v>46489.58</v>
      </c>
      <c r="H229" s="28"/>
      <c r="I229" s="28"/>
      <c r="J229" s="28" t="s">
        <v>30</v>
      </c>
      <c r="K229" s="28" t="s">
        <v>837</v>
      </c>
      <c r="L229" s="24">
        <v>0.95</v>
      </c>
      <c r="M229" s="28" t="s">
        <v>46</v>
      </c>
    </row>
    <row r="230" spans="1:13" x14ac:dyDescent="0.3">
      <c r="A230" s="22">
        <v>45916.963368055563</v>
      </c>
      <c r="B230" s="23" t="s">
        <v>2289</v>
      </c>
      <c r="C230" s="23" t="s">
        <v>2290</v>
      </c>
      <c r="D230" s="22">
        <v>45916</v>
      </c>
      <c r="E230" s="23">
        <v>38000</v>
      </c>
      <c r="F230" s="23">
        <v>0</v>
      </c>
      <c r="G230" s="23">
        <v>8489.58</v>
      </c>
      <c r="H230" s="23"/>
      <c r="I230" s="23"/>
      <c r="J230" s="23" t="s">
        <v>1812</v>
      </c>
      <c r="K230" s="23" t="s">
        <v>1701</v>
      </c>
      <c r="L230" s="24">
        <v>0.88</v>
      </c>
      <c r="M230" s="23" t="s">
        <v>46</v>
      </c>
    </row>
    <row r="231" spans="1:13" x14ac:dyDescent="0.3">
      <c r="A231" s="37">
        <v>45917.645208333342</v>
      </c>
      <c r="B231" s="38" t="s">
        <v>2291</v>
      </c>
      <c r="C231" s="38" t="s">
        <v>2292</v>
      </c>
      <c r="D231" s="37">
        <v>45917</v>
      </c>
      <c r="E231" s="38">
        <v>0</v>
      </c>
      <c r="F231" s="38">
        <v>500</v>
      </c>
      <c r="G231" s="38">
        <v>8989.58</v>
      </c>
      <c r="H231" s="38"/>
      <c r="I231" s="38"/>
      <c r="J231" s="38" t="s">
        <v>1820</v>
      </c>
      <c r="K231" s="38" t="s">
        <v>91</v>
      </c>
      <c r="L231" s="39">
        <v>0.55000000000000004</v>
      </c>
      <c r="M231" s="38" t="s">
        <v>46</v>
      </c>
    </row>
    <row r="232" spans="1:13" x14ac:dyDescent="0.3">
      <c r="A232" s="49">
        <v>45925.640138888892</v>
      </c>
      <c r="B232" s="50" t="s">
        <v>2293</v>
      </c>
      <c r="C232" s="50" t="s">
        <v>2294</v>
      </c>
      <c r="D232" s="49">
        <v>45925</v>
      </c>
      <c r="E232" s="50">
        <v>0</v>
      </c>
      <c r="F232" s="50">
        <v>30</v>
      </c>
      <c r="G232" s="50">
        <v>9019.58</v>
      </c>
      <c r="H232" s="50"/>
      <c r="I232" s="50"/>
      <c r="J232" s="50" t="s">
        <v>17</v>
      </c>
      <c r="K232" s="50" t="s">
        <v>17</v>
      </c>
      <c r="L232" s="24">
        <v>0.93</v>
      </c>
      <c r="M232" s="50" t="s">
        <v>46</v>
      </c>
    </row>
    <row r="233" spans="1:13" x14ac:dyDescent="0.3">
      <c r="A233" s="22">
        <v>45928.299409722233</v>
      </c>
      <c r="B233" s="23" t="s">
        <v>2295</v>
      </c>
      <c r="C233" s="23" t="s">
        <v>2296</v>
      </c>
      <c r="D233" s="22">
        <v>45928</v>
      </c>
      <c r="E233" s="23">
        <v>7000</v>
      </c>
      <c r="F233" s="23">
        <v>0</v>
      </c>
      <c r="G233" s="23">
        <v>2019.58</v>
      </c>
      <c r="H233" s="23"/>
      <c r="I233" s="23"/>
      <c r="J233" s="23" t="s">
        <v>2</v>
      </c>
      <c r="K233" s="23" t="s">
        <v>2</v>
      </c>
      <c r="L233" s="24">
        <v>0.96</v>
      </c>
      <c r="M233" s="23" t="s">
        <v>46</v>
      </c>
    </row>
    <row r="234" spans="1:13" x14ac:dyDescent="0.3">
      <c r="A234" s="37">
        <v>45928.690486111111</v>
      </c>
      <c r="B234" s="38" t="s">
        <v>2297</v>
      </c>
      <c r="C234" s="38" t="s">
        <v>2298</v>
      </c>
      <c r="D234" s="37">
        <v>45928</v>
      </c>
      <c r="E234" s="38">
        <v>0</v>
      </c>
      <c r="F234" s="38">
        <v>999.99</v>
      </c>
      <c r="G234" s="38">
        <v>3019.57</v>
      </c>
      <c r="H234" s="38"/>
      <c r="I234" s="38"/>
      <c r="J234" s="38" t="s">
        <v>1821</v>
      </c>
      <c r="K234" s="38" t="s">
        <v>91</v>
      </c>
      <c r="L234" s="39">
        <v>0.55000000000000004</v>
      </c>
      <c r="M234" s="38" t="s">
        <v>46</v>
      </c>
    </row>
    <row r="235" spans="1:13" x14ac:dyDescent="0.3">
      <c r="A235" s="55">
        <v>45931.204317129632</v>
      </c>
      <c r="B235" s="56" t="s">
        <v>2299</v>
      </c>
      <c r="C235" s="56"/>
      <c r="D235" s="55">
        <v>45930</v>
      </c>
      <c r="E235" s="56">
        <v>0</v>
      </c>
      <c r="F235" s="56">
        <v>114</v>
      </c>
      <c r="G235" s="56">
        <v>3133.57</v>
      </c>
      <c r="H235" s="56"/>
      <c r="I235" s="56"/>
      <c r="J235" s="56" t="s">
        <v>22</v>
      </c>
      <c r="K235" s="56" t="s">
        <v>22</v>
      </c>
      <c r="L235" s="24">
        <v>0.95</v>
      </c>
      <c r="M235" s="56" t="s">
        <v>46</v>
      </c>
    </row>
    <row r="236" spans="1:13" x14ac:dyDescent="0.3">
      <c r="A236" s="22">
        <v>45934.27615740741</v>
      </c>
      <c r="B236" s="23" t="s">
        <v>2300</v>
      </c>
      <c r="C236" s="23" t="s">
        <v>2301</v>
      </c>
      <c r="D236" s="22">
        <v>45934</v>
      </c>
      <c r="E236" s="23">
        <v>0</v>
      </c>
      <c r="F236" s="23">
        <v>5974.19</v>
      </c>
      <c r="G236" s="23">
        <v>9107.76</v>
      </c>
      <c r="H236" s="23"/>
      <c r="I236" s="23"/>
      <c r="J236" s="23" t="s">
        <v>1667</v>
      </c>
      <c r="K236" s="23" t="s">
        <v>1735</v>
      </c>
      <c r="L236" s="24">
        <v>0.92</v>
      </c>
      <c r="M236" s="23" t="s">
        <v>46</v>
      </c>
    </row>
    <row r="237" spans="1:13" x14ac:dyDescent="0.3">
      <c r="A237" s="89">
        <v>45934.803043981483</v>
      </c>
      <c r="B237" s="90" t="s">
        <v>2302</v>
      </c>
      <c r="C237" s="90">
        <v>527713851412</v>
      </c>
      <c r="D237" s="89">
        <v>45934</v>
      </c>
      <c r="E237" s="90">
        <v>2</v>
      </c>
      <c r="F237" s="90">
        <v>0</v>
      </c>
      <c r="G237" s="90">
        <v>9105.76</v>
      </c>
      <c r="H237" s="90"/>
      <c r="I237" s="90"/>
      <c r="J237" s="90" t="s">
        <v>1814</v>
      </c>
      <c r="K237" s="90" t="s">
        <v>91</v>
      </c>
      <c r="L237" s="24">
        <v>0.88</v>
      </c>
      <c r="M237" s="90" t="s">
        <v>46</v>
      </c>
    </row>
    <row r="238" spans="1:13" x14ac:dyDescent="0.3">
      <c r="A238" s="49">
        <v>45936.799016203702</v>
      </c>
      <c r="B238" s="50" t="s">
        <v>2303</v>
      </c>
      <c r="C238" s="50" t="s">
        <v>2304</v>
      </c>
      <c r="D238" s="49">
        <v>45936</v>
      </c>
      <c r="E238" s="50">
        <v>0</v>
      </c>
      <c r="F238" s="50">
        <v>8</v>
      </c>
      <c r="G238" s="50">
        <v>9113.76</v>
      </c>
      <c r="H238" s="50"/>
      <c r="I238" s="50"/>
      <c r="J238" s="50" t="s">
        <v>17</v>
      </c>
      <c r="K238" s="50" t="s">
        <v>17</v>
      </c>
      <c r="L238" s="24">
        <v>0.93</v>
      </c>
      <c r="M238" s="50" t="s">
        <v>46</v>
      </c>
    </row>
    <row r="239" spans="1:13" x14ac:dyDescent="0.3">
      <c r="A239" s="27">
        <v>45939.488877314812</v>
      </c>
      <c r="B239" s="28" t="s">
        <v>2305</v>
      </c>
      <c r="C239" s="28" t="s">
        <v>2306</v>
      </c>
      <c r="D239" s="27">
        <v>45939</v>
      </c>
      <c r="E239" s="28">
        <v>0</v>
      </c>
      <c r="F239" s="28">
        <v>7000</v>
      </c>
      <c r="G239" s="28">
        <v>16113.76</v>
      </c>
      <c r="H239" s="28"/>
      <c r="I239" s="28"/>
      <c r="J239" s="28" t="s">
        <v>30</v>
      </c>
      <c r="K239" s="28" t="s">
        <v>837</v>
      </c>
      <c r="L239" s="24">
        <v>0.95</v>
      </c>
      <c r="M239" s="28" t="s">
        <v>46</v>
      </c>
    </row>
    <row r="240" spans="1:13" x14ac:dyDescent="0.3">
      <c r="A240" s="59">
        <v>45940.358807870369</v>
      </c>
      <c r="B240" s="60" t="s">
        <v>2307</v>
      </c>
      <c r="C240" s="60" t="s">
        <v>2308</v>
      </c>
      <c r="D240" s="59">
        <v>45940</v>
      </c>
      <c r="E240" s="60">
        <v>0</v>
      </c>
      <c r="F240" s="60">
        <v>501</v>
      </c>
      <c r="G240" s="60">
        <v>16614.759999999998</v>
      </c>
      <c r="H240" s="60"/>
      <c r="I240" s="60"/>
      <c r="J240" s="60" t="s">
        <v>29</v>
      </c>
      <c r="K240" s="60" t="s">
        <v>606</v>
      </c>
      <c r="L240" s="24">
        <v>0.85</v>
      </c>
      <c r="M240" s="60" t="s">
        <v>46</v>
      </c>
    </row>
    <row r="241" spans="1:13" x14ac:dyDescent="0.3">
      <c r="A241" s="132">
        <v>45943.618321759262</v>
      </c>
      <c r="B241" s="133" t="s">
        <v>2309</v>
      </c>
      <c r="C241" s="133" t="s">
        <v>2310</v>
      </c>
      <c r="D241" s="132">
        <v>45943</v>
      </c>
      <c r="E241" s="133">
        <v>0</v>
      </c>
      <c r="F241" s="133">
        <v>2</v>
      </c>
      <c r="G241" s="133">
        <v>16616.759999999998</v>
      </c>
      <c r="H241" s="133"/>
      <c r="I241" s="133"/>
      <c r="J241" s="133" t="s">
        <v>1658</v>
      </c>
      <c r="K241" s="133" t="s">
        <v>1658</v>
      </c>
      <c r="L241" s="40">
        <v>0.7</v>
      </c>
      <c r="M241" s="133" t="s">
        <v>46</v>
      </c>
    </row>
    <row r="242" spans="1:13" x14ac:dyDescent="0.3">
      <c r="A242" s="146">
        <v>45949.407824074071</v>
      </c>
      <c r="B242" s="147" t="s">
        <v>2311</v>
      </c>
      <c r="C242" s="147" t="s">
        <v>2312</v>
      </c>
      <c r="D242" s="146">
        <v>45949</v>
      </c>
      <c r="E242" s="147">
        <v>0</v>
      </c>
      <c r="F242" s="147">
        <v>57.42</v>
      </c>
      <c r="G242" s="147">
        <v>16674.18</v>
      </c>
      <c r="H242" s="147"/>
      <c r="I242" s="147"/>
      <c r="J242" s="147" t="s">
        <v>1678</v>
      </c>
      <c r="K242" s="147" t="s">
        <v>1658</v>
      </c>
      <c r="L242" s="24">
        <v>0.88</v>
      </c>
      <c r="M242" s="147" t="s">
        <v>46</v>
      </c>
    </row>
    <row r="243" spans="1:13" x14ac:dyDescent="0.3">
      <c r="A243" s="101">
        <v>45952.190370370372</v>
      </c>
      <c r="B243" s="102" t="s">
        <v>2313</v>
      </c>
      <c r="C243" s="102" t="s">
        <v>2314</v>
      </c>
      <c r="D243" s="101">
        <v>45952</v>
      </c>
      <c r="E243" s="102">
        <v>1500</v>
      </c>
      <c r="F243" s="102">
        <v>0</v>
      </c>
      <c r="G243" s="102">
        <v>15174.18</v>
      </c>
      <c r="H243" s="102"/>
      <c r="I243" s="102"/>
      <c r="J243" s="102" t="s">
        <v>976</v>
      </c>
      <c r="K243" s="102" t="s">
        <v>1028</v>
      </c>
      <c r="L243" s="24">
        <v>0.85</v>
      </c>
      <c r="M243" s="102" t="s">
        <v>46</v>
      </c>
    </row>
    <row r="244" spans="1:13" x14ac:dyDescent="0.3">
      <c r="A244" s="83">
        <v>45956.40525462963</v>
      </c>
      <c r="B244" s="84" t="s">
        <v>2315</v>
      </c>
      <c r="C244" s="84" t="s">
        <v>2316</v>
      </c>
      <c r="D244" s="83">
        <v>45956</v>
      </c>
      <c r="E244" s="84">
        <v>231.8</v>
      </c>
      <c r="F244" s="84">
        <v>0</v>
      </c>
      <c r="G244" s="84">
        <v>14942.38</v>
      </c>
      <c r="H244" s="84"/>
      <c r="I244" s="84"/>
      <c r="J244" s="84" t="s">
        <v>973</v>
      </c>
      <c r="K244" s="84" t="s">
        <v>1014</v>
      </c>
      <c r="L244" s="40">
        <v>0.68</v>
      </c>
      <c r="M244" s="84" t="s">
        <v>46</v>
      </c>
    </row>
    <row r="245" spans="1:13" x14ac:dyDescent="0.3">
      <c r="A245" s="89">
        <v>45956.818680555552</v>
      </c>
      <c r="B245" s="90" t="s">
        <v>2317</v>
      </c>
      <c r="C245" s="90" t="s">
        <v>2318</v>
      </c>
      <c r="D245" s="89">
        <v>45956</v>
      </c>
      <c r="E245" s="90">
        <v>2445</v>
      </c>
      <c r="F245" s="90">
        <v>0</v>
      </c>
      <c r="G245" s="90">
        <v>12497.38</v>
      </c>
      <c r="H245" s="90" t="s">
        <v>2319</v>
      </c>
      <c r="I245" s="90"/>
      <c r="J245" s="90" t="s">
        <v>975</v>
      </c>
      <c r="K245" s="90" t="s">
        <v>91</v>
      </c>
      <c r="L245" s="39">
        <v>0.55000000000000004</v>
      </c>
      <c r="M245" s="90" t="s">
        <v>46</v>
      </c>
    </row>
    <row r="246" spans="1:13" x14ac:dyDescent="0.3">
      <c r="A246" s="22">
        <v>45958.342233796298</v>
      </c>
      <c r="B246" s="23" t="s">
        <v>2320</v>
      </c>
      <c r="C246" s="23" t="s">
        <v>2321</v>
      </c>
      <c r="D246" s="22">
        <v>45958</v>
      </c>
      <c r="E246" s="23">
        <v>7000</v>
      </c>
      <c r="F246" s="23">
        <v>0</v>
      </c>
      <c r="G246" s="23">
        <v>5497.38</v>
      </c>
      <c r="H246" s="23"/>
      <c r="I246" s="23"/>
      <c r="J246" s="23" t="s">
        <v>2</v>
      </c>
      <c r="K246" s="23" t="s">
        <v>2</v>
      </c>
      <c r="L246" s="24">
        <v>0.96</v>
      </c>
      <c r="M246" s="23" t="s">
        <v>46</v>
      </c>
    </row>
    <row r="247" spans="1:13" x14ac:dyDescent="0.3">
      <c r="A247" s="89">
        <v>45958.458113425928</v>
      </c>
      <c r="B247" s="90" t="s">
        <v>2322</v>
      </c>
      <c r="C247" s="90" t="s">
        <v>2323</v>
      </c>
      <c r="D247" s="89">
        <v>45958</v>
      </c>
      <c r="E247" s="90">
        <v>1050</v>
      </c>
      <c r="F247" s="90">
        <v>0</v>
      </c>
      <c r="G247" s="90">
        <v>4447.38</v>
      </c>
      <c r="H247" s="90" t="s">
        <v>2324</v>
      </c>
      <c r="I247" s="90"/>
      <c r="J247" s="90" t="s">
        <v>975</v>
      </c>
      <c r="K247" s="90" t="s">
        <v>91</v>
      </c>
      <c r="L247" s="39">
        <v>0.55000000000000004</v>
      </c>
      <c r="M247" s="90" t="s">
        <v>46</v>
      </c>
    </row>
    <row r="248" spans="1:13" x14ac:dyDescent="0.3">
      <c r="A248" s="103">
        <v>45958.738217592603</v>
      </c>
      <c r="B248" s="104" t="s">
        <v>2325</v>
      </c>
      <c r="C248" s="104" t="s">
        <v>2326</v>
      </c>
      <c r="D248" s="103">
        <v>45958</v>
      </c>
      <c r="E248" s="104">
        <v>24</v>
      </c>
      <c r="F248" s="104">
        <v>0</v>
      </c>
      <c r="G248" s="104">
        <v>4423.38</v>
      </c>
      <c r="H248" s="104"/>
      <c r="I248" s="104"/>
      <c r="J248" s="104" t="s">
        <v>983</v>
      </c>
      <c r="K248" s="104" t="s">
        <v>131</v>
      </c>
      <c r="L248" s="40">
        <v>0.82</v>
      </c>
      <c r="M248" s="104" t="s">
        <v>46</v>
      </c>
    </row>
    <row r="249" spans="1:13" x14ac:dyDescent="0.3">
      <c r="A249" s="103">
        <v>45959.351203703707</v>
      </c>
      <c r="B249" s="104" t="s">
        <v>2327</v>
      </c>
      <c r="C249" s="104" t="s">
        <v>2328</v>
      </c>
      <c r="D249" s="103">
        <v>45959</v>
      </c>
      <c r="E249" s="104">
        <v>46</v>
      </c>
      <c r="F249" s="104">
        <v>0</v>
      </c>
      <c r="G249" s="104">
        <v>4377.38</v>
      </c>
      <c r="H249" s="104"/>
      <c r="I249" s="104"/>
      <c r="J249" s="104" t="s">
        <v>983</v>
      </c>
      <c r="K249" s="104" t="s">
        <v>131</v>
      </c>
      <c r="L249" s="40">
        <v>0.82</v>
      </c>
      <c r="M249" s="104" t="s">
        <v>46</v>
      </c>
    </row>
    <row r="250" spans="1:13" x14ac:dyDescent="0.3">
      <c r="A250" s="148">
        <v>45961.581724537027</v>
      </c>
      <c r="B250" s="149" t="s">
        <v>2329</v>
      </c>
      <c r="C250" s="149" t="s">
        <v>2330</v>
      </c>
      <c r="D250" s="148">
        <v>45961</v>
      </c>
      <c r="E250" s="149">
        <v>49</v>
      </c>
      <c r="F250" s="149">
        <v>0</v>
      </c>
      <c r="G250" s="149">
        <v>4328.38</v>
      </c>
      <c r="H250" s="149"/>
      <c r="I250" s="149"/>
      <c r="J250" s="149" t="s">
        <v>1677</v>
      </c>
      <c r="K250" s="149" t="s">
        <v>1795</v>
      </c>
      <c r="L250" s="40">
        <v>0.68</v>
      </c>
      <c r="M250" s="149" t="s">
        <v>46</v>
      </c>
    </row>
    <row r="251" spans="1:13" x14ac:dyDescent="0.3">
      <c r="A251" s="103">
        <v>45962.37771990741</v>
      </c>
      <c r="B251" s="104" t="s">
        <v>2331</v>
      </c>
      <c r="C251" s="104" t="s">
        <v>2332</v>
      </c>
      <c r="D251" s="103">
        <v>45962</v>
      </c>
      <c r="E251" s="104">
        <v>52</v>
      </c>
      <c r="F251" s="104">
        <v>0</v>
      </c>
      <c r="G251" s="104">
        <v>4276.38</v>
      </c>
      <c r="H251" s="104"/>
      <c r="I251" s="104"/>
      <c r="J251" s="104" t="s">
        <v>983</v>
      </c>
      <c r="K251" s="104" t="s">
        <v>131</v>
      </c>
      <c r="L251" s="40">
        <v>0.82</v>
      </c>
      <c r="M251" s="104" t="s">
        <v>46</v>
      </c>
    </row>
    <row r="252" spans="1:13" x14ac:dyDescent="0.3">
      <c r="A252" s="103">
        <v>45966.653773148151</v>
      </c>
      <c r="B252" s="104" t="s">
        <v>2333</v>
      </c>
      <c r="C252" s="104" t="s">
        <v>2334</v>
      </c>
      <c r="D252" s="103">
        <v>45966</v>
      </c>
      <c r="E252" s="104">
        <v>46</v>
      </c>
      <c r="F252" s="104">
        <v>0</v>
      </c>
      <c r="G252" s="104">
        <v>4230.38</v>
      </c>
      <c r="H252" s="104"/>
      <c r="I252" s="104"/>
      <c r="J252" s="104" t="s">
        <v>983</v>
      </c>
      <c r="K252" s="104" t="s">
        <v>131</v>
      </c>
      <c r="L252" s="40">
        <v>0.82</v>
      </c>
      <c r="M252" s="104" t="s">
        <v>46</v>
      </c>
    </row>
    <row r="253" spans="1:13" x14ac:dyDescent="0.3">
      <c r="A253" s="101">
        <v>45966.957627314812</v>
      </c>
      <c r="B253" s="102" t="s">
        <v>2335</v>
      </c>
      <c r="C253" s="102" t="s">
        <v>2336</v>
      </c>
      <c r="D253" s="101">
        <v>45966</v>
      </c>
      <c r="E253" s="102">
        <v>1</v>
      </c>
      <c r="F253" s="102">
        <v>0</v>
      </c>
      <c r="G253" s="102">
        <v>4229.38</v>
      </c>
      <c r="H253" s="102"/>
      <c r="I253" s="102"/>
      <c r="J253" s="102" t="s">
        <v>1822</v>
      </c>
      <c r="K253" s="102" t="s">
        <v>1795</v>
      </c>
      <c r="L253" s="24">
        <v>0.88</v>
      </c>
      <c r="M253" s="102" t="s">
        <v>46</v>
      </c>
    </row>
    <row r="254" spans="1:13" x14ac:dyDescent="0.3">
      <c r="A254" s="153">
        <v>45967.770844907413</v>
      </c>
      <c r="B254" s="154" t="s">
        <v>2337</v>
      </c>
      <c r="C254" s="154" t="s">
        <v>2338</v>
      </c>
      <c r="D254" s="153">
        <v>45967</v>
      </c>
      <c r="E254" s="154">
        <v>0</v>
      </c>
      <c r="F254" s="154">
        <v>1</v>
      </c>
      <c r="G254" s="154">
        <v>4230.38</v>
      </c>
      <c r="H254" s="154"/>
      <c r="I254" s="154"/>
      <c r="J254" s="154" t="s">
        <v>1807</v>
      </c>
      <c r="K254" s="154" t="s">
        <v>91</v>
      </c>
      <c r="L254" s="24">
        <v>0.88</v>
      </c>
      <c r="M254" s="154" t="s">
        <v>46</v>
      </c>
    </row>
    <row r="255" spans="1:13" x14ac:dyDescent="0.3">
      <c r="A255" s="27">
        <v>45968.562372685177</v>
      </c>
      <c r="B255" s="28" t="s">
        <v>2339</v>
      </c>
      <c r="C255" s="28" t="s">
        <v>2340</v>
      </c>
      <c r="D255" s="27">
        <v>45968</v>
      </c>
      <c r="E255" s="28">
        <v>0</v>
      </c>
      <c r="F255" s="28">
        <v>15000</v>
      </c>
      <c r="G255" s="28">
        <v>19230.38</v>
      </c>
      <c r="H255" s="28"/>
      <c r="I255" s="28"/>
      <c r="J255" s="28" t="s">
        <v>1656</v>
      </c>
      <c r="K255" s="28" t="s">
        <v>1680</v>
      </c>
      <c r="L255" s="24">
        <v>0.95</v>
      </c>
      <c r="M255" s="28" t="s">
        <v>46</v>
      </c>
    </row>
    <row r="256" spans="1:13" x14ac:dyDescent="0.3">
      <c r="A256" s="89">
        <v>45968.976481481477</v>
      </c>
      <c r="B256" s="90" t="s">
        <v>2341</v>
      </c>
      <c r="C256" s="90" t="s">
        <v>2342</v>
      </c>
      <c r="D256" s="89">
        <v>45968</v>
      </c>
      <c r="E256" s="90">
        <v>26</v>
      </c>
      <c r="F256" s="90">
        <v>0</v>
      </c>
      <c r="G256" s="90">
        <v>19204.38</v>
      </c>
      <c r="H256" s="90" t="s">
        <v>2343</v>
      </c>
      <c r="I256" s="90"/>
      <c r="J256" s="90" t="s">
        <v>975</v>
      </c>
      <c r="K256" s="90" t="s">
        <v>91</v>
      </c>
      <c r="L256" s="39">
        <v>0.55000000000000004</v>
      </c>
      <c r="M256" s="90" t="s">
        <v>46</v>
      </c>
    </row>
    <row r="257" spans="1:13" x14ac:dyDescent="0.3">
      <c r="A257" s="89">
        <v>45969.759456018517</v>
      </c>
      <c r="B257" s="90" t="s">
        <v>2344</v>
      </c>
      <c r="C257" s="90" t="s">
        <v>2345</v>
      </c>
      <c r="D257" s="89">
        <v>45969</v>
      </c>
      <c r="E257" s="90">
        <v>60</v>
      </c>
      <c r="F257" s="90">
        <v>0</v>
      </c>
      <c r="G257" s="90">
        <v>19144.38</v>
      </c>
      <c r="H257" s="90" t="s">
        <v>2346</v>
      </c>
      <c r="I257" s="90"/>
      <c r="J257" s="90" t="s">
        <v>975</v>
      </c>
      <c r="K257" s="90" t="s">
        <v>91</v>
      </c>
      <c r="L257" s="39">
        <v>0.55000000000000004</v>
      </c>
      <c r="M257" s="90" t="s">
        <v>46</v>
      </c>
    </row>
    <row r="258" spans="1:13" x14ac:dyDescent="0.3">
      <c r="A258" s="59">
        <v>45972.254259259258</v>
      </c>
      <c r="B258" s="60" t="s">
        <v>2347</v>
      </c>
      <c r="C258" s="60"/>
      <c r="D258" s="59">
        <v>45972</v>
      </c>
      <c r="E258" s="60">
        <v>15000</v>
      </c>
      <c r="F258" s="60">
        <v>0</v>
      </c>
      <c r="G258" s="60">
        <v>4144.38</v>
      </c>
      <c r="H258" s="60"/>
      <c r="I258" s="60"/>
      <c r="J258" s="60" t="s">
        <v>1823</v>
      </c>
      <c r="K258" s="60" t="s">
        <v>1701</v>
      </c>
      <c r="L258" s="24">
        <v>0.92</v>
      </c>
      <c r="M258" s="60" t="s">
        <v>46</v>
      </c>
    </row>
    <row r="259" spans="1:13" x14ac:dyDescent="0.3">
      <c r="A259" s="59">
        <v>45973.508819444447</v>
      </c>
      <c r="B259" s="60" t="s">
        <v>2348</v>
      </c>
      <c r="C259" s="60" t="s">
        <v>2349</v>
      </c>
      <c r="D259" s="59">
        <v>45973</v>
      </c>
      <c r="E259" s="60">
        <v>0</v>
      </c>
      <c r="F259" s="60">
        <v>501</v>
      </c>
      <c r="G259" s="60">
        <v>4645.38</v>
      </c>
      <c r="H259" s="60"/>
      <c r="I259" s="60"/>
      <c r="J259" s="60" t="s">
        <v>29</v>
      </c>
      <c r="K259" s="60" t="s">
        <v>606</v>
      </c>
      <c r="L259" s="24">
        <v>0.85</v>
      </c>
      <c r="M259" s="60" t="s">
        <v>46</v>
      </c>
    </row>
    <row r="260" spans="1:13" x14ac:dyDescent="0.3">
      <c r="A260" s="103">
        <v>45973.517245370371</v>
      </c>
      <c r="B260" s="104" t="s">
        <v>2350</v>
      </c>
      <c r="C260" s="104" t="s">
        <v>2351</v>
      </c>
      <c r="D260" s="103">
        <v>45973</v>
      </c>
      <c r="E260" s="104">
        <v>74</v>
      </c>
      <c r="F260" s="104">
        <v>0</v>
      </c>
      <c r="G260" s="104">
        <v>4571.38</v>
      </c>
      <c r="H260" s="104"/>
      <c r="I260" s="104"/>
      <c r="J260" s="104" t="s">
        <v>983</v>
      </c>
      <c r="K260" s="104" t="s">
        <v>131</v>
      </c>
      <c r="L260" s="40">
        <v>0.82</v>
      </c>
      <c r="M260" s="104" t="s">
        <v>46</v>
      </c>
    </row>
    <row r="261" spans="1:13" x14ac:dyDescent="0.3">
      <c r="A261" s="49">
        <v>45978.543645833342</v>
      </c>
      <c r="B261" s="50" t="s">
        <v>2352</v>
      </c>
      <c r="C261" s="50" t="s">
        <v>2353</v>
      </c>
      <c r="D261" s="49">
        <v>45978</v>
      </c>
      <c r="E261" s="50">
        <v>0</v>
      </c>
      <c r="F261" s="50">
        <v>48</v>
      </c>
      <c r="G261" s="50">
        <v>4619.38</v>
      </c>
      <c r="H261" s="50"/>
      <c r="I261" s="50"/>
      <c r="J261" s="50" t="s">
        <v>17</v>
      </c>
      <c r="K261" s="50" t="s">
        <v>17</v>
      </c>
      <c r="L261" s="24">
        <v>0.85</v>
      </c>
      <c r="M261" s="50" t="s">
        <v>46</v>
      </c>
    </row>
    <row r="262" spans="1:13" x14ac:dyDescent="0.3">
      <c r="A262" s="49">
        <v>45980.279050925928</v>
      </c>
      <c r="B262" s="50" t="s">
        <v>2354</v>
      </c>
      <c r="C262" s="50" t="s">
        <v>2355</v>
      </c>
      <c r="D262" s="49">
        <v>45980</v>
      </c>
      <c r="E262" s="50">
        <v>0</v>
      </c>
      <c r="F262" s="50">
        <v>196</v>
      </c>
      <c r="G262" s="50">
        <v>4815.38</v>
      </c>
      <c r="H262" s="50"/>
      <c r="I262" s="50"/>
      <c r="J262" s="50" t="s">
        <v>17</v>
      </c>
      <c r="K262" s="50" t="s">
        <v>17</v>
      </c>
      <c r="L262" s="24">
        <v>0.93</v>
      </c>
      <c r="M262" s="50" t="s">
        <v>46</v>
      </c>
    </row>
    <row r="263" spans="1:13" x14ac:dyDescent="0.3">
      <c r="A263" s="49">
        <v>45981.5469212963</v>
      </c>
      <c r="B263" s="50" t="s">
        <v>2356</v>
      </c>
      <c r="C263" s="50" t="s">
        <v>2357</v>
      </c>
      <c r="D263" s="49">
        <v>45981</v>
      </c>
      <c r="E263" s="50">
        <v>0</v>
      </c>
      <c r="F263" s="50">
        <v>350</v>
      </c>
      <c r="G263" s="50">
        <v>5165.38</v>
      </c>
      <c r="H263" s="50"/>
      <c r="I263" s="50"/>
      <c r="J263" s="50" t="s">
        <v>17</v>
      </c>
      <c r="K263" s="50" t="s">
        <v>17</v>
      </c>
      <c r="L263" s="24">
        <v>0.93</v>
      </c>
      <c r="M263" s="50" t="s">
        <v>46</v>
      </c>
    </row>
    <row r="264" spans="1:13" x14ac:dyDescent="0.3">
      <c r="A264" s="27">
        <v>45987.874201388891</v>
      </c>
      <c r="B264" s="28" t="s">
        <v>2358</v>
      </c>
      <c r="C264" s="28" t="s">
        <v>2359</v>
      </c>
      <c r="D264" s="27">
        <v>45987</v>
      </c>
      <c r="E264" s="28">
        <v>0</v>
      </c>
      <c r="F264" s="28">
        <v>5000</v>
      </c>
      <c r="G264" s="28">
        <v>10165.379999999999</v>
      </c>
      <c r="H264" s="28"/>
      <c r="I264" s="28"/>
      <c r="J264" s="28" t="s">
        <v>1656</v>
      </c>
      <c r="K264" s="28" t="s">
        <v>1680</v>
      </c>
      <c r="L264" s="24">
        <v>0.95</v>
      </c>
      <c r="M264" s="28" t="s">
        <v>46</v>
      </c>
    </row>
    <row r="265" spans="1:13" x14ac:dyDescent="0.3">
      <c r="A265" s="22">
        <v>45989.311921296299</v>
      </c>
      <c r="B265" s="23" t="s">
        <v>2360</v>
      </c>
      <c r="C265" s="23" t="s">
        <v>2361</v>
      </c>
      <c r="D265" s="22">
        <v>45989</v>
      </c>
      <c r="E265" s="23">
        <v>8050</v>
      </c>
      <c r="F265" s="23">
        <v>0</v>
      </c>
      <c r="G265" s="23">
        <v>2115.38</v>
      </c>
      <c r="H265" s="23"/>
      <c r="I265" s="23"/>
      <c r="J265" s="23" t="s">
        <v>2</v>
      </c>
      <c r="K265" s="23" t="s">
        <v>2</v>
      </c>
      <c r="L265" s="24">
        <v>0.96</v>
      </c>
      <c r="M265" s="23" t="s">
        <v>46</v>
      </c>
    </row>
    <row r="266" spans="1:13" x14ac:dyDescent="0.3">
      <c r="A266" s="27">
        <v>45992.661770833343</v>
      </c>
      <c r="B266" s="28" t="s">
        <v>2362</v>
      </c>
      <c r="C266" s="28" t="s">
        <v>2363</v>
      </c>
      <c r="D266" s="27">
        <v>45992</v>
      </c>
      <c r="E266" s="28">
        <v>0</v>
      </c>
      <c r="F266" s="28">
        <v>8000</v>
      </c>
      <c r="G266" s="28">
        <v>10115.379999999999</v>
      </c>
      <c r="H266" s="28"/>
      <c r="I266" s="28"/>
      <c r="J266" s="28" t="s">
        <v>1656</v>
      </c>
      <c r="K266" s="28" t="s">
        <v>1680</v>
      </c>
      <c r="L266" s="24">
        <v>0.95</v>
      </c>
      <c r="M266" s="28" t="s">
        <v>46</v>
      </c>
    </row>
    <row r="267" spans="1:13" x14ac:dyDescent="0.3">
      <c r="A267" s="31">
        <v>45999.609305555547</v>
      </c>
      <c r="B267" s="32" t="s">
        <v>2364</v>
      </c>
      <c r="C267" s="32" t="s">
        <v>2365</v>
      </c>
      <c r="D267" s="31">
        <v>45999</v>
      </c>
      <c r="E267" s="32">
        <v>0</v>
      </c>
      <c r="F267" s="32">
        <v>122.22</v>
      </c>
      <c r="G267" s="32">
        <v>10237.6</v>
      </c>
      <c r="H267" s="32"/>
      <c r="I267" s="32"/>
      <c r="J267" s="32" t="s">
        <v>1813</v>
      </c>
      <c r="K267" s="32" t="s">
        <v>2048</v>
      </c>
      <c r="L267" s="24">
        <v>0.9</v>
      </c>
      <c r="M267" s="32" t="s">
        <v>46</v>
      </c>
    </row>
    <row r="268" spans="1:13" x14ac:dyDescent="0.3">
      <c r="A268" s="59">
        <v>46001.357222222221</v>
      </c>
      <c r="B268" s="60" t="s">
        <v>2366</v>
      </c>
      <c r="C268" s="60" t="s">
        <v>2367</v>
      </c>
      <c r="D268" s="59">
        <v>46001</v>
      </c>
      <c r="E268" s="60">
        <v>0</v>
      </c>
      <c r="F268" s="60">
        <v>501</v>
      </c>
      <c r="G268" s="60">
        <v>10738.6</v>
      </c>
      <c r="H268" s="60"/>
      <c r="I268" s="60"/>
      <c r="J268" s="60" t="s">
        <v>29</v>
      </c>
      <c r="K268" s="60" t="s">
        <v>606</v>
      </c>
      <c r="L268" s="24">
        <v>0.85</v>
      </c>
      <c r="M268" s="60" t="s">
        <v>46</v>
      </c>
    </row>
    <row r="269" spans="1:13" x14ac:dyDescent="0.3">
      <c r="A269" s="97">
        <v>46001.648622685178</v>
      </c>
      <c r="B269" s="98" t="s">
        <v>2368</v>
      </c>
      <c r="C269" s="98" t="s">
        <v>2369</v>
      </c>
      <c r="D269" s="97">
        <v>46001</v>
      </c>
      <c r="E269" s="98">
        <v>0</v>
      </c>
      <c r="F269" s="98">
        <v>50</v>
      </c>
      <c r="G269" s="98">
        <v>10788.6</v>
      </c>
      <c r="H269" s="98"/>
      <c r="I269" s="98"/>
      <c r="J269" s="98" t="s">
        <v>977</v>
      </c>
      <c r="K269" s="98" t="s">
        <v>1031</v>
      </c>
      <c r="L269" s="24">
        <v>0.85</v>
      </c>
      <c r="M269" s="98" t="s">
        <v>46</v>
      </c>
    </row>
    <row r="270" spans="1:13" x14ac:dyDescent="0.3">
      <c r="A270" s="97">
        <v>46001.649328703701</v>
      </c>
      <c r="B270" s="98" t="s">
        <v>2370</v>
      </c>
      <c r="C270" s="98" t="s">
        <v>2371</v>
      </c>
      <c r="D270" s="97">
        <v>46001</v>
      </c>
      <c r="E270" s="98">
        <v>100</v>
      </c>
      <c r="F270" s="98">
        <v>0</v>
      </c>
      <c r="G270" s="98">
        <v>10688.6</v>
      </c>
      <c r="H270" s="98"/>
      <c r="I270" s="98"/>
      <c r="J270" s="98" t="s">
        <v>978</v>
      </c>
      <c r="K270" s="98" t="s">
        <v>1031</v>
      </c>
      <c r="L270" s="24">
        <v>0.85</v>
      </c>
      <c r="M270" s="98" t="s">
        <v>46</v>
      </c>
    </row>
    <row r="271" spans="1:13" x14ac:dyDescent="0.3">
      <c r="A271" s="37">
        <v>46001.649780092594</v>
      </c>
      <c r="B271" s="38" t="s">
        <v>2372</v>
      </c>
      <c r="C271" s="38" t="s">
        <v>2373</v>
      </c>
      <c r="D271" s="37">
        <v>46001</v>
      </c>
      <c r="E271" s="38">
        <v>0</v>
      </c>
      <c r="F271" s="38">
        <v>1</v>
      </c>
      <c r="G271" s="38">
        <v>10689.6</v>
      </c>
      <c r="H271" s="38"/>
      <c r="I271" s="38"/>
      <c r="J271" s="38" t="s">
        <v>1824</v>
      </c>
      <c r="K271" s="38" t="s">
        <v>91</v>
      </c>
      <c r="L271" s="39">
        <v>0.55000000000000004</v>
      </c>
      <c r="M271" s="38" t="s">
        <v>46</v>
      </c>
    </row>
    <row r="272" spans="1:13" x14ac:dyDescent="0.3">
      <c r="A272" s="27">
        <v>46001.658576388887</v>
      </c>
      <c r="B272" s="28" t="s">
        <v>2374</v>
      </c>
      <c r="C272" s="28" t="s">
        <v>2375</v>
      </c>
      <c r="D272" s="27">
        <v>46001</v>
      </c>
      <c r="E272" s="28">
        <v>0</v>
      </c>
      <c r="F272" s="28">
        <v>5000</v>
      </c>
      <c r="G272" s="28">
        <v>15689.6</v>
      </c>
      <c r="H272" s="28"/>
      <c r="I272" s="28"/>
      <c r="J272" s="28" t="s">
        <v>30</v>
      </c>
      <c r="K272" s="28" t="s">
        <v>837</v>
      </c>
      <c r="L272" s="24">
        <v>0.95</v>
      </c>
      <c r="M272" s="28" t="s">
        <v>46</v>
      </c>
    </row>
    <row r="273" spans="1:13" x14ac:dyDescent="0.3">
      <c r="A273" s="89">
        <v>46008.379641203697</v>
      </c>
      <c r="B273" s="90" t="s">
        <v>2376</v>
      </c>
      <c r="C273" s="90" t="s">
        <v>2377</v>
      </c>
      <c r="D273" s="89">
        <v>46008</v>
      </c>
      <c r="E273" s="90">
        <v>1000</v>
      </c>
      <c r="F273" s="90">
        <v>0</v>
      </c>
      <c r="G273" s="90">
        <v>14689.6</v>
      </c>
      <c r="H273" s="90" t="s">
        <v>2378</v>
      </c>
      <c r="I273" s="90"/>
      <c r="J273" s="90" t="s">
        <v>975</v>
      </c>
      <c r="K273" s="90" t="s">
        <v>91</v>
      </c>
      <c r="L273" s="39">
        <v>0.55000000000000004</v>
      </c>
      <c r="M273" s="90" t="s">
        <v>46</v>
      </c>
    </row>
    <row r="274" spans="1:13" x14ac:dyDescent="0.3">
      <c r="A274" s="97">
        <v>46013.912708333337</v>
      </c>
      <c r="B274" s="98" t="s">
        <v>2379</v>
      </c>
      <c r="C274" s="98" t="s">
        <v>2380</v>
      </c>
      <c r="D274" s="97">
        <v>46013</v>
      </c>
      <c r="E274" s="98">
        <v>150</v>
      </c>
      <c r="F274" s="98">
        <v>0</v>
      </c>
      <c r="G274" s="98">
        <v>14539.6</v>
      </c>
      <c r="H274" s="98"/>
      <c r="I274" s="98"/>
      <c r="J274" s="98" t="s">
        <v>978</v>
      </c>
      <c r="K274" s="98" t="s">
        <v>1031</v>
      </c>
      <c r="L274" s="24">
        <v>0.85</v>
      </c>
      <c r="M274" s="98" t="s">
        <v>46</v>
      </c>
    </row>
    <row r="275" spans="1:13" x14ac:dyDescent="0.3">
      <c r="A275" s="97">
        <v>46016.354074074072</v>
      </c>
      <c r="B275" s="98" t="s">
        <v>2381</v>
      </c>
      <c r="C275" s="98" t="s">
        <v>2382</v>
      </c>
      <c r="D275" s="97">
        <v>46016</v>
      </c>
      <c r="E275" s="98">
        <v>150</v>
      </c>
      <c r="F275" s="98">
        <v>0</v>
      </c>
      <c r="G275" s="98">
        <v>14389.6</v>
      </c>
      <c r="H275" s="98"/>
      <c r="I275" s="98"/>
      <c r="J275" s="98" t="s">
        <v>978</v>
      </c>
      <c r="K275" s="98" t="s">
        <v>1031</v>
      </c>
      <c r="L275" s="24">
        <v>0.85</v>
      </c>
      <c r="M275" s="98" t="s">
        <v>46</v>
      </c>
    </row>
    <row r="276" spans="1:13" x14ac:dyDescent="0.3">
      <c r="A276" s="22">
        <v>46019.299432870372</v>
      </c>
      <c r="B276" s="23" t="s">
        <v>2383</v>
      </c>
      <c r="C276" s="23" t="s">
        <v>2384</v>
      </c>
      <c r="D276" s="22">
        <v>46019</v>
      </c>
      <c r="E276" s="23">
        <v>8050</v>
      </c>
      <c r="F276" s="23">
        <v>0</v>
      </c>
      <c r="G276" s="23">
        <v>6339.6</v>
      </c>
      <c r="H276" s="23"/>
      <c r="I276" s="23"/>
      <c r="J276" s="23" t="s">
        <v>2</v>
      </c>
      <c r="K276" s="23" t="s">
        <v>2</v>
      </c>
      <c r="L276" s="24">
        <v>0.96</v>
      </c>
      <c r="M276" s="23" t="s">
        <v>46</v>
      </c>
    </row>
    <row r="277" spans="1:13" x14ac:dyDescent="0.3">
      <c r="A277" s="27">
        <v>46021.877453703702</v>
      </c>
      <c r="B277" s="28" t="s">
        <v>2385</v>
      </c>
      <c r="C277" s="28" t="s">
        <v>2386</v>
      </c>
      <c r="D277" s="27">
        <v>46021</v>
      </c>
      <c r="E277" s="28">
        <v>0</v>
      </c>
      <c r="F277" s="28">
        <v>4000</v>
      </c>
      <c r="G277" s="28">
        <v>10339.6</v>
      </c>
      <c r="H277" s="28"/>
      <c r="I277" s="28"/>
      <c r="J277" s="28" t="s">
        <v>30</v>
      </c>
      <c r="K277" s="28" t="s">
        <v>837</v>
      </c>
      <c r="L277" s="24">
        <v>0.95</v>
      </c>
      <c r="M277" s="28" t="s">
        <v>46</v>
      </c>
    </row>
    <row r="278" spans="1:13" x14ac:dyDescent="0.3">
      <c r="A278" s="55">
        <v>46023.213518518518</v>
      </c>
      <c r="B278" s="56" t="s">
        <v>2387</v>
      </c>
      <c r="C278" s="56"/>
      <c r="D278" s="55">
        <v>46022</v>
      </c>
      <c r="E278" s="56">
        <v>0</v>
      </c>
      <c r="F278" s="56">
        <v>66</v>
      </c>
      <c r="G278" s="56">
        <v>10405.6</v>
      </c>
      <c r="H278" s="56"/>
      <c r="I278" s="56"/>
      <c r="J278" s="56" t="s">
        <v>22</v>
      </c>
      <c r="K278" s="56" t="s">
        <v>22</v>
      </c>
      <c r="L278" s="24">
        <v>0.95</v>
      </c>
      <c r="M278" s="56" t="s">
        <v>46</v>
      </c>
    </row>
    <row r="279" spans="1:13" x14ac:dyDescent="0.3">
      <c r="A279" s="22">
        <v>46025.423263888893</v>
      </c>
      <c r="B279" s="23" t="s">
        <v>2388</v>
      </c>
      <c r="C279" s="23" t="s">
        <v>2389</v>
      </c>
      <c r="D279" s="22">
        <v>46025</v>
      </c>
      <c r="E279" s="23">
        <v>0</v>
      </c>
      <c r="F279" s="23">
        <v>25783.1</v>
      </c>
      <c r="G279" s="23">
        <v>36188.699999999997</v>
      </c>
      <c r="H279" s="23"/>
      <c r="I279" s="23"/>
      <c r="J279" s="23" t="s">
        <v>1667</v>
      </c>
      <c r="K279" s="23" t="s">
        <v>1735</v>
      </c>
      <c r="L279" s="24">
        <v>0.92</v>
      </c>
      <c r="M279" s="23" t="s">
        <v>46</v>
      </c>
    </row>
    <row r="280" spans="1:13" x14ac:dyDescent="0.3">
      <c r="A280" s="107">
        <v>46025.973124999997</v>
      </c>
      <c r="B280" s="108" t="s">
        <v>2390</v>
      </c>
      <c r="C280" s="108" t="s">
        <v>2391</v>
      </c>
      <c r="D280" s="107">
        <v>46025</v>
      </c>
      <c r="E280" s="108">
        <v>328.7</v>
      </c>
      <c r="F280" s="108">
        <v>0</v>
      </c>
      <c r="G280" s="108">
        <v>35860</v>
      </c>
      <c r="H280" s="108"/>
      <c r="I280" s="108"/>
      <c r="J280" s="108" t="s">
        <v>1825</v>
      </c>
      <c r="K280" s="108" t="s">
        <v>1189</v>
      </c>
      <c r="L280" s="40">
        <v>0.68</v>
      </c>
      <c r="M280" s="108" t="s">
        <v>46</v>
      </c>
    </row>
    <row r="281" spans="1:13" x14ac:dyDescent="0.3">
      <c r="A281" s="89">
        <v>46027.574907407397</v>
      </c>
      <c r="B281" s="90" t="s">
        <v>2392</v>
      </c>
      <c r="C281" s="90" t="s">
        <v>2393</v>
      </c>
      <c r="D281" s="89">
        <v>46027</v>
      </c>
      <c r="E281" s="90">
        <v>1300</v>
      </c>
      <c r="F281" s="90">
        <v>0</v>
      </c>
      <c r="G281" s="90">
        <v>34560</v>
      </c>
      <c r="H281" s="90" t="s">
        <v>2394</v>
      </c>
      <c r="I281" s="90"/>
      <c r="J281" s="90" t="s">
        <v>975</v>
      </c>
      <c r="K281" s="90" t="s">
        <v>91</v>
      </c>
      <c r="L281" s="39">
        <v>0.55000000000000004</v>
      </c>
      <c r="M281" s="90" t="s">
        <v>46</v>
      </c>
    </row>
    <row r="282" spans="1:13" x14ac:dyDescent="0.3">
      <c r="A282" s="22">
        <v>46028.500752314823</v>
      </c>
      <c r="B282" s="23" t="s">
        <v>2395</v>
      </c>
      <c r="C282" s="23" t="s">
        <v>2396</v>
      </c>
      <c r="D282" s="22">
        <v>46028</v>
      </c>
      <c r="E282" s="23">
        <v>10000</v>
      </c>
      <c r="F282" s="23">
        <v>0</v>
      </c>
      <c r="G282" s="23">
        <v>24560</v>
      </c>
      <c r="H282" s="23"/>
      <c r="I282" s="23"/>
      <c r="J282" s="23" t="s">
        <v>1667</v>
      </c>
      <c r="K282" s="23" t="s">
        <v>1735</v>
      </c>
      <c r="L282" s="24">
        <v>0.92</v>
      </c>
      <c r="M282" s="23" t="s">
        <v>46</v>
      </c>
    </row>
    <row r="283" spans="1:13" x14ac:dyDescent="0.3">
      <c r="A283" s="89">
        <v>46028.759733796287</v>
      </c>
      <c r="B283" s="90" t="s">
        <v>2397</v>
      </c>
      <c r="C283" s="90" t="s">
        <v>2398</v>
      </c>
      <c r="D283" s="89">
        <v>46028</v>
      </c>
      <c r="E283" s="90">
        <v>63</v>
      </c>
      <c r="F283" s="90">
        <v>0</v>
      </c>
      <c r="G283" s="90">
        <v>24497</v>
      </c>
      <c r="H283" s="90" t="s">
        <v>2399</v>
      </c>
      <c r="I283" s="90"/>
      <c r="J283" s="90" t="s">
        <v>975</v>
      </c>
      <c r="K283" s="90" t="s">
        <v>91</v>
      </c>
      <c r="L283" s="39">
        <v>0.55000000000000004</v>
      </c>
      <c r="M283" s="90" t="s">
        <v>46</v>
      </c>
    </row>
    <row r="284" spans="1:13" x14ac:dyDescent="0.3">
      <c r="A284" s="83">
        <v>46031.784074074072</v>
      </c>
      <c r="B284" s="84" t="s">
        <v>2400</v>
      </c>
      <c r="C284" s="84" t="s">
        <v>2401</v>
      </c>
      <c r="D284" s="83">
        <v>46031</v>
      </c>
      <c r="E284" s="84">
        <v>4384.5</v>
      </c>
      <c r="F284" s="84">
        <v>0</v>
      </c>
      <c r="G284" s="84">
        <v>20112.5</v>
      </c>
      <c r="H284" s="84"/>
      <c r="I284" s="84"/>
      <c r="J284" s="84" t="s">
        <v>973</v>
      </c>
      <c r="K284" s="84" t="s">
        <v>1014</v>
      </c>
      <c r="L284" s="24">
        <v>0.88</v>
      </c>
      <c r="M284" s="84" t="s">
        <v>46</v>
      </c>
    </row>
    <row r="285" spans="1:13" x14ac:dyDescent="0.3">
      <c r="A285" s="115">
        <v>46032.832743055558</v>
      </c>
      <c r="B285" s="116" t="s">
        <v>2402</v>
      </c>
      <c r="C285" s="116" t="s">
        <v>2403</v>
      </c>
      <c r="D285" s="115">
        <v>46032</v>
      </c>
      <c r="E285" s="116">
        <v>15</v>
      </c>
      <c r="F285" s="116">
        <v>0</v>
      </c>
      <c r="G285" s="116">
        <v>20097.5</v>
      </c>
      <c r="H285" s="116"/>
      <c r="I285" s="116"/>
      <c r="J285" s="116" t="s">
        <v>999</v>
      </c>
      <c r="K285" s="116" t="s">
        <v>91</v>
      </c>
      <c r="L285" s="40">
        <v>0.65</v>
      </c>
      <c r="M285" s="116" t="s">
        <v>46</v>
      </c>
    </row>
    <row r="286" spans="1:13" x14ac:dyDescent="0.3">
      <c r="A286" s="89">
        <v>46033.336157407408</v>
      </c>
      <c r="B286" s="90" t="s">
        <v>2404</v>
      </c>
      <c r="C286" s="90" t="s">
        <v>2405</v>
      </c>
      <c r="D286" s="89">
        <v>46033</v>
      </c>
      <c r="E286" s="90">
        <v>72</v>
      </c>
      <c r="F286" s="90">
        <v>0</v>
      </c>
      <c r="G286" s="90">
        <v>20025.5</v>
      </c>
      <c r="H286" s="90" t="s">
        <v>1474</v>
      </c>
      <c r="I286" s="90"/>
      <c r="J286" s="90" t="s">
        <v>975</v>
      </c>
      <c r="K286" s="90" t="s">
        <v>91</v>
      </c>
      <c r="L286" s="39">
        <v>0.55000000000000004</v>
      </c>
      <c r="M286" s="90" t="s">
        <v>46</v>
      </c>
    </row>
    <row r="287" spans="1:13" x14ac:dyDescent="0.3">
      <c r="A287" s="89">
        <v>46033.337685185194</v>
      </c>
      <c r="B287" s="90" t="s">
        <v>2406</v>
      </c>
      <c r="C287" s="90" t="s">
        <v>2407</v>
      </c>
      <c r="D287" s="89">
        <v>46033</v>
      </c>
      <c r="E287" s="90">
        <v>192</v>
      </c>
      <c r="F287" s="90">
        <v>0</v>
      </c>
      <c r="G287" s="90">
        <v>19833.5</v>
      </c>
      <c r="H287" s="90" t="s">
        <v>2408</v>
      </c>
      <c r="I287" s="90"/>
      <c r="J287" s="90" t="s">
        <v>975</v>
      </c>
      <c r="K287" s="90" t="s">
        <v>91</v>
      </c>
      <c r="L287" s="39">
        <v>0.55000000000000004</v>
      </c>
      <c r="M287" s="90" t="s">
        <v>46</v>
      </c>
    </row>
    <row r="288" spans="1:13" x14ac:dyDescent="0.3">
      <c r="A288" s="89">
        <v>46033.478622685187</v>
      </c>
      <c r="B288" s="90" t="s">
        <v>2409</v>
      </c>
      <c r="C288" s="90" t="s">
        <v>2410</v>
      </c>
      <c r="D288" s="89">
        <v>46033</v>
      </c>
      <c r="E288" s="90">
        <v>480</v>
      </c>
      <c r="F288" s="90">
        <v>0</v>
      </c>
      <c r="G288" s="90">
        <v>19353.5</v>
      </c>
      <c r="H288" s="90" t="s">
        <v>2411</v>
      </c>
      <c r="I288" s="90"/>
      <c r="J288" s="90" t="s">
        <v>975</v>
      </c>
      <c r="K288" s="90" t="s">
        <v>91</v>
      </c>
      <c r="L288" s="39">
        <v>0.55000000000000004</v>
      </c>
      <c r="M288" s="90" t="s">
        <v>46</v>
      </c>
    </row>
    <row r="289" spans="1:13" x14ac:dyDescent="0.3">
      <c r="A289" s="59">
        <v>46034.358796296299</v>
      </c>
      <c r="B289" s="60" t="s">
        <v>2412</v>
      </c>
      <c r="C289" s="60" t="s">
        <v>2413</v>
      </c>
      <c r="D289" s="59">
        <v>46034</v>
      </c>
      <c r="E289" s="60">
        <v>0</v>
      </c>
      <c r="F289" s="60">
        <v>501</v>
      </c>
      <c r="G289" s="60">
        <v>19854.5</v>
      </c>
      <c r="H289" s="60"/>
      <c r="I289" s="60"/>
      <c r="J289" s="60" t="s">
        <v>29</v>
      </c>
      <c r="K289" s="60" t="s">
        <v>606</v>
      </c>
      <c r="L289" s="24">
        <v>0.85</v>
      </c>
      <c r="M289" s="60" t="s">
        <v>46</v>
      </c>
    </row>
    <row r="290" spans="1:13" x14ac:dyDescent="0.3">
      <c r="A290" s="146">
        <v>46034.974259259259</v>
      </c>
      <c r="B290" s="147" t="s">
        <v>2414</v>
      </c>
      <c r="C290" s="147" t="s">
        <v>2415</v>
      </c>
      <c r="D290" s="146">
        <v>46034</v>
      </c>
      <c r="E290" s="147">
        <v>0</v>
      </c>
      <c r="F290" s="147">
        <v>100.03</v>
      </c>
      <c r="G290" s="147">
        <v>19954.53</v>
      </c>
      <c r="H290" s="147"/>
      <c r="I290" s="147"/>
      <c r="J290" s="147" t="s">
        <v>1678</v>
      </c>
      <c r="K290" s="147" t="s">
        <v>1658</v>
      </c>
      <c r="L290" s="24">
        <v>0.88</v>
      </c>
      <c r="M290" s="147" t="s">
        <v>46</v>
      </c>
    </row>
    <row r="291" spans="1:13" x14ac:dyDescent="0.3">
      <c r="A291" s="27">
        <v>46034.996724537043</v>
      </c>
      <c r="B291" s="28" t="s">
        <v>2416</v>
      </c>
      <c r="C291" s="28" t="s">
        <v>2417</v>
      </c>
      <c r="D291" s="27">
        <v>46034</v>
      </c>
      <c r="E291" s="28">
        <v>0</v>
      </c>
      <c r="F291" s="28">
        <v>40000</v>
      </c>
      <c r="G291" s="28">
        <v>59954.53</v>
      </c>
      <c r="H291" s="28"/>
      <c r="I291" s="28"/>
      <c r="J291" s="28" t="s">
        <v>1656</v>
      </c>
      <c r="K291" s="28" t="s">
        <v>1680</v>
      </c>
      <c r="L291" s="24">
        <v>0.95</v>
      </c>
      <c r="M291" s="28" t="s">
        <v>46</v>
      </c>
    </row>
    <row r="292" spans="1:13" x14ac:dyDescent="0.3">
      <c r="A292" s="101">
        <v>46034.997187499997</v>
      </c>
      <c r="B292" s="102" t="s">
        <v>2418</v>
      </c>
      <c r="C292" s="102" t="s">
        <v>2419</v>
      </c>
      <c r="D292" s="101">
        <v>46034</v>
      </c>
      <c r="E292" s="102">
        <v>40000</v>
      </c>
      <c r="F292" s="102">
        <v>0</v>
      </c>
      <c r="G292" s="102">
        <v>19954.53</v>
      </c>
      <c r="H292" s="102"/>
      <c r="I292" s="102"/>
      <c r="J292" s="102" t="s">
        <v>985</v>
      </c>
      <c r="K292" s="102" t="s">
        <v>1028</v>
      </c>
      <c r="L292" s="40">
        <v>0.68</v>
      </c>
      <c r="M292" s="102" t="s">
        <v>46</v>
      </c>
    </row>
    <row r="293" spans="1:13" x14ac:dyDescent="0.3">
      <c r="A293" s="27">
        <v>46037.904490740737</v>
      </c>
      <c r="B293" s="28" t="s">
        <v>2420</v>
      </c>
      <c r="C293" s="28" t="s">
        <v>2421</v>
      </c>
      <c r="D293" s="27">
        <v>46037</v>
      </c>
      <c r="E293" s="28">
        <v>4217.71</v>
      </c>
      <c r="F293" s="28">
        <v>0</v>
      </c>
      <c r="G293" s="28">
        <v>15736.82</v>
      </c>
      <c r="H293" s="28"/>
      <c r="I293" s="28"/>
      <c r="J293" s="28" t="s">
        <v>30</v>
      </c>
      <c r="K293" s="28" t="s">
        <v>837</v>
      </c>
      <c r="L293" s="24">
        <v>0.95</v>
      </c>
      <c r="M293" s="28" t="s">
        <v>46</v>
      </c>
    </row>
    <row r="294" spans="1:13" x14ac:dyDescent="0.3">
      <c r="A294" s="27">
        <v>46037.907372685193</v>
      </c>
      <c r="B294" s="28" t="s">
        <v>2422</v>
      </c>
      <c r="C294" s="28" t="s">
        <v>2423</v>
      </c>
      <c r="D294" s="27">
        <v>46037</v>
      </c>
      <c r="E294" s="28">
        <v>8000</v>
      </c>
      <c r="F294" s="28">
        <v>0</v>
      </c>
      <c r="G294" s="28">
        <v>7736.82</v>
      </c>
      <c r="H294" s="28"/>
      <c r="I294" s="28"/>
      <c r="J294" s="28" t="s">
        <v>30</v>
      </c>
      <c r="K294" s="28" t="s">
        <v>837</v>
      </c>
      <c r="L294" s="24">
        <v>0.95</v>
      </c>
      <c r="M294" s="28" t="s">
        <v>46</v>
      </c>
    </row>
    <row r="295" spans="1:13" x14ac:dyDescent="0.3">
      <c r="A295" s="107">
        <v>46038.970833333333</v>
      </c>
      <c r="B295" s="108" t="s">
        <v>2424</v>
      </c>
      <c r="C295" s="108" t="s">
        <v>2425</v>
      </c>
      <c r="D295" s="107">
        <v>46038</v>
      </c>
      <c r="E295" s="108">
        <v>1930.19</v>
      </c>
      <c r="F295" s="108">
        <v>0</v>
      </c>
      <c r="G295" s="108">
        <v>5806.63</v>
      </c>
      <c r="H295" s="108"/>
      <c r="I295" s="108"/>
      <c r="J295" s="108" t="s">
        <v>1817</v>
      </c>
      <c r="K295" s="108" t="s">
        <v>1189</v>
      </c>
      <c r="L295" s="24">
        <v>0.85</v>
      </c>
      <c r="M295" s="108" t="s">
        <v>46</v>
      </c>
    </row>
    <row r="296" spans="1:13" x14ac:dyDescent="0.3">
      <c r="A296" s="27">
        <v>46039.45815972222</v>
      </c>
      <c r="B296" s="28" t="s">
        <v>2426</v>
      </c>
      <c r="C296" s="28" t="s">
        <v>2427</v>
      </c>
      <c r="D296" s="27">
        <v>46039</v>
      </c>
      <c r="E296" s="28">
        <v>0</v>
      </c>
      <c r="F296" s="28">
        <v>12194</v>
      </c>
      <c r="G296" s="28">
        <v>18000.63</v>
      </c>
      <c r="H296" s="28"/>
      <c r="I296" s="28"/>
      <c r="J296" s="28" t="s">
        <v>1656</v>
      </c>
      <c r="K296" s="28" t="s">
        <v>1680</v>
      </c>
      <c r="L296" s="24">
        <v>0.95</v>
      </c>
      <c r="M296" s="28" t="s">
        <v>46</v>
      </c>
    </row>
    <row r="297" spans="1:13" x14ac:dyDescent="0.3">
      <c r="A297" s="89">
        <v>46047.564502314817</v>
      </c>
      <c r="B297" s="90" t="s">
        <v>2428</v>
      </c>
      <c r="C297" s="90" t="s">
        <v>2429</v>
      </c>
      <c r="D297" s="89">
        <v>46047</v>
      </c>
      <c r="E297" s="90">
        <v>120</v>
      </c>
      <c r="F297" s="90">
        <v>0</v>
      </c>
      <c r="G297" s="90">
        <v>17880.63</v>
      </c>
      <c r="H297" s="90" t="s">
        <v>2430</v>
      </c>
      <c r="I297" s="90"/>
      <c r="J297" s="90" t="s">
        <v>975</v>
      </c>
      <c r="K297" s="90" t="s">
        <v>91</v>
      </c>
      <c r="L297" s="39">
        <v>0.55000000000000004</v>
      </c>
      <c r="M297" s="90" t="s">
        <v>46</v>
      </c>
    </row>
    <row r="298" spans="1:13" x14ac:dyDescent="0.3">
      <c r="A298" s="22">
        <v>46050.303854166668</v>
      </c>
      <c r="B298" s="23" t="s">
        <v>2431</v>
      </c>
      <c r="C298" s="23" t="s">
        <v>2432</v>
      </c>
      <c r="D298" s="22">
        <v>46050</v>
      </c>
      <c r="E298" s="23">
        <v>8050</v>
      </c>
      <c r="F298" s="23">
        <v>0</v>
      </c>
      <c r="G298" s="23">
        <v>9830.6299999999992</v>
      </c>
      <c r="H298" s="23"/>
      <c r="I298" s="23"/>
      <c r="J298" s="23" t="s">
        <v>2</v>
      </c>
      <c r="K298" s="23" t="s">
        <v>2</v>
      </c>
      <c r="L298" s="24">
        <v>0.96</v>
      </c>
      <c r="M298" s="23" t="s">
        <v>46</v>
      </c>
    </row>
    <row r="299" spans="1:13" x14ac:dyDescent="0.3">
      <c r="A299" s="27">
        <v>46051.509293981479</v>
      </c>
      <c r="B299" s="28" t="s">
        <v>2433</v>
      </c>
      <c r="C299" s="28" t="s">
        <v>2434</v>
      </c>
      <c r="D299" s="27">
        <v>46051</v>
      </c>
      <c r="E299" s="28">
        <v>0</v>
      </c>
      <c r="F299" s="28">
        <v>4000</v>
      </c>
      <c r="G299" s="28">
        <v>13830.63</v>
      </c>
      <c r="H299" s="28"/>
      <c r="I299" s="28"/>
      <c r="J299" s="28" t="s">
        <v>30</v>
      </c>
      <c r="K299" s="28" t="s">
        <v>837</v>
      </c>
      <c r="L299" s="24">
        <v>0.95</v>
      </c>
      <c r="M299" s="28" t="s">
        <v>46</v>
      </c>
    </row>
    <row r="300" spans="1:13" x14ac:dyDescent="0.3">
      <c r="A300" s="22">
        <v>46051.510451388887</v>
      </c>
      <c r="B300" s="23" t="s">
        <v>2435</v>
      </c>
      <c r="C300" s="23" t="s">
        <v>2436</v>
      </c>
      <c r="D300" s="22">
        <v>46051</v>
      </c>
      <c r="E300" s="23">
        <v>13000</v>
      </c>
      <c r="F300" s="23">
        <v>0</v>
      </c>
      <c r="G300" s="23">
        <v>830.63</v>
      </c>
      <c r="H300" s="23"/>
      <c r="I300" s="23"/>
      <c r="J300" s="23" t="s">
        <v>1667</v>
      </c>
      <c r="K300" s="23" t="s">
        <v>1735</v>
      </c>
      <c r="L300" s="24">
        <v>0.92</v>
      </c>
      <c r="M300" s="23" t="s">
        <v>46</v>
      </c>
    </row>
    <row r="301" spans="1:13" x14ac:dyDescent="0.3">
      <c r="A301" s="27">
        <v>46055.526805555557</v>
      </c>
      <c r="B301" s="28" t="s">
        <v>2437</v>
      </c>
      <c r="C301" s="28" t="s">
        <v>2438</v>
      </c>
      <c r="D301" s="27">
        <v>46055</v>
      </c>
      <c r="E301" s="28">
        <v>0</v>
      </c>
      <c r="F301" s="28">
        <v>9169.3700000000008</v>
      </c>
      <c r="G301" s="28">
        <v>10000</v>
      </c>
      <c r="H301" s="28"/>
      <c r="I301" s="28"/>
      <c r="J301" s="28" t="s">
        <v>1656</v>
      </c>
      <c r="K301" s="28" t="s">
        <v>1680</v>
      </c>
      <c r="L301" s="24">
        <v>0.95</v>
      </c>
      <c r="M301" s="28" t="s">
        <v>46</v>
      </c>
    </row>
    <row r="302" spans="1:13" x14ac:dyDescent="0.3">
      <c r="A302" s="59">
        <v>46064.378009259257</v>
      </c>
      <c r="B302" s="60" t="s">
        <v>2439</v>
      </c>
      <c r="C302" s="60" t="s">
        <v>2440</v>
      </c>
      <c r="D302" s="59">
        <v>46064</v>
      </c>
      <c r="E302" s="60">
        <v>0</v>
      </c>
      <c r="F302" s="60">
        <v>477.82</v>
      </c>
      <c r="G302" s="60">
        <v>10477.82</v>
      </c>
      <c r="H302" s="60"/>
      <c r="I302" s="60"/>
      <c r="J302" s="60" t="s">
        <v>29</v>
      </c>
      <c r="K302" s="60" t="s">
        <v>606</v>
      </c>
      <c r="L302" s="24">
        <v>0.85</v>
      </c>
      <c r="M302" s="60" t="s">
        <v>46</v>
      </c>
    </row>
    <row r="303" spans="1:13" x14ac:dyDescent="0.3">
      <c r="A303" s="49">
        <v>46065.294872685183</v>
      </c>
      <c r="B303" s="50" t="s">
        <v>2441</v>
      </c>
      <c r="C303" s="50" t="s">
        <v>2442</v>
      </c>
      <c r="D303" s="49">
        <v>46065</v>
      </c>
      <c r="E303" s="50">
        <v>0</v>
      </c>
      <c r="F303" s="50">
        <v>245</v>
      </c>
      <c r="G303" s="50">
        <v>10722.82</v>
      </c>
      <c r="H303" s="50"/>
      <c r="I303" s="50"/>
      <c r="J303" s="50" t="s">
        <v>17</v>
      </c>
      <c r="K303" s="50" t="s">
        <v>17</v>
      </c>
      <c r="L303" s="24">
        <v>0.93</v>
      </c>
      <c r="M303" s="50" t="s">
        <v>46</v>
      </c>
    </row>
    <row r="304" spans="1:13" x14ac:dyDescent="0.3">
      <c r="A304" s="132">
        <v>46075.536840277768</v>
      </c>
      <c r="B304" s="133" t="s">
        <v>2443</v>
      </c>
      <c r="C304" s="133" t="s">
        <v>2444</v>
      </c>
      <c r="D304" s="132">
        <v>46075</v>
      </c>
      <c r="E304" s="133">
        <v>0</v>
      </c>
      <c r="F304" s="133">
        <v>1420</v>
      </c>
      <c r="G304" s="133">
        <v>12142.82</v>
      </c>
      <c r="H304" s="133"/>
      <c r="I304" s="133"/>
      <c r="J304" s="133" t="s">
        <v>1658</v>
      </c>
      <c r="K304" s="133" t="s">
        <v>1658</v>
      </c>
      <c r="L304" s="40">
        <v>0.7</v>
      </c>
      <c r="M304" s="133" t="s">
        <v>46</v>
      </c>
    </row>
    <row r="305" spans="1:13" x14ac:dyDescent="0.3">
      <c r="A305" s="27">
        <v>46079.325543981482</v>
      </c>
      <c r="B305" s="28" t="s">
        <v>2445</v>
      </c>
      <c r="C305" s="28" t="s">
        <v>2446</v>
      </c>
      <c r="D305" s="27">
        <v>46079</v>
      </c>
      <c r="E305" s="28">
        <v>0</v>
      </c>
      <c r="F305" s="28">
        <v>1000</v>
      </c>
      <c r="G305" s="28">
        <v>13142.82</v>
      </c>
      <c r="H305" s="28"/>
      <c r="I305" s="28"/>
      <c r="J305" s="28" t="s">
        <v>30</v>
      </c>
      <c r="K305" s="28" t="s">
        <v>837</v>
      </c>
      <c r="L305" s="24">
        <v>0.95</v>
      </c>
      <c r="M305" s="28" t="s">
        <v>46</v>
      </c>
    </row>
    <row r="306" spans="1:13" x14ac:dyDescent="0.3">
      <c r="A306" s="146">
        <v>46080.642534722218</v>
      </c>
      <c r="B306" s="147" t="s">
        <v>2447</v>
      </c>
      <c r="C306" s="147" t="s">
        <v>2448</v>
      </c>
      <c r="D306" s="146">
        <v>46080</v>
      </c>
      <c r="E306" s="147">
        <v>0</v>
      </c>
      <c r="F306" s="147">
        <v>78.61</v>
      </c>
      <c r="G306" s="147">
        <v>13221.43</v>
      </c>
      <c r="H306" s="147"/>
      <c r="I306" s="147"/>
      <c r="J306" s="147" t="s">
        <v>1678</v>
      </c>
      <c r="K306" s="147" t="s">
        <v>1658</v>
      </c>
      <c r="L306" s="24">
        <v>0.88</v>
      </c>
      <c r="M306" s="147" t="s">
        <v>46</v>
      </c>
    </row>
    <row r="307" spans="1:13" x14ac:dyDescent="0.3">
      <c r="A307" s="22">
        <v>46081.312418981477</v>
      </c>
      <c r="B307" s="23" t="s">
        <v>2449</v>
      </c>
      <c r="C307" s="23" t="s">
        <v>2450</v>
      </c>
      <c r="D307" s="22">
        <v>46081</v>
      </c>
      <c r="E307" s="23">
        <v>8050</v>
      </c>
      <c r="F307" s="23">
        <v>0</v>
      </c>
      <c r="G307" s="23">
        <v>5171.43</v>
      </c>
      <c r="H307" s="23"/>
      <c r="I307" s="23"/>
      <c r="J307" s="23" t="s">
        <v>2</v>
      </c>
      <c r="K307" s="23" t="s">
        <v>2</v>
      </c>
      <c r="L307" s="24">
        <v>0.96</v>
      </c>
      <c r="M307" s="23" t="s">
        <v>46</v>
      </c>
    </row>
    <row r="308" spans="1:13" x14ac:dyDescent="0.3">
      <c r="A308" s="37">
        <v>46081.91951388889</v>
      </c>
      <c r="B308" s="38" t="s">
        <v>2451</v>
      </c>
      <c r="C308" s="38" t="s">
        <v>2452</v>
      </c>
      <c r="D308" s="37">
        <v>46081</v>
      </c>
      <c r="E308" s="38">
        <v>0</v>
      </c>
      <c r="F308" s="38">
        <v>648.65</v>
      </c>
      <c r="G308" s="38">
        <v>5820.08</v>
      </c>
      <c r="H308" s="38"/>
      <c r="I308" s="38"/>
      <c r="J308" s="38" t="s">
        <v>1809</v>
      </c>
      <c r="K308" s="38" t="s">
        <v>91</v>
      </c>
      <c r="L308" s="40">
        <v>0.72</v>
      </c>
      <c r="M308" s="38" t="s">
        <v>46</v>
      </c>
    </row>
    <row r="309" spans="1:13" x14ac:dyDescent="0.3">
      <c r="A309" s="27">
        <v>46082.847361111111</v>
      </c>
      <c r="B309" s="28" t="s">
        <v>2453</v>
      </c>
      <c r="C309" s="28" t="s">
        <v>2454</v>
      </c>
      <c r="D309" s="27">
        <v>46082</v>
      </c>
      <c r="E309" s="28">
        <v>0</v>
      </c>
      <c r="F309" s="28">
        <v>5000</v>
      </c>
      <c r="G309" s="28">
        <v>10820.08</v>
      </c>
      <c r="H309" s="28"/>
      <c r="I309" s="28"/>
      <c r="J309" s="28" t="s">
        <v>1656</v>
      </c>
      <c r="K309" s="28" t="s">
        <v>1680</v>
      </c>
      <c r="L309" s="24">
        <v>0.95</v>
      </c>
      <c r="M309" s="28" t="s">
        <v>46</v>
      </c>
    </row>
    <row r="310" spans="1:13" x14ac:dyDescent="0.3">
      <c r="A310" s="22">
        <v>46084.310810185183</v>
      </c>
      <c r="B310" s="23" t="s">
        <v>2455</v>
      </c>
      <c r="C310" s="23" t="s">
        <v>2456</v>
      </c>
      <c r="D310" s="22">
        <v>46084</v>
      </c>
      <c r="E310" s="23">
        <v>9257</v>
      </c>
      <c r="F310" s="23">
        <v>0</v>
      </c>
      <c r="G310" s="23">
        <v>1563.08</v>
      </c>
      <c r="H310" s="23"/>
      <c r="I310" s="23"/>
      <c r="J310" s="23" t="s">
        <v>2</v>
      </c>
      <c r="K310" s="23" t="s">
        <v>2</v>
      </c>
      <c r="L310" s="24">
        <v>0.96</v>
      </c>
      <c r="M310" s="23" t="s">
        <v>46</v>
      </c>
    </row>
    <row r="311" spans="1:13" x14ac:dyDescent="0.3">
      <c r="A311" s="22">
        <v>46084.33834490741</v>
      </c>
      <c r="B311" s="23" t="s">
        <v>2457</v>
      </c>
      <c r="C311" s="23" t="s">
        <v>2458</v>
      </c>
      <c r="D311" s="22">
        <v>46084</v>
      </c>
      <c r="E311" s="23">
        <v>500</v>
      </c>
      <c r="F311" s="23">
        <v>0</v>
      </c>
      <c r="G311" s="23">
        <v>1063.08</v>
      </c>
      <c r="H311" s="23"/>
      <c r="I311" s="23"/>
      <c r="J311" s="23" t="s">
        <v>1659</v>
      </c>
      <c r="K311" s="23" t="s">
        <v>1701</v>
      </c>
      <c r="L311" s="24">
        <v>0.9</v>
      </c>
      <c r="M311" s="23" t="s">
        <v>46</v>
      </c>
    </row>
    <row r="312" spans="1:13" x14ac:dyDescent="0.3">
      <c r="A312" s="33">
        <v>46085.029398148137</v>
      </c>
      <c r="B312" s="34" t="s">
        <v>2459</v>
      </c>
      <c r="C312" s="34"/>
      <c r="D312" s="33">
        <v>46085</v>
      </c>
      <c r="E312" s="34">
        <v>590</v>
      </c>
      <c r="F312" s="34">
        <v>0</v>
      </c>
      <c r="G312" s="34">
        <v>473.08</v>
      </c>
      <c r="H312" s="34"/>
      <c r="I312" s="34"/>
      <c r="J312" s="34" t="s">
        <v>7</v>
      </c>
      <c r="K312" s="34" t="s">
        <v>7</v>
      </c>
      <c r="L312" s="24">
        <v>0.88</v>
      </c>
      <c r="M312" s="34" t="s">
        <v>46</v>
      </c>
    </row>
    <row r="313" spans="1:13" x14ac:dyDescent="0.3">
      <c r="A313" s="27">
        <v>46090.546215277784</v>
      </c>
      <c r="B313" s="28" t="s">
        <v>2460</v>
      </c>
      <c r="C313" s="28" t="s">
        <v>2461</v>
      </c>
      <c r="D313" s="27">
        <v>46090</v>
      </c>
      <c r="E313" s="28">
        <v>0</v>
      </c>
      <c r="F313" s="28">
        <v>10000</v>
      </c>
      <c r="G313" s="28">
        <v>10473.08</v>
      </c>
      <c r="H313" s="28"/>
      <c r="I313" s="28"/>
      <c r="J313" s="28" t="s">
        <v>1656</v>
      </c>
      <c r="K313" s="28" t="s">
        <v>1680</v>
      </c>
      <c r="L313" s="24">
        <v>0.95</v>
      </c>
      <c r="M313" s="28" t="s">
        <v>46</v>
      </c>
    </row>
    <row r="314" spans="1:13" x14ac:dyDescent="0.3">
      <c r="A314" s="22">
        <v>46090.547152777777</v>
      </c>
      <c r="B314" s="23" t="s">
        <v>2462</v>
      </c>
      <c r="C314" s="23" t="s">
        <v>2463</v>
      </c>
      <c r="D314" s="22">
        <v>46090</v>
      </c>
      <c r="E314" s="23">
        <v>7000</v>
      </c>
      <c r="F314" s="23">
        <v>0</v>
      </c>
      <c r="G314" s="23">
        <v>3473.08</v>
      </c>
      <c r="H314" s="23"/>
      <c r="I314" s="23"/>
      <c r="J314" s="23" t="s">
        <v>1667</v>
      </c>
      <c r="K314" s="23" t="s">
        <v>1735</v>
      </c>
      <c r="L314" s="24">
        <v>0.92</v>
      </c>
      <c r="M314" s="23" t="s">
        <v>46</v>
      </c>
    </row>
    <row r="315" spans="1:13" x14ac:dyDescent="0.3">
      <c r="A315" s="27">
        <v>46112.857731481483</v>
      </c>
      <c r="B315" s="28" t="s">
        <v>2464</v>
      </c>
      <c r="C315" s="28" t="s">
        <v>2465</v>
      </c>
      <c r="D315" s="27">
        <v>46112</v>
      </c>
      <c r="E315" s="28">
        <v>0</v>
      </c>
      <c r="F315" s="28">
        <v>5000</v>
      </c>
      <c r="G315" s="28">
        <v>8473.08</v>
      </c>
      <c r="H315" s="28"/>
      <c r="I315" s="28"/>
      <c r="J315" s="28" t="s">
        <v>30</v>
      </c>
      <c r="K315" s="28" t="s">
        <v>837</v>
      </c>
      <c r="L315" s="24">
        <v>0.95</v>
      </c>
      <c r="M315" s="28" t="s">
        <v>46</v>
      </c>
    </row>
    <row r="316" spans="1:13" x14ac:dyDescent="0.3">
      <c r="A316" s="55">
        <v>46113.171793981477</v>
      </c>
      <c r="B316" s="56" t="s">
        <v>2466</v>
      </c>
      <c r="C316" s="56"/>
      <c r="D316" s="55">
        <v>46112</v>
      </c>
      <c r="E316" s="56">
        <v>0</v>
      </c>
      <c r="F316" s="56">
        <v>65</v>
      </c>
      <c r="G316" s="56">
        <v>8538.08</v>
      </c>
      <c r="H316" s="56"/>
      <c r="I316" s="56"/>
      <c r="J316" s="56" t="s">
        <v>22</v>
      </c>
      <c r="K316" s="56" t="s">
        <v>22</v>
      </c>
      <c r="L316" s="24">
        <v>0.95</v>
      </c>
      <c r="M316" s="56" t="s">
        <v>46</v>
      </c>
    </row>
  </sheetData>
  <autoFilter ref="A14:M316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14" hidden="1" customWidth="1"/>
    <col min="2" max="2" width="60" customWidth="1"/>
    <col min="3" max="3" width="7" hidden="1" customWidth="1"/>
    <col min="4" max="4" width="14" hidden="1" customWidth="1"/>
    <col min="5" max="5" width="11" customWidth="1"/>
    <col min="6" max="6" width="12" customWidth="1"/>
    <col min="7" max="7" width="12" hidden="1" customWidth="1"/>
    <col min="8" max="8" width="15" hidden="1" customWidth="1"/>
    <col min="9" max="9" width="19" hidden="1" customWidth="1"/>
    <col min="10" max="10" width="35" customWidth="1"/>
    <col min="11" max="11" width="27" customWidth="1"/>
    <col min="12" max="12" width="14" customWidth="1"/>
    <col min="13" max="13" width="9" customWidth="1"/>
  </cols>
  <sheetData>
    <row r="1" spans="1:13" ht="15.6" x14ac:dyDescent="0.3">
      <c r="B1" s="1" t="s">
        <v>1655</v>
      </c>
    </row>
    <row r="2" spans="1:13" x14ac:dyDescent="0.3">
      <c r="B2" s="2" t="s">
        <v>1</v>
      </c>
    </row>
    <row r="3" spans="1:13" x14ac:dyDescent="0.3">
      <c r="B3" s="5" t="s">
        <v>1656</v>
      </c>
      <c r="C3" s="67" t="s">
        <v>990</v>
      </c>
      <c r="D3" s="65" t="s">
        <v>976</v>
      </c>
      <c r="E3" s="66" t="s">
        <v>978</v>
      </c>
      <c r="F3" s="121" t="s">
        <v>1657</v>
      </c>
    </row>
    <row r="4" spans="1:13" x14ac:dyDescent="0.3">
      <c r="B4" s="69" t="s">
        <v>983</v>
      </c>
      <c r="C4" s="64" t="s">
        <v>975</v>
      </c>
      <c r="D4" s="122" t="s">
        <v>1658</v>
      </c>
      <c r="E4" s="3" t="s">
        <v>1659</v>
      </c>
      <c r="F4" s="63" t="s">
        <v>974</v>
      </c>
    </row>
    <row r="5" spans="1:13" x14ac:dyDescent="0.3">
      <c r="B5" s="66" t="s">
        <v>977</v>
      </c>
      <c r="C5" s="62" t="s">
        <v>973</v>
      </c>
      <c r="D5" s="3" t="s">
        <v>980</v>
      </c>
      <c r="E5" s="10" t="s">
        <v>1660</v>
      </c>
      <c r="F5" s="18" t="s">
        <v>22</v>
      </c>
    </row>
    <row r="6" spans="1:13" x14ac:dyDescent="0.3">
      <c r="B6" s="123" t="s">
        <v>1661</v>
      </c>
      <c r="C6" s="124" t="s">
        <v>1662</v>
      </c>
      <c r="D6" s="10" t="s">
        <v>1663</v>
      </c>
      <c r="E6" s="10" t="s">
        <v>1664</v>
      </c>
      <c r="F6" s="14" t="s">
        <v>24</v>
      </c>
    </row>
    <row r="7" spans="1:13" x14ac:dyDescent="0.3">
      <c r="B7" s="13" t="s">
        <v>15</v>
      </c>
      <c r="C7" s="14" t="s">
        <v>16</v>
      </c>
      <c r="D7" s="10" t="s">
        <v>1665</v>
      </c>
      <c r="E7" s="125" t="s">
        <v>1666</v>
      </c>
      <c r="F7" s="3" t="s">
        <v>1667</v>
      </c>
    </row>
    <row r="8" spans="1:13" x14ac:dyDescent="0.3">
      <c r="B8" s="16" t="s">
        <v>20</v>
      </c>
      <c r="C8" s="16" t="s">
        <v>18</v>
      </c>
      <c r="D8" s="10" t="s">
        <v>1668</v>
      </c>
      <c r="E8" s="126" t="s">
        <v>1669</v>
      </c>
      <c r="F8" s="10" t="s">
        <v>1670</v>
      </c>
    </row>
    <row r="9" spans="1:13" x14ac:dyDescent="0.3">
      <c r="B9" s="127" t="s">
        <v>1671</v>
      </c>
      <c r="C9" s="5" t="s">
        <v>1672</v>
      </c>
      <c r="D9" s="10" t="s">
        <v>1673</v>
      </c>
      <c r="E9" s="10" t="s">
        <v>1674</v>
      </c>
      <c r="F9" s="128" t="s">
        <v>1675</v>
      </c>
    </row>
    <row r="10" spans="1:13" x14ac:dyDescent="0.3">
      <c r="B10" s="10" t="s">
        <v>1676</v>
      </c>
      <c r="C10" s="129" t="s">
        <v>1677</v>
      </c>
      <c r="D10" s="128" t="s">
        <v>1678</v>
      </c>
    </row>
    <row r="12" spans="1:13" x14ac:dyDescent="0.3">
      <c r="A12" s="21" t="s">
        <v>31</v>
      </c>
      <c r="B12" s="21" t="s">
        <v>32</v>
      </c>
      <c r="C12" s="21" t="s">
        <v>33</v>
      </c>
      <c r="D12" s="21" t="s">
        <v>34</v>
      </c>
      <c r="E12" s="21" t="s">
        <v>35</v>
      </c>
      <c r="F12" s="21" t="s">
        <v>36</v>
      </c>
      <c r="G12" s="21" t="s">
        <v>37</v>
      </c>
      <c r="H12" s="21" t="s">
        <v>38</v>
      </c>
      <c r="I12" s="21" t="s">
        <v>39</v>
      </c>
      <c r="J12" s="21" t="s">
        <v>40</v>
      </c>
      <c r="K12" s="21" t="s">
        <v>41</v>
      </c>
      <c r="L12" s="21" t="s">
        <v>42</v>
      </c>
      <c r="M12" s="21" t="s">
        <v>43</v>
      </c>
    </row>
    <row r="13" spans="1:13" x14ac:dyDescent="0.3">
      <c r="A13" s="27">
        <v>45749</v>
      </c>
      <c r="B13" s="28" t="s">
        <v>1679</v>
      </c>
      <c r="C13" s="28"/>
      <c r="D13" s="27">
        <v>45749</v>
      </c>
      <c r="E13" s="28">
        <v>0</v>
      </c>
      <c r="F13" s="28">
        <v>1</v>
      </c>
      <c r="G13" s="28">
        <v>10987.03</v>
      </c>
      <c r="H13" s="28"/>
      <c r="I13" s="28"/>
      <c r="J13" s="28" t="s">
        <v>1656</v>
      </c>
      <c r="K13" s="28" t="s">
        <v>1680</v>
      </c>
      <c r="L13" s="24">
        <v>0.9</v>
      </c>
      <c r="M13" s="28" t="s">
        <v>46</v>
      </c>
    </row>
    <row r="14" spans="1:13" x14ac:dyDescent="0.3">
      <c r="A14" s="27">
        <v>45749</v>
      </c>
      <c r="B14" s="28" t="s">
        <v>1681</v>
      </c>
      <c r="C14" s="28"/>
      <c r="D14" s="27">
        <v>45749</v>
      </c>
      <c r="E14" s="28">
        <v>0</v>
      </c>
      <c r="F14" s="28">
        <v>40000</v>
      </c>
      <c r="G14" s="28">
        <v>50987.03</v>
      </c>
      <c r="H14" s="28"/>
      <c r="I14" s="28"/>
      <c r="J14" s="28" t="s">
        <v>1656</v>
      </c>
      <c r="K14" s="28" t="s">
        <v>1680</v>
      </c>
      <c r="L14" s="24">
        <v>0.9</v>
      </c>
      <c r="M14" s="28" t="s">
        <v>46</v>
      </c>
    </row>
    <row r="15" spans="1:13" x14ac:dyDescent="0.3">
      <c r="A15" s="95">
        <v>45749</v>
      </c>
      <c r="B15" s="96" t="s">
        <v>1682</v>
      </c>
      <c r="C15" s="96"/>
      <c r="D15" s="95">
        <v>45749</v>
      </c>
      <c r="E15" s="96">
        <v>23000</v>
      </c>
      <c r="F15" s="96">
        <v>0</v>
      </c>
      <c r="G15" s="96">
        <v>27987.03</v>
      </c>
      <c r="H15" s="96"/>
      <c r="I15" s="96"/>
      <c r="J15" s="96" t="s">
        <v>990</v>
      </c>
      <c r="K15" s="96" t="s">
        <v>990</v>
      </c>
      <c r="L15" s="24">
        <v>0.9</v>
      </c>
      <c r="M15" s="96" t="s">
        <v>46</v>
      </c>
    </row>
    <row r="16" spans="1:13" x14ac:dyDescent="0.3">
      <c r="A16" s="27">
        <v>45749</v>
      </c>
      <c r="B16" s="28" t="s">
        <v>1683</v>
      </c>
      <c r="C16" s="28"/>
      <c r="D16" s="27">
        <v>45749</v>
      </c>
      <c r="E16" s="28">
        <v>0</v>
      </c>
      <c r="F16" s="28">
        <v>1</v>
      </c>
      <c r="G16" s="28">
        <v>27988.03</v>
      </c>
      <c r="H16" s="28"/>
      <c r="I16" s="28"/>
      <c r="J16" s="28" t="s">
        <v>1656</v>
      </c>
      <c r="K16" s="28" t="s">
        <v>1680</v>
      </c>
      <c r="L16" s="24">
        <v>0.9</v>
      </c>
      <c r="M16" s="28" t="s">
        <v>46</v>
      </c>
    </row>
    <row r="17" spans="1:13" x14ac:dyDescent="0.3">
      <c r="A17" s="101">
        <v>45749</v>
      </c>
      <c r="B17" s="102" t="s">
        <v>1684</v>
      </c>
      <c r="C17" s="102"/>
      <c r="D17" s="101">
        <v>45749</v>
      </c>
      <c r="E17" s="102">
        <v>3000</v>
      </c>
      <c r="F17" s="102">
        <v>0</v>
      </c>
      <c r="G17" s="102">
        <v>24988.03</v>
      </c>
      <c r="H17" s="102"/>
      <c r="I17" s="102"/>
      <c r="J17" s="102" t="s">
        <v>976</v>
      </c>
      <c r="K17" s="102" t="s">
        <v>1028</v>
      </c>
      <c r="L17" s="24">
        <v>0.85</v>
      </c>
      <c r="M17" s="102" t="s">
        <v>46</v>
      </c>
    </row>
    <row r="18" spans="1:13" x14ac:dyDescent="0.3">
      <c r="A18" s="97">
        <v>45749</v>
      </c>
      <c r="B18" s="98" t="s">
        <v>1685</v>
      </c>
      <c r="C18" s="98"/>
      <c r="D18" s="97">
        <v>45749</v>
      </c>
      <c r="E18" s="98">
        <v>2000</v>
      </c>
      <c r="F18" s="98">
        <v>0</v>
      </c>
      <c r="G18" s="98">
        <v>22988.03</v>
      </c>
      <c r="H18" s="98"/>
      <c r="I18" s="98"/>
      <c r="J18" s="98" t="s">
        <v>978</v>
      </c>
      <c r="K18" s="98" t="s">
        <v>1031</v>
      </c>
      <c r="L18" s="24">
        <v>0.85</v>
      </c>
      <c r="M18" s="98" t="s">
        <v>46</v>
      </c>
    </row>
    <row r="19" spans="1:13" x14ac:dyDescent="0.3">
      <c r="A19" s="101">
        <v>45749</v>
      </c>
      <c r="B19" s="102" t="s">
        <v>1686</v>
      </c>
      <c r="C19" s="102"/>
      <c r="D19" s="101">
        <v>45749</v>
      </c>
      <c r="E19" s="102">
        <v>2000</v>
      </c>
      <c r="F19" s="102">
        <v>0</v>
      </c>
      <c r="G19" s="102">
        <v>20988.03</v>
      </c>
      <c r="H19" s="102"/>
      <c r="I19" s="102"/>
      <c r="J19" s="102" t="s">
        <v>976</v>
      </c>
      <c r="K19" s="102" t="s">
        <v>1028</v>
      </c>
      <c r="L19" s="24">
        <v>0.85</v>
      </c>
      <c r="M19" s="102" t="s">
        <v>46</v>
      </c>
    </row>
    <row r="20" spans="1:13" x14ac:dyDescent="0.3">
      <c r="A20" s="101">
        <v>45749</v>
      </c>
      <c r="B20" s="102" t="s">
        <v>1687</v>
      </c>
      <c r="C20" s="102"/>
      <c r="D20" s="101">
        <v>45749</v>
      </c>
      <c r="E20" s="102">
        <v>2000</v>
      </c>
      <c r="F20" s="102">
        <v>0</v>
      </c>
      <c r="G20" s="102">
        <v>18988.03</v>
      </c>
      <c r="H20" s="102"/>
      <c r="I20" s="102"/>
      <c r="J20" s="102" t="s">
        <v>976</v>
      </c>
      <c r="K20" s="102" t="s">
        <v>1028</v>
      </c>
      <c r="L20" s="24">
        <v>0.85</v>
      </c>
      <c r="M20" s="102" t="s">
        <v>46</v>
      </c>
    </row>
    <row r="21" spans="1:13" x14ac:dyDescent="0.3">
      <c r="A21" s="101">
        <v>45750</v>
      </c>
      <c r="B21" s="102" t="s">
        <v>1688</v>
      </c>
      <c r="C21" s="102"/>
      <c r="D21" s="101">
        <v>45750</v>
      </c>
      <c r="E21" s="102">
        <v>2000</v>
      </c>
      <c r="F21" s="102">
        <v>0</v>
      </c>
      <c r="G21" s="102">
        <v>16988.03</v>
      </c>
      <c r="H21" s="102"/>
      <c r="I21" s="102"/>
      <c r="J21" s="102" t="s">
        <v>976</v>
      </c>
      <c r="K21" s="102" t="s">
        <v>1028</v>
      </c>
      <c r="L21" s="24">
        <v>0.85</v>
      </c>
      <c r="M21" s="102" t="s">
        <v>46</v>
      </c>
    </row>
    <row r="22" spans="1:13" x14ac:dyDescent="0.3">
      <c r="A22" s="101">
        <v>45750</v>
      </c>
      <c r="B22" s="102" t="s">
        <v>1689</v>
      </c>
      <c r="C22" s="102"/>
      <c r="D22" s="101">
        <v>45750</v>
      </c>
      <c r="E22" s="102">
        <v>2000</v>
      </c>
      <c r="F22" s="102">
        <v>0</v>
      </c>
      <c r="G22" s="102">
        <v>14988.03</v>
      </c>
      <c r="H22" s="102"/>
      <c r="I22" s="102"/>
      <c r="J22" s="102" t="s">
        <v>976</v>
      </c>
      <c r="K22" s="102" t="s">
        <v>1028</v>
      </c>
      <c r="L22" s="24">
        <v>0.85</v>
      </c>
      <c r="M22" s="102" t="s">
        <v>46</v>
      </c>
    </row>
    <row r="23" spans="1:13" x14ac:dyDescent="0.3">
      <c r="A23" s="101">
        <v>45750</v>
      </c>
      <c r="B23" s="102" t="s">
        <v>1690</v>
      </c>
      <c r="C23" s="102"/>
      <c r="D23" s="101">
        <v>45750</v>
      </c>
      <c r="E23" s="102">
        <v>2360.8200000000002</v>
      </c>
      <c r="F23" s="102">
        <v>0</v>
      </c>
      <c r="G23" s="102">
        <v>12627.21</v>
      </c>
      <c r="H23" s="102"/>
      <c r="I23" s="102"/>
      <c r="J23" s="102" t="s">
        <v>976</v>
      </c>
      <c r="K23" s="102" t="s">
        <v>1028</v>
      </c>
      <c r="L23" s="24">
        <v>0.85</v>
      </c>
      <c r="M23" s="102" t="s">
        <v>46</v>
      </c>
    </row>
    <row r="24" spans="1:13" x14ac:dyDescent="0.3">
      <c r="A24" s="130">
        <v>45751</v>
      </c>
      <c r="B24" s="131" t="s">
        <v>1691</v>
      </c>
      <c r="C24" s="131"/>
      <c r="D24" s="130">
        <v>45751</v>
      </c>
      <c r="E24" s="131">
        <v>210</v>
      </c>
      <c r="F24" s="131">
        <v>0</v>
      </c>
      <c r="G24" s="131">
        <v>12417.21</v>
      </c>
      <c r="H24" s="131"/>
      <c r="I24" s="131"/>
      <c r="J24" s="131" t="s">
        <v>1657</v>
      </c>
      <c r="K24" s="131" t="s">
        <v>91</v>
      </c>
      <c r="L24" s="40">
        <v>0.65</v>
      </c>
      <c r="M24" s="131" t="s">
        <v>46</v>
      </c>
    </row>
    <row r="25" spans="1:13" x14ac:dyDescent="0.3">
      <c r="A25" s="103">
        <v>45752</v>
      </c>
      <c r="B25" s="104" t="s">
        <v>1692</v>
      </c>
      <c r="C25" s="104"/>
      <c r="D25" s="103">
        <v>45752</v>
      </c>
      <c r="E25" s="104">
        <v>60</v>
      </c>
      <c r="F25" s="104">
        <v>0</v>
      </c>
      <c r="G25" s="104">
        <v>12357.21</v>
      </c>
      <c r="H25" s="104"/>
      <c r="I25" s="104"/>
      <c r="J25" s="104" t="s">
        <v>983</v>
      </c>
      <c r="K25" s="104" t="s">
        <v>131</v>
      </c>
      <c r="L25" s="40">
        <v>0.82</v>
      </c>
      <c r="M25" s="104" t="s">
        <v>46</v>
      </c>
    </row>
    <row r="26" spans="1:13" x14ac:dyDescent="0.3">
      <c r="A26" s="89">
        <v>45758</v>
      </c>
      <c r="B26" s="90" t="s">
        <v>1693</v>
      </c>
      <c r="C26" s="90"/>
      <c r="D26" s="89">
        <v>45758</v>
      </c>
      <c r="E26" s="90">
        <v>279</v>
      </c>
      <c r="F26" s="90">
        <v>0</v>
      </c>
      <c r="G26" s="90">
        <v>12078.21</v>
      </c>
      <c r="H26" s="90" t="s">
        <v>1694</v>
      </c>
      <c r="I26" s="90"/>
      <c r="J26" s="90" t="s">
        <v>975</v>
      </c>
      <c r="K26" s="90" t="s">
        <v>91</v>
      </c>
      <c r="L26" s="39">
        <v>0.55000000000000004</v>
      </c>
      <c r="M26" s="90" t="s">
        <v>46</v>
      </c>
    </row>
    <row r="27" spans="1:13" x14ac:dyDescent="0.3">
      <c r="A27" s="132">
        <v>45758</v>
      </c>
      <c r="B27" s="133" t="s">
        <v>1695</v>
      </c>
      <c r="C27" s="133"/>
      <c r="D27" s="132">
        <v>45758</v>
      </c>
      <c r="E27" s="133">
        <v>0</v>
      </c>
      <c r="F27" s="133">
        <v>279</v>
      </c>
      <c r="G27" s="133">
        <v>12357.21</v>
      </c>
      <c r="H27" s="133"/>
      <c r="I27" s="133"/>
      <c r="J27" s="133" t="s">
        <v>1658</v>
      </c>
      <c r="K27" s="133" t="s">
        <v>1658</v>
      </c>
      <c r="L27" s="40">
        <v>0.7</v>
      </c>
      <c r="M27" s="133" t="s">
        <v>46</v>
      </c>
    </row>
    <row r="28" spans="1:13" x14ac:dyDescent="0.3">
      <c r="A28" s="97">
        <v>45758</v>
      </c>
      <c r="B28" s="98" t="s">
        <v>1696</v>
      </c>
      <c r="C28" s="98"/>
      <c r="D28" s="97">
        <v>45758</v>
      </c>
      <c r="E28" s="98">
        <v>10</v>
      </c>
      <c r="F28" s="98">
        <v>0</v>
      </c>
      <c r="G28" s="98">
        <v>12347.21</v>
      </c>
      <c r="H28" s="98"/>
      <c r="I28" s="98"/>
      <c r="J28" s="98" t="s">
        <v>978</v>
      </c>
      <c r="K28" s="98" t="s">
        <v>1031</v>
      </c>
      <c r="L28" s="24">
        <v>0.85</v>
      </c>
      <c r="M28" s="98" t="s">
        <v>46</v>
      </c>
    </row>
    <row r="29" spans="1:13" x14ac:dyDescent="0.3">
      <c r="A29" s="89">
        <v>45762</v>
      </c>
      <c r="B29" s="90" t="s">
        <v>1697</v>
      </c>
      <c r="C29" s="90"/>
      <c r="D29" s="89">
        <v>45762</v>
      </c>
      <c r="E29" s="90">
        <v>40</v>
      </c>
      <c r="F29" s="90">
        <v>0</v>
      </c>
      <c r="G29" s="90">
        <v>12307.21</v>
      </c>
      <c r="H29" s="90" t="s">
        <v>1698</v>
      </c>
      <c r="I29" s="90"/>
      <c r="J29" s="90" t="s">
        <v>975</v>
      </c>
      <c r="K29" s="90" t="s">
        <v>91</v>
      </c>
      <c r="L29" s="39">
        <v>0.55000000000000004</v>
      </c>
      <c r="M29" s="90" t="s">
        <v>46</v>
      </c>
    </row>
    <row r="30" spans="1:13" x14ac:dyDescent="0.3">
      <c r="A30" s="27">
        <v>45763</v>
      </c>
      <c r="B30" s="28" t="s">
        <v>1699</v>
      </c>
      <c r="C30" s="28"/>
      <c r="D30" s="27">
        <v>45763</v>
      </c>
      <c r="E30" s="28">
        <v>0</v>
      </c>
      <c r="F30" s="28">
        <v>25000</v>
      </c>
      <c r="G30" s="28">
        <v>37307.21</v>
      </c>
      <c r="H30" s="28"/>
      <c r="I30" s="28"/>
      <c r="J30" s="28" t="s">
        <v>1656</v>
      </c>
      <c r="K30" s="28" t="s">
        <v>1680</v>
      </c>
      <c r="L30" s="24">
        <v>0.9</v>
      </c>
      <c r="M30" s="28" t="s">
        <v>46</v>
      </c>
    </row>
    <row r="31" spans="1:13" x14ac:dyDescent="0.3">
      <c r="A31" s="22">
        <v>45763</v>
      </c>
      <c r="B31" s="23" t="s">
        <v>1700</v>
      </c>
      <c r="C31" s="23"/>
      <c r="D31" s="22">
        <v>45763</v>
      </c>
      <c r="E31" s="23">
        <v>25000</v>
      </c>
      <c r="F31" s="23">
        <v>0</v>
      </c>
      <c r="G31" s="23">
        <v>12307.21</v>
      </c>
      <c r="H31" s="23"/>
      <c r="I31" s="23"/>
      <c r="J31" s="23" t="s">
        <v>1659</v>
      </c>
      <c r="K31" s="23" t="s">
        <v>1701</v>
      </c>
      <c r="L31" s="24">
        <v>0.9</v>
      </c>
      <c r="M31" s="23" t="s">
        <v>46</v>
      </c>
    </row>
    <row r="32" spans="1:13" x14ac:dyDescent="0.3">
      <c r="A32" s="85">
        <v>45773</v>
      </c>
      <c r="B32" s="86" t="s">
        <v>1702</v>
      </c>
      <c r="C32" s="86"/>
      <c r="D32" s="85">
        <v>45773</v>
      </c>
      <c r="E32" s="86">
        <v>0</v>
      </c>
      <c r="F32" s="86">
        <v>5000</v>
      </c>
      <c r="G32" s="86">
        <v>17307.21</v>
      </c>
      <c r="H32" s="86"/>
      <c r="I32" s="86"/>
      <c r="J32" s="86" t="s">
        <v>974</v>
      </c>
      <c r="K32" s="86" t="s">
        <v>1019</v>
      </c>
      <c r="L32" s="24">
        <v>0.9</v>
      </c>
      <c r="M32" s="86" t="s">
        <v>46</v>
      </c>
    </row>
    <row r="33" spans="1:13" x14ac:dyDescent="0.3">
      <c r="A33" s="134">
        <v>45773</v>
      </c>
      <c r="B33" s="135" t="s">
        <v>1703</v>
      </c>
      <c r="C33" s="135"/>
      <c r="D33" s="134">
        <v>45773</v>
      </c>
      <c r="E33" s="135">
        <v>5100</v>
      </c>
      <c r="F33" s="135">
        <v>0</v>
      </c>
      <c r="G33" s="135">
        <v>12207.21</v>
      </c>
      <c r="H33" s="135"/>
      <c r="I33" s="135"/>
      <c r="J33" s="135" t="s">
        <v>1704</v>
      </c>
      <c r="K33" s="135" t="s">
        <v>1705</v>
      </c>
      <c r="L33" s="24">
        <v>0.9</v>
      </c>
      <c r="M33" s="135" t="s">
        <v>46</v>
      </c>
    </row>
    <row r="34" spans="1:13" x14ac:dyDescent="0.3">
      <c r="A34" s="27">
        <v>45779</v>
      </c>
      <c r="B34" s="28" t="s">
        <v>1706</v>
      </c>
      <c r="C34" s="28"/>
      <c r="D34" s="27">
        <v>45779</v>
      </c>
      <c r="E34" s="28">
        <v>0</v>
      </c>
      <c r="F34" s="28">
        <v>1</v>
      </c>
      <c r="G34" s="28">
        <v>12208.21</v>
      </c>
      <c r="H34" s="28"/>
      <c r="I34" s="28"/>
      <c r="J34" s="28" t="s">
        <v>1656</v>
      </c>
      <c r="K34" s="28" t="s">
        <v>1680</v>
      </c>
      <c r="L34" s="24">
        <v>0.9</v>
      </c>
      <c r="M34" s="28" t="s">
        <v>46</v>
      </c>
    </row>
    <row r="35" spans="1:13" x14ac:dyDescent="0.3">
      <c r="A35" s="89">
        <v>45781</v>
      </c>
      <c r="B35" s="90" t="s">
        <v>1707</v>
      </c>
      <c r="C35" s="90"/>
      <c r="D35" s="89">
        <v>45781</v>
      </c>
      <c r="E35" s="90">
        <v>60</v>
      </c>
      <c r="F35" s="90">
        <v>0</v>
      </c>
      <c r="G35" s="90">
        <v>12148.21</v>
      </c>
      <c r="H35" s="90" t="s">
        <v>1708</v>
      </c>
      <c r="I35" s="90"/>
      <c r="J35" s="90" t="s">
        <v>975</v>
      </c>
      <c r="K35" s="90" t="s">
        <v>91</v>
      </c>
      <c r="L35" s="39">
        <v>0.55000000000000004</v>
      </c>
      <c r="M35" s="90" t="s">
        <v>46</v>
      </c>
    </row>
    <row r="36" spans="1:13" x14ac:dyDescent="0.3">
      <c r="A36" s="89">
        <v>45781</v>
      </c>
      <c r="B36" s="90" t="s">
        <v>1709</v>
      </c>
      <c r="C36" s="90"/>
      <c r="D36" s="89">
        <v>45781</v>
      </c>
      <c r="E36" s="90">
        <v>114</v>
      </c>
      <c r="F36" s="90">
        <v>0</v>
      </c>
      <c r="G36" s="90">
        <v>12034.21</v>
      </c>
      <c r="H36" s="90" t="s">
        <v>1710</v>
      </c>
      <c r="I36" s="90"/>
      <c r="J36" s="90" t="s">
        <v>975</v>
      </c>
      <c r="K36" s="90" t="s">
        <v>91</v>
      </c>
      <c r="L36" s="39">
        <v>0.55000000000000004</v>
      </c>
      <c r="M36" s="90" t="s">
        <v>46</v>
      </c>
    </row>
    <row r="37" spans="1:13" x14ac:dyDescent="0.3">
      <c r="A37" s="97">
        <v>45785</v>
      </c>
      <c r="B37" s="98" t="s">
        <v>1711</v>
      </c>
      <c r="C37" s="98"/>
      <c r="D37" s="97">
        <v>45785</v>
      </c>
      <c r="E37" s="98">
        <v>0</v>
      </c>
      <c r="F37" s="98">
        <v>10</v>
      </c>
      <c r="G37" s="98">
        <v>12044.21</v>
      </c>
      <c r="H37" s="98"/>
      <c r="I37" s="98"/>
      <c r="J37" s="98" t="s">
        <v>977</v>
      </c>
      <c r="K37" s="98" t="s">
        <v>1031</v>
      </c>
      <c r="L37" s="24">
        <v>0.85</v>
      </c>
      <c r="M37" s="98" t="s">
        <v>46</v>
      </c>
    </row>
    <row r="38" spans="1:13" x14ac:dyDescent="0.3">
      <c r="A38" s="97">
        <v>45806</v>
      </c>
      <c r="B38" s="98" t="s">
        <v>1712</v>
      </c>
      <c r="C38" s="98"/>
      <c r="D38" s="97">
        <v>45806</v>
      </c>
      <c r="E38" s="98">
        <v>0</v>
      </c>
      <c r="F38" s="98">
        <v>1001</v>
      </c>
      <c r="G38" s="98">
        <v>13045.21</v>
      </c>
      <c r="H38" s="98"/>
      <c r="I38" s="98"/>
      <c r="J38" s="98" t="s">
        <v>977</v>
      </c>
      <c r="K38" s="98" t="s">
        <v>1031</v>
      </c>
      <c r="L38" s="24">
        <v>0.85</v>
      </c>
      <c r="M38" s="98" t="s">
        <v>46</v>
      </c>
    </row>
    <row r="39" spans="1:13" x14ac:dyDescent="0.3">
      <c r="A39" s="97">
        <v>45806</v>
      </c>
      <c r="B39" s="98" t="s">
        <v>1713</v>
      </c>
      <c r="C39" s="98"/>
      <c r="D39" s="97">
        <v>45806</v>
      </c>
      <c r="E39" s="98">
        <v>1001</v>
      </c>
      <c r="F39" s="98">
        <v>0</v>
      </c>
      <c r="G39" s="98">
        <v>12044.21</v>
      </c>
      <c r="H39" s="98"/>
      <c r="I39" s="98"/>
      <c r="J39" s="98" t="s">
        <v>978</v>
      </c>
      <c r="K39" s="98" t="s">
        <v>1031</v>
      </c>
      <c r="L39" s="24">
        <v>0.85</v>
      </c>
      <c r="M39" s="98" t="s">
        <v>46</v>
      </c>
    </row>
    <row r="40" spans="1:13" x14ac:dyDescent="0.3">
      <c r="A40" s="83">
        <v>45807</v>
      </c>
      <c r="B40" s="84" t="s">
        <v>1714</v>
      </c>
      <c r="C40" s="84"/>
      <c r="D40" s="83">
        <v>45807</v>
      </c>
      <c r="E40" s="84">
        <v>437.25</v>
      </c>
      <c r="F40" s="84">
        <v>0</v>
      </c>
      <c r="G40" s="84">
        <v>11606.96</v>
      </c>
      <c r="H40" s="84"/>
      <c r="I40" s="84"/>
      <c r="J40" s="84" t="s">
        <v>973</v>
      </c>
      <c r="K40" s="84" t="s">
        <v>1014</v>
      </c>
      <c r="L40" s="40">
        <v>0.68</v>
      </c>
      <c r="M40" s="84" t="s">
        <v>46</v>
      </c>
    </row>
    <row r="41" spans="1:13" x14ac:dyDescent="0.3">
      <c r="A41" s="22">
        <v>45810</v>
      </c>
      <c r="B41" s="23" t="s">
        <v>1715</v>
      </c>
      <c r="C41" s="23"/>
      <c r="D41" s="22">
        <v>45810</v>
      </c>
      <c r="E41" s="23">
        <v>0</v>
      </c>
      <c r="F41" s="23">
        <v>1</v>
      </c>
      <c r="G41" s="23">
        <v>11607.96</v>
      </c>
      <c r="H41" s="23"/>
      <c r="I41" s="23"/>
      <c r="J41" s="23" t="s">
        <v>980</v>
      </c>
      <c r="K41" s="23" t="s">
        <v>1046</v>
      </c>
      <c r="L41" s="40">
        <v>0.7</v>
      </c>
      <c r="M41" s="23" t="s">
        <v>46</v>
      </c>
    </row>
    <row r="42" spans="1:13" x14ac:dyDescent="0.3">
      <c r="A42" s="22">
        <v>45810</v>
      </c>
      <c r="B42" s="23" t="s">
        <v>1716</v>
      </c>
      <c r="C42" s="23"/>
      <c r="D42" s="22">
        <v>45810</v>
      </c>
      <c r="E42" s="23">
        <v>0</v>
      </c>
      <c r="F42" s="23">
        <v>1</v>
      </c>
      <c r="G42" s="23">
        <v>11608.96</v>
      </c>
      <c r="H42" s="23"/>
      <c r="I42" s="23"/>
      <c r="J42" s="23" t="s">
        <v>980</v>
      </c>
      <c r="K42" s="23" t="s">
        <v>1046</v>
      </c>
      <c r="L42" s="40">
        <v>0.7</v>
      </c>
      <c r="M42" s="23" t="s">
        <v>46</v>
      </c>
    </row>
    <row r="43" spans="1:13" x14ac:dyDescent="0.3">
      <c r="A43" s="37">
        <v>45812</v>
      </c>
      <c r="B43" s="38" t="s">
        <v>1717</v>
      </c>
      <c r="C43" s="38"/>
      <c r="D43" s="37">
        <v>45812</v>
      </c>
      <c r="E43" s="38">
        <v>0</v>
      </c>
      <c r="F43" s="38">
        <v>28</v>
      </c>
      <c r="G43" s="38">
        <v>11636.96</v>
      </c>
      <c r="H43" s="38"/>
      <c r="I43" s="38"/>
      <c r="J43" s="38" t="s">
        <v>1660</v>
      </c>
      <c r="K43" s="38" t="s">
        <v>91</v>
      </c>
      <c r="L43" s="39">
        <v>0.55000000000000004</v>
      </c>
      <c r="M43" s="38" t="s">
        <v>46</v>
      </c>
    </row>
    <row r="44" spans="1:13" x14ac:dyDescent="0.3">
      <c r="A44" s="55">
        <v>45833</v>
      </c>
      <c r="B44" s="56" t="s">
        <v>1718</v>
      </c>
      <c r="C44" s="56"/>
      <c r="D44" s="55">
        <v>45833</v>
      </c>
      <c r="E44" s="56">
        <v>0</v>
      </c>
      <c r="F44" s="56">
        <v>81</v>
      </c>
      <c r="G44" s="56">
        <v>11717.96</v>
      </c>
      <c r="H44" s="56"/>
      <c r="I44" s="56"/>
      <c r="J44" s="56" t="s">
        <v>22</v>
      </c>
      <c r="K44" s="56" t="s">
        <v>22</v>
      </c>
      <c r="L44" s="24">
        <v>0.9</v>
      </c>
      <c r="M44" s="56" t="s">
        <v>46</v>
      </c>
    </row>
    <row r="45" spans="1:13" x14ac:dyDescent="0.3">
      <c r="A45" s="136">
        <v>45854</v>
      </c>
      <c r="B45" s="137" t="s">
        <v>1719</v>
      </c>
      <c r="C45" s="137"/>
      <c r="D45" s="136">
        <v>45854</v>
      </c>
      <c r="E45" s="137">
        <v>0</v>
      </c>
      <c r="F45" s="137">
        <v>2</v>
      </c>
      <c r="G45" s="137">
        <v>11719.96</v>
      </c>
      <c r="H45" s="137"/>
      <c r="I45" s="137"/>
      <c r="J45" s="137" t="s">
        <v>1661</v>
      </c>
      <c r="K45" s="137" t="s">
        <v>91</v>
      </c>
      <c r="L45" s="40">
        <v>0.65</v>
      </c>
      <c r="M45" s="137" t="s">
        <v>46</v>
      </c>
    </row>
    <row r="46" spans="1:13" x14ac:dyDescent="0.3">
      <c r="A46" s="136">
        <v>45855</v>
      </c>
      <c r="B46" s="137" t="s">
        <v>1720</v>
      </c>
      <c r="C46" s="137"/>
      <c r="D46" s="136">
        <v>45855</v>
      </c>
      <c r="E46" s="137">
        <v>0</v>
      </c>
      <c r="F46" s="137">
        <v>2</v>
      </c>
      <c r="G46" s="137">
        <v>11721.96</v>
      </c>
      <c r="H46" s="137"/>
      <c r="I46" s="137"/>
      <c r="J46" s="137" t="s">
        <v>1661</v>
      </c>
      <c r="K46" s="137" t="s">
        <v>91</v>
      </c>
      <c r="L46" s="40">
        <v>0.65</v>
      </c>
      <c r="M46" s="137" t="s">
        <v>46</v>
      </c>
    </row>
    <row r="47" spans="1:13" x14ac:dyDescent="0.3">
      <c r="A47" s="138">
        <v>45880</v>
      </c>
      <c r="B47" s="139" t="s">
        <v>1721</v>
      </c>
      <c r="C47" s="139"/>
      <c r="D47" s="138">
        <v>45880</v>
      </c>
      <c r="E47" s="139">
        <v>283</v>
      </c>
      <c r="F47" s="139">
        <v>0</v>
      </c>
      <c r="G47" s="139">
        <v>11438.96</v>
      </c>
      <c r="H47" s="139"/>
      <c r="I47" s="139"/>
      <c r="J47" s="139" t="s">
        <v>1662</v>
      </c>
      <c r="K47" s="139" t="s">
        <v>1189</v>
      </c>
      <c r="L47" s="40">
        <v>0.68</v>
      </c>
      <c r="M47" s="139" t="s">
        <v>46</v>
      </c>
    </row>
    <row r="48" spans="1:13" x14ac:dyDescent="0.3">
      <c r="A48" s="37">
        <v>45883</v>
      </c>
      <c r="B48" s="38" t="s">
        <v>1722</v>
      </c>
      <c r="C48" s="38"/>
      <c r="D48" s="37">
        <v>45883</v>
      </c>
      <c r="E48" s="38">
        <v>0</v>
      </c>
      <c r="F48" s="38">
        <v>100</v>
      </c>
      <c r="G48" s="38">
        <v>11538.96</v>
      </c>
      <c r="H48" s="38"/>
      <c r="I48" s="38"/>
      <c r="J48" s="38" t="s">
        <v>1663</v>
      </c>
      <c r="K48" s="38" t="s">
        <v>91</v>
      </c>
      <c r="L48" s="39">
        <v>0.55000000000000004</v>
      </c>
      <c r="M48" s="38" t="s">
        <v>46</v>
      </c>
    </row>
    <row r="49" spans="1:13" x14ac:dyDescent="0.3">
      <c r="A49" s="37">
        <v>45884</v>
      </c>
      <c r="B49" s="38" t="s">
        <v>1723</v>
      </c>
      <c r="C49" s="38"/>
      <c r="D49" s="37">
        <v>45884</v>
      </c>
      <c r="E49" s="38">
        <v>0</v>
      </c>
      <c r="F49" s="38">
        <v>150</v>
      </c>
      <c r="G49" s="38">
        <v>11688.96</v>
      </c>
      <c r="H49" s="38"/>
      <c r="I49" s="38"/>
      <c r="J49" s="38" t="s">
        <v>1664</v>
      </c>
      <c r="K49" s="38" t="s">
        <v>91</v>
      </c>
      <c r="L49" s="39">
        <v>0.55000000000000004</v>
      </c>
      <c r="M49" s="38" t="s">
        <v>46</v>
      </c>
    </row>
    <row r="50" spans="1:13" x14ac:dyDescent="0.3">
      <c r="A50" s="27">
        <v>45901</v>
      </c>
      <c r="B50" s="28" t="s">
        <v>1724</v>
      </c>
      <c r="C50" s="28"/>
      <c r="D50" s="27">
        <v>45901</v>
      </c>
      <c r="E50" s="28">
        <v>0</v>
      </c>
      <c r="F50" s="28">
        <v>25000</v>
      </c>
      <c r="G50" s="28">
        <v>36688.959999999999</v>
      </c>
      <c r="H50" s="28"/>
      <c r="I50" s="28"/>
      <c r="J50" s="28" t="s">
        <v>1656</v>
      </c>
      <c r="K50" s="28" t="s">
        <v>1680</v>
      </c>
      <c r="L50" s="24">
        <v>0.9</v>
      </c>
      <c r="M50" s="28" t="s">
        <v>46</v>
      </c>
    </row>
    <row r="51" spans="1:13" x14ac:dyDescent="0.3">
      <c r="A51" s="47">
        <v>45901</v>
      </c>
      <c r="B51" s="48" t="s">
        <v>1725</v>
      </c>
      <c r="C51" s="48"/>
      <c r="D51" s="47">
        <v>45901</v>
      </c>
      <c r="E51" s="48">
        <v>30000</v>
      </c>
      <c r="F51" s="48">
        <v>0</v>
      </c>
      <c r="G51" s="48">
        <v>6688.96</v>
      </c>
      <c r="H51" s="48"/>
      <c r="I51" s="48"/>
      <c r="J51" s="48" t="s">
        <v>24</v>
      </c>
      <c r="K51" s="48" t="s">
        <v>157</v>
      </c>
      <c r="L51" s="24">
        <v>0.88</v>
      </c>
      <c r="M51" s="48" t="s">
        <v>46</v>
      </c>
    </row>
    <row r="52" spans="1:13" x14ac:dyDescent="0.3">
      <c r="A52" s="27">
        <v>45901</v>
      </c>
      <c r="B52" s="28" t="s">
        <v>1726</v>
      </c>
      <c r="C52" s="28"/>
      <c r="D52" s="27">
        <v>45901</v>
      </c>
      <c r="E52" s="28">
        <v>0</v>
      </c>
      <c r="F52" s="28">
        <v>40000</v>
      </c>
      <c r="G52" s="28">
        <v>46688.959999999999</v>
      </c>
      <c r="H52" s="28"/>
      <c r="I52" s="28"/>
      <c r="J52" s="28" t="s">
        <v>1656</v>
      </c>
      <c r="K52" s="28" t="s">
        <v>1680</v>
      </c>
      <c r="L52" s="24">
        <v>0.9</v>
      </c>
      <c r="M52" s="28" t="s">
        <v>46</v>
      </c>
    </row>
    <row r="53" spans="1:13" x14ac:dyDescent="0.3">
      <c r="A53" s="45">
        <v>45901</v>
      </c>
      <c r="B53" s="46" t="s">
        <v>1727</v>
      </c>
      <c r="C53" s="46"/>
      <c r="D53" s="45">
        <v>45901</v>
      </c>
      <c r="E53" s="46">
        <v>20000</v>
      </c>
      <c r="F53" s="46">
        <v>0</v>
      </c>
      <c r="G53" s="46">
        <v>26688.959999999999</v>
      </c>
      <c r="H53" s="46"/>
      <c r="I53" s="46"/>
      <c r="J53" s="46" t="s">
        <v>15</v>
      </c>
      <c r="K53" s="46" t="s">
        <v>149</v>
      </c>
      <c r="L53" s="24">
        <v>0.88</v>
      </c>
      <c r="M53" s="46" t="s">
        <v>46</v>
      </c>
    </row>
    <row r="54" spans="1:13" x14ac:dyDescent="0.3">
      <c r="A54" s="47">
        <v>45901</v>
      </c>
      <c r="B54" s="48" t="s">
        <v>1728</v>
      </c>
      <c r="C54" s="48"/>
      <c r="D54" s="47">
        <v>45901</v>
      </c>
      <c r="E54" s="48">
        <v>0</v>
      </c>
      <c r="F54" s="48">
        <v>48000</v>
      </c>
      <c r="G54" s="48">
        <v>74688.960000000006</v>
      </c>
      <c r="H54" s="48"/>
      <c r="I54" s="48"/>
      <c r="J54" s="48" t="s">
        <v>16</v>
      </c>
      <c r="K54" s="48" t="s">
        <v>157</v>
      </c>
      <c r="L54" s="24">
        <v>0.88</v>
      </c>
      <c r="M54" s="48" t="s">
        <v>46</v>
      </c>
    </row>
    <row r="55" spans="1:13" x14ac:dyDescent="0.3">
      <c r="A55" s="95">
        <v>45903</v>
      </c>
      <c r="B55" s="96" t="s">
        <v>1729</v>
      </c>
      <c r="C55" s="96"/>
      <c r="D55" s="95">
        <v>45903</v>
      </c>
      <c r="E55" s="96">
        <v>23000</v>
      </c>
      <c r="F55" s="96">
        <v>0</v>
      </c>
      <c r="G55" s="96">
        <v>51688.959999999999</v>
      </c>
      <c r="H55" s="96"/>
      <c r="I55" s="96"/>
      <c r="J55" s="96" t="s">
        <v>990</v>
      </c>
      <c r="K55" s="96" t="s">
        <v>990</v>
      </c>
      <c r="L55" s="24">
        <v>0.9</v>
      </c>
      <c r="M55" s="96" t="s">
        <v>46</v>
      </c>
    </row>
    <row r="56" spans="1:13" x14ac:dyDescent="0.3">
      <c r="A56" s="37">
        <v>45905</v>
      </c>
      <c r="B56" s="38" t="s">
        <v>1730</v>
      </c>
      <c r="C56" s="38"/>
      <c r="D56" s="37">
        <v>45905</v>
      </c>
      <c r="E56" s="38">
        <v>0</v>
      </c>
      <c r="F56" s="38">
        <v>5</v>
      </c>
      <c r="G56" s="38">
        <v>51693.96</v>
      </c>
      <c r="H56" s="38"/>
      <c r="I56" s="38"/>
      <c r="J56" s="38" t="s">
        <v>1665</v>
      </c>
      <c r="K56" s="38" t="s">
        <v>91</v>
      </c>
      <c r="L56" s="39">
        <v>0.55000000000000004</v>
      </c>
      <c r="M56" s="38" t="s">
        <v>46</v>
      </c>
    </row>
    <row r="57" spans="1:13" x14ac:dyDescent="0.3">
      <c r="A57" s="140">
        <v>45906</v>
      </c>
      <c r="B57" s="141" t="s">
        <v>1731</v>
      </c>
      <c r="C57" s="141"/>
      <c r="D57" s="140">
        <v>45906</v>
      </c>
      <c r="E57" s="141">
        <v>0</v>
      </c>
      <c r="F57" s="141">
        <v>7220</v>
      </c>
      <c r="G57" s="141">
        <v>58913.96</v>
      </c>
      <c r="H57" s="141"/>
      <c r="I57" s="141"/>
      <c r="J57" s="141" t="s">
        <v>1666</v>
      </c>
      <c r="K57" s="141" t="s">
        <v>1732</v>
      </c>
      <c r="L57" s="24">
        <v>0.95</v>
      </c>
      <c r="M57" s="141" t="s">
        <v>46</v>
      </c>
    </row>
    <row r="58" spans="1:13" x14ac:dyDescent="0.3">
      <c r="A58" s="85">
        <v>45916</v>
      </c>
      <c r="B58" s="86" t="s">
        <v>1733</v>
      </c>
      <c r="C58" s="86"/>
      <c r="D58" s="85">
        <v>45916</v>
      </c>
      <c r="E58" s="86">
        <v>30000</v>
      </c>
      <c r="F58" s="86">
        <v>0</v>
      </c>
      <c r="G58" s="86">
        <v>28913.96</v>
      </c>
      <c r="H58" s="86"/>
      <c r="I58" s="86"/>
      <c r="J58" s="86" t="s">
        <v>974</v>
      </c>
      <c r="K58" s="86" t="s">
        <v>1019</v>
      </c>
      <c r="L58" s="24">
        <v>0.9</v>
      </c>
      <c r="M58" s="86" t="s">
        <v>46</v>
      </c>
    </row>
    <row r="59" spans="1:13" x14ac:dyDescent="0.3">
      <c r="A59" s="55">
        <v>45925</v>
      </c>
      <c r="B59" s="56" t="s">
        <v>1718</v>
      </c>
      <c r="C59" s="56"/>
      <c r="D59" s="55">
        <v>45925</v>
      </c>
      <c r="E59" s="56">
        <v>0</v>
      </c>
      <c r="F59" s="56">
        <v>135</v>
      </c>
      <c r="G59" s="56">
        <v>29048.959999999999</v>
      </c>
      <c r="H59" s="56"/>
      <c r="I59" s="56"/>
      <c r="J59" s="56" t="s">
        <v>22</v>
      </c>
      <c r="K59" s="56" t="s">
        <v>22</v>
      </c>
      <c r="L59" s="24">
        <v>0.9</v>
      </c>
      <c r="M59" s="56" t="s">
        <v>46</v>
      </c>
    </row>
    <row r="60" spans="1:13" x14ac:dyDescent="0.3">
      <c r="A60" s="22">
        <v>45926</v>
      </c>
      <c r="B60" s="23" t="s">
        <v>1734</v>
      </c>
      <c r="C60" s="23"/>
      <c r="D60" s="22">
        <v>45926</v>
      </c>
      <c r="E60" s="23">
        <v>15000</v>
      </c>
      <c r="F60" s="23">
        <v>0</v>
      </c>
      <c r="G60" s="23">
        <v>14048.96</v>
      </c>
      <c r="H60" s="23"/>
      <c r="I60" s="23"/>
      <c r="J60" s="23" t="s">
        <v>1667</v>
      </c>
      <c r="K60" s="23" t="s">
        <v>1735</v>
      </c>
      <c r="L60" s="24">
        <v>0.88</v>
      </c>
      <c r="M60" s="23" t="s">
        <v>46</v>
      </c>
    </row>
    <row r="61" spans="1:13" x14ac:dyDescent="0.3">
      <c r="A61" s="97">
        <v>45938</v>
      </c>
      <c r="B61" s="98" t="s">
        <v>1736</v>
      </c>
      <c r="C61" s="98"/>
      <c r="D61" s="97">
        <v>45938</v>
      </c>
      <c r="E61" s="98">
        <v>0</v>
      </c>
      <c r="F61" s="98">
        <v>1</v>
      </c>
      <c r="G61" s="98">
        <v>14049.96</v>
      </c>
      <c r="H61" s="98"/>
      <c r="I61" s="98"/>
      <c r="J61" s="98" t="s">
        <v>977</v>
      </c>
      <c r="K61" s="98" t="s">
        <v>1031</v>
      </c>
      <c r="L61" s="24">
        <v>0.85</v>
      </c>
      <c r="M61" s="98" t="s">
        <v>46</v>
      </c>
    </row>
    <row r="62" spans="1:13" x14ac:dyDescent="0.3">
      <c r="A62" s="85">
        <v>45939</v>
      </c>
      <c r="B62" s="86" t="s">
        <v>1737</v>
      </c>
      <c r="C62" s="86"/>
      <c r="D62" s="85">
        <v>45939</v>
      </c>
      <c r="E62" s="86">
        <v>7000</v>
      </c>
      <c r="F62" s="86">
        <v>0</v>
      </c>
      <c r="G62" s="86">
        <v>7049.96</v>
      </c>
      <c r="H62" s="86"/>
      <c r="I62" s="86"/>
      <c r="J62" s="86" t="s">
        <v>974</v>
      </c>
      <c r="K62" s="86" t="s">
        <v>1019</v>
      </c>
      <c r="L62" s="24">
        <v>0.88</v>
      </c>
      <c r="M62" s="86" t="s">
        <v>46</v>
      </c>
    </row>
    <row r="63" spans="1:13" x14ac:dyDescent="0.3">
      <c r="A63" s="97">
        <v>45944</v>
      </c>
      <c r="B63" s="98" t="s">
        <v>1738</v>
      </c>
      <c r="C63" s="98"/>
      <c r="D63" s="97">
        <v>45944</v>
      </c>
      <c r="E63" s="98">
        <v>0</v>
      </c>
      <c r="F63" s="98">
        <v>2500</v>
      </c>
      <c r="G63" s="98">
        <v>9549.9599999999991</v>
      </c>
      <c r="H63" s="98"/>
      <c r="I63" s="98"/>
      <c r="J63" s="98" t="s">
        <v>977</v>
      </c>
      <c r="K63" s="98" t="s">
        <v>1031</v>
      </c>
      <c r="L63" s="24">
        <v>0.85</v>
      </c>
      <c r="M63" s="98" t="s">
        <v>46</v>
      </c>
    </row>
    <row r="64" spans="1:13" x14ac:dyDescent="0.3">
      <c r="A64" s="89">
        <v>45966</v>
      </c>
      <c r="B64" s="90" t="s">
        <v>1739</v>
      </c>
      <c r="C64" s="90"/>
      <c r="D64" s="89">
        <v>45966</v>
      </c>
      <c r="E64" s="90">
        <v>1501</v>
      </c>
      <c r="F64" s="90">
        <v>0</v>
      </c>
      <c r="G64" s="90">
        <v>8048.96</v>
      </c>
      <c r="H64" s="90" t="s">
        <v>1740</v>
      </c>
      <c r="I64" s="90"/>
      <c r="J64" s="90" t="s">
        <v>975</v>
      </c>
      <c r="K64" s="90" t="s">
        <v>91</v>
      </c>
      <c r="L64" s="39">
        <v>0.55000000000000004</v>
      </c>
      <c r="M64" s="90" t="s">
        <v>46</v>
      </c>
    </row>
    <row r="65" spans="1:13" x14ac:dyDescent="0.3">
      <c r="A65" s="97">
        <v>45975</v>
      </c>
      <c r="B65" s="98" t="s">
        <v>1741</v>
      </c>
      <c r="C65" s="98"/>
      <c r="D65" s="97">
        <v>45975</v>
      </c>
      <c r="E65" s="98">
        <v>0</v>
      </c>
      <c r="F65" s="98">
        <v>700</v>
      </c>
      <c r="G65" s="98">
        <v>8748.9599999999991</v>
      </c>
      <c r="H65" s="98"/>
      <c r="I65" s="98"/>
      <c r="J65" s="98" t="s">
        <v>977</v>
      </c>
      <c r="K65" s="98" t="s">
        <v>1031</v>
      </c>
      <c r="L65" s="24">
        <v>0.85</v>
      </c>
      <c r="M65" s="98" t="s">
        <v>46</v>
      </c>
    </row>
    <row r="66" spans="1:13" x14ac:dyDescent="0.3">
      <c r="A66" s="97">
        <v>46001</v>
      </c>
      <c r="B66" s="98" t="s">
        <v>1742</v>
      </c>
      <c r="C66" s="98"/>
      <c r="D66" s="97">
        <v>46001</v>
      </c>
      <c r="E66" s="98">
        <v>0</v>
      </c>
      <c r="F66" s="98">
        <v>50</v>
      </c>
      <c r="G66" s="98">
        <v>8798.9599999999991</v>
      </c>
      <c r="H66" s="98"/>
      <c r="I66" s="98"/>
      <c r="J66" s="98" t="s">
        <v>977</v>
      </c>
      <c r="K66" s="98" t="s">
        <v>1031</v>
      </c>
      <c r="L66" s="24">
        <v>0.85</v>
      </c>
      <c r="M66" s="98" t="s">
        <v>46</v>
      </c>
    </row>
    <row r="67" spans="1:13" x14ac:dyDescent="0.3">
      <c r="A67" s="97">
        <v>46001</v>
      </c>
      <c r="B67" s="98" t="s">
        <v>1743</v>
      </c>
      <c r="C67" s="98"/>
      <c r="D67" s="97">
        <v>46001</v>
      </c>
      <c r="E67" s="98">
        <v>0</v>
      </c>
      <c r="F67" s="98">
        <v>5000</v>
      </c>
      <c r="G67" s="98">
        <v>13798.96</v>
      </c>
      <c r="H67" s="98"/>
      <c r="I67" s="98"/>
      <c r="J67" s="98" t="s">
        <v>977</v>
      </c>
      <c r="K67" s="98" t="s">
        <v>1031</v>
      </c>
      <c r="L67" s="24">
        <v>0.85</v>
      </c>
      <c r="M67" s="98" t="s">
        <v>46</v>
      </c>
    </row>
    <row r="68" spans="1:13" x14ac:dyDescent="0.3">
      <c r="A68" s="85">
        <v>46001</v>
      </c>
      <c r="B68" s="86" t="s">
        <v>1744</v>
      </c>
      <c r="C68" s="86"/>
      <c r="D68" s="85">
        <v>46001</v>
      </c>
      <c r="E68" s="86">
        <v>5000</v>
      </c>
      <c r="F68" s="86">
        <v>0</v>
      </c>
      <c r="G68" s="86">
        <v>8798.9599999999991</v>
      </c>
      <c r="H68" s="86"/>
      <c r="I68" s="86"/>
      <c r="J68" s="86" t="s">
        <v>974</v>
      </c>
      <c r="K68" s="86" t="s">
        <v>1019</v>
      </c>
      <c r="L68" s="24">
        <v>0.9</v>
      </c>
      <c r="M68" s="86" t="s">
        <v>46</v>
      </c>
    </row>
    <row r="69" spans="1:13" x14ac:dyDescent="0.3">
      <c r="A69" s="97">
        <v>46013</v>
      </c>
      <c r="B69" s="98" t="s">
        <v>1745</v>
      </c>
      <c r="C69" s="98"/>
      <c r="D69" s="97">
        <v>46013</v>
      </c>
      <c r="E69" s="98">
        <v>0</v>
      </c>
      <c r="F69" s="98">
        <v>150</v>
      </c>
      <c r="G69" s="98">
        <v>8948.9599999999991</v>
      </c>
      <c r="H69" s="98"/>
      <c r="I69" s="98"/>
      <c r="J69" s="98" t="s">
        <v>977</v>
      </c>
      <c r="K69" s="98" t="s">
        <v>1031</v>
      </c>
      <c r="L69" s="24">
        <v>0.85</v>
      </c>
      <c r="M69" s="98" t="s">
        <v>46</v>
      </c>
    </row>
    <row r="70" spans="1:13" x14ac:dyDescent="0.3">
      <c r="A70" s="51">
        <v>46014</v>
      </c>
      <c r="B70" s="52" t="s">
        <v>1746</v>
      </c>
      <c r="C70" s="52"/>
      <c r="D70" s="51">
        <v>46014</v>
      </c>
      <c r="E70" s="52">
        <v>0</v>
      </c>
      <c r="F70" s="52">
        <v>5000</v>
      </c>
      <c r="G70" s="52">
        <v>13948.96</v>
      </c>
      <c r="H70" s="52"/>
      <c r="I70" s="52"/>
      <c r="J70" s="52" t="s">
        <v>20</v>
      </c>
      <c r="K70" s="52" t="s">
        <v>181</v>
      </c>
      <c r="L70" s="24">
        <v>0.85</v>
      </c>
      <c r="M70" s="52" t="s">
        <v>46</v>
      </c>
    </row>
    <row r="71" spans="1:13" x14ac:dyDescent="0.3">
      <c r="A71" s="51">
        <v>46014</v>
      </c>
      <c r="B71" s="52" t="s">
        <v>1747</v>
      </c>
      <c r="C71" s="52"/>
      <c r="D71" s="51">
        <v>46014</v>
      </c>
      <c r="E71" s="52">
        <v>0</v>
      </c>
      <c r="F71" s="52">
        <v>5000</v>
      </c>
      <c r="G71" s="52">
        <v>18948.96</v>
      </c>
      <c r="H71" s="52"/>
      <c r="I71" s="52"/>
      <c r="J71" s="52" t="s">
        <v>20</v>
      </c>
      <c r="K71" s="52" t="s">
        <v>181</v>
      </c>
      <c r="L71" s="24">
        <v>0.85</v>
      </c>
      <c r="M71" s="52" t="s">
        <v>46</v>
      </c>
    </row>
    <row r="72" spans="1:13" x14ac:dyDescent="0.3">
      <c r="A72" s="51">
        <v>46014</v>
      </c>
      <c r="B72" s="52" t="s">
        <v>1748</v>
      </c>
      <c r="C72" s="52"/>
      <c r="D72" s="51">
        <v>46014</v>
      </c>
      <c r="E72" s="52">
        <v>10000</v>
      </c>
      <c r="F72" s="52">
        <v>0</v>
      </c>
      <c r="G72" s="52">
        <v>8948.9599999999991</v>
      </c>
      <c r="H72" s="52"/>
      <c r="I72" s="52"/>
      <c r="J72" s="52" t="s">
        <v>18</v>
      </c>
      <c r="K72" s="52" t="s">
        <v>181</v>
      </c>
      <c r="L72" s="24">
        <v>0.85</v>
      </c>
      <c r="M72" s="52" t="s">
        <v>46</v>
      </c>
    </row>
    <row r="73" spans="1:13" x14ac:dyDescent="0.3">
      <c r="A73" s="97">
        <v>46015</v>
      </c>
      <c r="B73" s="98" t="s">
        <v>1749</v>
      </c>
      <c r="C73" s="98"/>
      <c r="D73" s="97">
        <v>46015</v>
      </c>
      <c r="E73" s="98">
        <v>0</v>
      </c>
      <c r="F73" s="98">
        <v>100</v>
      </c>
      <c r="G73" s="98">
        <v>9048.9599999999991</v>
      </c>
      <c r="H73" s="98"/>
      <c r="I73" s="98"/>
      <c r="J73" s="98" t="s">
        <v>977</v>
      </c>
      <c r="K73" s="98" t="s">
        <v>1031</v>
      </c>
      <c r="L73" s="24">
        <v>0.85</v>
      </c>
      <c r="M73" s="98" t="s">
        <v>46</v>
      </c>
    </row>
    <row r="74" spans="1:13" x14ac:dyDescent="0.3">
      <c r="A74" s="37">
        <v>46016</v>
      </c>
      <c r="B74" s="38" t="s">
        <v>1750</v>
      </c>
      <c r="C74" s="38"/>
      <c r="D74" s="37">
        <v>46016</v>
      </c>
      <c r="E74" s="38">
        <v>0</v>
      </c>
      <c r="F74" s="38">
        <v>1000</v>
      </c>
      <c r="G74" s="38">
        <v>10048.959999999999</v>
      </c>
      <c r="H74" s="38"/>
      <c r="I74" s="38"/>
      <c r="J74" s="38" t="s">
        <v>1668</v>
      </c>
      <c r="K74" s="38" t="s">
        <v>91</v>
      </c>
      <c r="L74" s="39">
        <v>0.55000000000000004</v>
      </c>
      <c r="M74" s="38" t="s">
        <v>46</v>
      </c>
    </row>
    <row r="75" spans="1:13" x14ac:dyDescent="0.3">
      <c r="A75" s="55">
        <v>46016</v>
      </c>
      <c r="B75" s="56" t="s">
        <v>1718</v>
      </c>
      <c r="C75" s="56"/>
      <c r="D75" s="55">
        <v>46016</v>
      </c>
      <c r="E75" s="56">
        <v>0</v>
      </c>
      <c r="F75" s="56">
        <v>60</v>
      </c>
      <c r="G75" s="56">
        <v>10108.959999999999</v>
      </c>
      <c r="H75" s="56"/>
      <c r="I75" s="56"/>
      <c r="J75" s="56" t="s">
        <v>22</v>
      </c>
      <c r="K75" s="56" t="s">
        <v>22</v>
      </c>
      <c r="L75" s="24">
        <v>0.9</v>
      </c>
      <c r="M75" s="56" t="s">
        <v>46</v>
      </c>
    </row>
    <row r="76" spans="1:13" x14ac:dyDescent="0.3">
      <c r="A76" s="142">
        <v>46020</v>
      </c>
      <c r="B76" s="143" t="s">
        <v>1751</v>
      </c>
      <c r="C76" s="143"/>
      <c r="D76" s="142">
        <v>46020</v>
      </c>
      <c r="E76" s="143">
        <v>0</v>
      </c>
      <c r="F76" s="143">
        <v>17320.330000000002</v>
      </c>
      <c r="G76" s="143">
        <v>27429.29</v>
      </c>
      <c r="H76" s="143"/>
      <c r="I76" s="143"/>
      <c r="J76" s="143" t="s">
        <v>1669</v>
      </c>
      <c r="K76" s="143" t="s">
        <v>1658</v>
      </c>
      <c r="L76" s="24">
        <v>0.92</v>
      </c>
      <c r="M76" s="143" t="s">
        <v>46</v>
      </c>
    </row>
    <row r="77" spans="1:13" x14ac:dyDescent="0.3">
      <c r="A77" s="101">
        <v>46021</v>
      </c>
      <c r="B77" s="102" t="s">
        <v>1752</v>
      </c>
      <c r="C77" s="102"/>
      <c r="D77" s="101">
        <v>46021</v>
      </c>
      <c r="E77" s="102">
        <v>1450</v>
      </c>
      <c r="F77" s="102">
        <v>0</v>
      </c>
      <c r="G77" s="102">
        <v>25979.29</v>
      </c>
      <c r="H77" s="102"/>
      <c r="I77" s="102"/>
      <c r="J77" s="102" t="s">
        <v>976</v>
      </c>
      <c r="K77" s="102" t="s">
        <v>1028</v>
      </c>
      <c r="L77" s="24">
        <v>0.85</v>
      </c>
      <c r="M77" s="102" t="s">
        <v>46</v>
      </c>
    </row>
    <row r="78" spans="1:13" x14ac:dyDescent="0.3">
      <c r="A78" s="89">
        <v>46021</v>
      </c>
      <c r="B78" s="90" t="s">
        <v>1753</v>
      </c>
      <c r="C78" s="90"/>
      <c r="D78" s="89">
        <v>46021</v>
      </c>
      <c r="E78" s="90">
        <v>3158</v>
      </c>
      <c r="F78" s="90">
        <v>0</v>
      </c>
      <c r="G78" s="90">
        <v>22821.29</v>
      </c>
      <c r="H78" s="90" t="s">
        <v>1754</v>
      </c>
      <c r="I78" s="90"/>
      <c r="J78" s="90" t="s">
        <v>975</v>
      </c>
      <c r="K78" s="90" t="s">
        <v>91</v>
      </c>
      <c r="L78" s="39">
        <v>0.55000000000000004</v>
      </c>
      <c r="M78" s="90" t="s">
        <v>46</v>
      </c>
    </row>
    <row r="79" spans="1:13" x14ac:dyDescent="0.3">
      <c r="A79" s="85">
        <v>46021</v>
      </c>
      <c r="B79" s="86" t="s">
        <v>1755</v>
      </c>
      <c r="C79" s="86"/>
      <c r="D79" s="85">
        <v>46021</v>
      </c>
      <c r="E79" s="86">
        <v>4000</v>
      </c>
      <c r="F79" s="86">
        <v>0</v>
      </c>
      <c r="G79" s="86">
        <v>18821.29</v>
      </c>
      <c r="H79" s="86"/>
      <c r="I79" s="86"/>
      <c r="J79" s="86" t="s">
        <v>974</v>
      </c>
      <c r="K79" s="86" t="s">
        <v>1019</v>
      </c>
      <c r="L79" s="24">
        <v>0.88</v>
      </c>
      <c r="M79" s="86" t="s">
        <v>46</v>
      </c>
    </row>
    <row r="80" spans="1:13" x14ac:dyDescent="0.3">
      <c r="A80" s="101">
        <v>46022</v>
      </c>
      <c r="B80" s="102" t="s">
        <v>1756</v>
      </c>
      <c r="C80" s="102"/>
      <c r="D80" s="101">
        <v>46022</v>
      </c>
      <c r="E80" s="102">
        <v>1500</v>
      </c>
      <c r="F80" s="102">
        <v>0</v>
      </c>
      <c r="G80" s="102">
        <v>17321.29</v>
      </c>
      <c r="H80" s="102"/>
      <c r="I80" s="102"/>
      <c r="J80" s="102" t="s">
        <v>976</v>
      </c>
      <c r="K80" s="102" t="s">
        <v>1028</v>
      </c>
      <c r="L80" s="24">
        <v>0.85</v>
      </c>
      <c r="M80" s="102" t="s">
        <v>46</v>
      </c>
    </row>
    <row r="81" spans="1:13" x14ac:dyDescent="0.3">
      <c r="A81" s="89">
        <v>46022</v>
      </c>
      <c r="B81" s="90" t="s">
        <v>1757</v>
      </c>
      <c r="C81" s="90"/>
      <c r="D81" s="89">
        <v>46022</v>
      </c>
      <c r="E81" s="90">
        <v>140</v>
      </c>
      <c r="F81" s="90">
        <v>0</v>
      </c>
      <c r="G81" s="90">
        <v>17181.29</v>
      </c>
      <c r="H81" s="90" t="s">
        <v>1758</v>
      </c>
      <c r="I81" s="90"/>
      <c r="J81" s="90" t="s">
        <v>975</v>
      </c>
      <c r="K81" s="90" t="s">
        <v>91</v>
      </c>
      <c r="L81" s="39">
        <v>0.55000000000000004</v>
      </c>
      <c r="M81" s="90" t="s">
        <v>46</v>
      </c>
    </row>
    <row r="82" spans="1:13" x14ac:dyDescent="0.3">
      <c r="A82" s="89">
        <v>46022</v>
      </c>
      <c r="B82" s="90" t="s">
        <v>1759</v>
      </c>
      <c r="C82" s="90"/>
      <c r="D82" s="89">
        <v>46022</v>
      </c>
      <c r="E82" s="90">
        <v>35</v>
      </c>
      <c r="F82" s="90">
        <v>0</v>
      </c>
      <c r="G82" s="90">
        <v>17146.29</v>
      </c>
      <c r="H82" s="90" t="s">
        <v>1760</v>
      </c>
      <c r="I82" s="90"/>
      <c r="J82" s="90" t="s">
        <v>975</v>
      </c>
      <c r="K82" s="90" t="s">
        <v>91</v>
      </c>
      <c r="L82" s="39">
        <v>0.55000000000000004</v>
      </c>
      <c r="M82" s="90" t="s">
        <v>46</v>
      </c>
    </row>
    <row r="83" spans="1:13" x14ac:dyDescent="0.3">
      <c r="A83" s="103">
        <v>46022</v>
      </c>
      <c r="B83" s="104" t="s">
        <v>1761</v>
      </c>
      <c r="C83" s="104"/>
      <c r="D83" s="103">
        <v>46022</v>
      </c>
      <c r="E83" s="104">
        <v>52</v>
      </c>
      <c r="F83" s="104">
        <v>0</v>
      </c>
      <c r="G83" s="104">
        <v>17094.29</v>
      </c>
      <c r="H83" s="104"/>
      <c r="I83" s="104"/>
      <c r="J83" s="104" t="s">
        <v>983</v>
      </c>
      <c r="K83" s="104" t="s">
        <v>131</v>
      </c>
      <c r="L83" s="40">
        <v>0.82</v>
      </c>
      <c r="M83" s="104" t="s">
        <v>46</v>
      </c>
    </row>
    <row r="84" spans="1:13" x14ac:dyDescent="0.3">
      <c r="A84" s="130">
        <v>46023</v>
      </c>
      <c r="B84" s="131" t="s">
        <v>1762</v>
      </c>
      <c r="C84" s="131"/>
      <c r="D84" s="130">
        <v>46023</v>
      </c>
      <c r="E84" s="131">
        <v>320</v>
      </c>
      <c r="F84" s="131">
        <v>0</v>
      </c>
      <c r="G84" s="131">
        <v>16774.29</v>
      </c>
      <c r="H84" s="131"/>
      <c r="I84" s="131"/>
      <c r="J84" s="131" t="s">
        <v>1657</v>
      </c>
      <c r="K84" s="131" t="s">
        <v>91</v>
      </c>
      <c r="L84" s="40">
        <v>0.65</v>
      </c>
      <c r="M84" s="131" t="s">
        <v>46</v>
      </c>
    </row>
    <row r="85" spans="1:13" x14ac:dyDescent="0.3">
      <c r="A85" s="89">
        <v>46023</v>
      </c>
      <c r="B85" s="90" t="s">
        <v>1763</v>
      </c>
      <c r="C85" s="90"/>
      <c r="D85" s="89">
        <v>46023</v>
      </c>
      <c r="E85" s="90">
        <v>119</v>
      </c>
      <c r="F85" s="90">
        <v>0</v>
      </c>
      <c r="G85" s="90">
        <v>16655.29</v>
      </c>
      <c r="H85" s="90" t="s">
        <v>1764</v>
      </c>
      <c r="I85" s="90"/>
      <c r="J85" s="90" t="s">
        <v>975</v>
      </c>
      <c r="K85" s="90" t="s">
        <v>91</v>
      </c>
      <c r="L85" s="39">
        <v>0.55000000000000004</v>
      </c>
      <c r="M85" s="90" t="s">
        <v>46</v>
      </c>
    </row>
    <row r="86" spans="1:13" x14ac:dyDescent="0.3">
      <c r="A86" s="130">
        <v>46024</v>
      </c>
      <c r="B86" s="131" t="s">
        <v>1765</v>
      </c>
      <c r="C86" s="131"/>
      <c r="D86" s="130">
        <v>46024</v>
      </c>
      <c r="E86" s="131">
        <v>30</v>
      </c>
      <c r="F86" s="131">
        <v>0</v>
      </c>
      <c r="G86" s="131">
        <v>16625.29</v>
      </c>
      <c r="H86" s="131"/>
      <c r="I86" s="131"/>
      <c r="J86" s="131" t="s">
        <v>1657</v>
      </c>
      <c r="K86" s="131" t="s">
        <v>91</v>
      </c>
      <c r="L86" s="40">
        <v>0.65</v>
      </c>
      <c r="M86" s="131" t="s">
        <v>46</v>
      </c>
    </row>
    <row r="87" spans="1:13" x14ac:dyDescent="0.3">
      <c r="A87" s="136">
        <v>46024</v>
      </c>
      <c r="B87" s="137" t="s">
        <v>1766</v>
      </c>
      <c r="C87" s="137"/>
      <c r="D87" s="136">
        <v>46024</v>
      </c>
      <c r="E87" s="137">
        <v>160</v>
      </c>
      <c r="F87" s="137">
        <v>0</v>
      </c>
      <c r="G87" s="137">
        <v>16465.29</v>
      </c>
      <c r="H87" s="137"/>
      <c r="I87" s="137"/>
      <c r="J87" s="137" t="s">
        <v>1661</v>
      </c>
      <c r="K87" s="137" t="s">
        <v>91</v>
      </c>
      <c r="L87" s="40">
        <v>0.65</v>
      </c>
      <c r="M87" s="137" t="s">
        <v>46</v>
      </c>
    </row>
    <row r="88" spans="1:13" x14ac:dyDescent="0.3">
      <c r="A88" s="130">
        <v>46024</v>
      </c>
      <c r="B88" s="131" t="s">
        <v>1767</v>
      </c>
      <c r="C88" s="131"/>
      <c r="D88" s="130">
        <v>46024</v>
      </c>
      <c r="E88" s="131">
        <v>100</v>
      </c>
      <c r="F88" s="131">
        <v>0</v>
      </c>
      <c r="G88" s="131">
        <v>16365.29</v>
      </c>
      <c r="H88" s="131"/>
      <c r="I88" s="131"/>
      <c r="J88" s="131" t="s">
        <v>1657</v>
      </c>
      <c r="K88" s="131" t="s">
        <v>91</v>
      </c>
      <c r="L88" s="40">
        <v>0.65</v>
      </c>
      <c r="M88" s="131" t="s">
        <v>46</v>
      </c>
    </row>
    <row r="89" spans="1:13" x14ac:dyDescent="0.3">
      <c r="A89" s="130">
        <v>46024</v>
      </c>
      <c r="B89" s="131" t="s">
        <v>1768</v>
      </c>
      <c r="C89" s="131"/>
      <c r="D89" s="130">
        <v>46024</v>
      </c>
      <c r="E89" s="131">
        <v>63</v>
      </c>
      <c r="F89" s="131">
        <v>0</v>
      </c>
      <c r="G89" s="131">
        <v>16302.29</v>
      </c>
      <c r="H89" s="131"/>
      <c r="I89" s="131"/>
      <c r="J89" s="131" t="s">
        <v>1657</v>
      </c>
      <c r="K89" s="131" t="s">
        <v>91</v>
      </c>
      <c r="L89" s="40">
        <v>0.65</v>
      </c>
      <c r="M89" s="131" t="s">
        <v>46</v>
      </c>
    </row>
    <row r="90" spans="1:13" x14ac:dyDescent="0.3">
      <c r="A90" s="89">
        <v>46035</v>
      </c>
      <c r="B90" s="90" t="s">
        <v>1769</v>
      </c>
      <c r="C90" s="90"/>
      <c r="D90" s="89">
        <v>46035</v>
      </c>
      <c r="E90" s="90">
        <v>470</v>
      </c>
      <c r="F90" s="90">
        <v>0</v>
      </c>
      <c r="G90" s="90">
        <v>15832.29</v>
      </c>
      <c r="H90" s="90" t="s">
        <v>1770</v>
      </c>
      <c r="I90" s="90"/>
      <c r="J90" s="90" t="s">
        <v>975</v>
      </c>
      <c r="K90" s="90" t="s">
        <v>91</v>
      </c>
      <c r="L90" s="39">
        <v>0.55000000000000004</v>
      </c>
      <c r="M90" s="90" t="s">
        <v>46</v>
      </c>
    </row>
    <row r="91" spans="1:13" x14ac:dyDescent="0.3">
      <c r="A91" s="89">
        <v>46037</v>
      </c>
      <c r="B91" s="90" t="s">
        <v>1771</v>
      </c>
      <c r="C91" s="90"/>
      <c r="D91" s="89">
        <v>46037</v>
      </c>
      <c r="E91" s="90">
        <v>50</v>
      </c>
      <c r="F91" s="90">
        <v>0</v>
      </c>
      <c r="G91" s="90">
        <v>15782.29</v>
      </c>
      <c r="H91" s="90" t="s">
        <v>1772</v>
      </c>
      <c r="I91" s="90"/>
      <c r="J91" s="90" t="s">
        <v>975</v>
      </c>
      <c r="K91" s="90" t="s">
        <v>91</v>
      </c>
      <c r="L91" s="39">
        <v>0.55000000000000004</v>
      </c>
      <c r="M91" s="90" t="s">
        <v>46</v>
      </c>
    </row>
    <row r="92" spans="1:13" x14ac:dyDescent="0.3">
      <c r="A92" s="85">
        <v>46037</v>
      </c>
      <c r="B92" s="86" t="s">
        <v>1773</v>
      </c>
      <c r="C92" s="86"/>
      <c r="D92" s="85">
        <v>46037</v>
      </c>
      <c r="E92" s="86">
        <v>0</v>
      </c>
      <c r="F92" s="86">
        <v>4217.71</v>
      </c>
      <c r="G92" s="86">
        <v>20000</v>
      </c>
      <c r="H92" s="86"/>
      <c r="I92" s="86"/>
      <c r="J92" s="86" t="s">
        <v>974</v>
      </c>
      <c r="K92" s="86" t="s">
        <v>1019</v>
      </c>
      <c r="L92" s="24">
        <v>0.9</v>
      </c>
      <c r="M92" s="86" t="s">
        <v>46</v>
      </c>
    </row>
    <row r="93" spans="1:13" x14ac:dyDescent="0.3">
      <c r="A93" s="85">
        <v>46037</v>
      </c>
      <c r="B93" s="86" t="s">
        <v>1774</v>
      </c>
      <c r="C93" s="86"/>
      <c r="D93" s="85">
        <v>46037</v>
      </c>
      <c r="E93" s="86">
        <v>0</v>
      </c>
      <c r="F93" s="86">
        <v>8000</v>
      </c>
      <c r="G93" s="86">
        <v>28000</v>
      </c>
      <c r="H93" s="86"/>
      <c r="I93" s="86"/>
      <c r="J93" s="86" t="s">
        <v>974</v>
      </c>
      <c r="K93" s="86" t="s">
        <v>1019</v>
      </c>
      <c r="L93" s="24">
        <v>0.9</v>
      </c>
      <c r="M93" s="86" t="s">
        <v>46</v>
      </c>
    </row>
    <row r="94" spans="1:13" x14ac:dyDescent="0.3">
      <c r="A94" s="37">
        <v>46043</v>
      </c>
      <c r="B94" s="38" t="s">
        <v>1775</v>
      </c>
      <c r="C94" s="38"/>
      <c r="D94" s="37">
        <v>46043</v>
      </c>
      <c r="E94" s="38">
        <v>0</v>
      </c>
      <c r="F94" s="38">
        <v>318</v>
      </c>
      <c r="G94" s="38">
        <v>28318</v>
      </c>
      <c r="H94" s="38"/>
      <c r="I94" s="38"/>
      <c r="J94" s="38" t="s">
        <v>1670</v>
      </c>
      <c r="K94" s="38" t="s">
        <v>91</v>
      </c>
      <c r="L94" s="39">
        <v>0.55000000000000004</v>
      </c>
      <c r="M94" s="38" t="s">
        <v>46</v>
      </c>
    </row>
    <row r="95" spans="1:13" x14ac:dyDescent="0.3">
      <c r="A95" s="83">
        <v>46050</v>
      </c>
      <c r="B95" s="84" t="s">
        <v>1776</v>
      </c>
      <c r="C95" s="84"/>
      <c r="D95" s="83">
        <v>46050</v>
      </c>
      <c r="E95" s="84">
        <v>4413.6000000000004</v>
      </c>
      <c r="F95" s="84">
        <v>0</v>
      </c>
      <c r="G95" s="84">
        <v>23904.400000000001</v>
      </c>
      <c r="H95" s="84"/>
      <c r="I95" s="84"/>
      <c r="J95" s="84" t="s">
        <v>973</v>
      </c>
      <c r="K95" s="84" t="s">
        <v>1014</v>
      </c>
      <c r="L95" s="40">
        <v>0.68</v>
      </c>
      <c r="M95" s="84" t="s">
        <v>46</v>
      </c>
    </row>
    <row r="96" spans="1:13" x14ac:dyDescent="0.3">
      <c r="A96" s="85">
        <v>46051</v>
      </c>
      <c r="B96" s="86" t="s">
        <v>1777</v>
      </c>
      <c r="C96" s="86"/>
      <c r="D96" s="85">
        <v>46051</v>
      </c>
      <c r="E96" s="86">
        <v>4000</v>
      </c>
      <c r="F96" s="86">
        <v>0</v>
      </c>
      <c r="G96" s="86">
        <v>19904.400000000001</v>
      </c>
      <c r="H96" s="86"/>
      <c r="I96" s="86"/>
      <c r="J96" s="86" t="s">
        <v>974</v>
      </c>
      <c r="K96" s="86" t="s">
        <v>1019</v>
      </c>
      <c r="L96" s="24">
        <v>0.88</v>
      </c>
      <c r="M96" s="86" t="s">
        <v>46</v>
      </c>
    </row>
    <row r="97" spans="1:13" x14ac:dyDescent="0.3">
      <c r="A97" s="144">
        <v>46052</v>
      </c>
      <c r="B97" s="145" t="s">
        <v>1778</v>
      </c>
      <c r="C97" s="145"/>
      <c r="D97" s="144">
        <v>46052</v>
      </c>
      <c r="E97" s="145">
        <v>0</v>
      </c>
      <c r="F97" s="145">
        <v>50000</v>
      </c>
      <c r="G97" s="145">
        <v>69904.399999999994</v>
      </c>
      <c r="H97" s="145"/>
      <c r="I97" s="145"/>
      <c r="J97" s="145" t="s">
        <v>1671</v>
      </c>
      <c r="K97" s="145" t="s">
        <v>1779</v>
      </c>
      <c r="L97" s="24">
        <v>0.9</v>
      </c>
      <c r="M97" s="145" t="s">
        <v>46</v>
      </c>
    </row>
    <row r="98" spans="1:13" x14ac:dyDescent="0.3">
      <c r="A98" s="27">
        <v>46052</v>
      </c>
      <c r="B98" s="28" t="s">
        <v>1780</v>
      </c>
      <c r="C98" s="28"/>
      <c r="D98" s="27">
        <v>46052</v>
      </c>
      <c r="E98" s="28">
        <v>39674</v>
      </c>
      <c r="F98" s="28">
        <v>0</v>
      </c>
      <c r="G98" s="28">
        <v>30230.400000000001</v>
      </c>
      <c r="H98" s="28"/>
      <c r="I98" s="28"/>
      <c r="J98" s="28" t="s">
        <v>1672</v>
      </c>
      <c r="K98" s="28" t="s">
        <v>1046</v>
      </c>
      <c r="L98" s="40">
        <v>0.8</v>
      </c>
      <c r="M98" s="28" t="s">
        <v>46</v>
      </c>
    </row>
    <row r="99" spans="1:13" x14ac:dyDescent="0.3">
      <c r="A99" s="37">
        <v>46054</v>
      </c>
      <c r="B99" s="38" t="s">
        <v>1781</v>
      </c>
      <c r="C99" s="38"/>
      <c r="D99" s="37">
        <v>46054</v>
      </c>
      <c r="E99" s="38">
        <v>0</v>
      </c>
      <c r="F99" s="38">
        <v>1000</v>
      </c>
      <c r="G99" s="38">
        <v>31230.400000000001</v>
      </c>
      <c r="H99" s="38"/>
      <c r="I99" s="38"/>
      <c r="J99" s="38" t="s">
        <v>1673</v>
      </c>
      <c r="K99" s="38" t="s">
        <v>91</v>
      </c>
      <c r="L99" s="39">
        <v>0.55000000000000004</v>
      </c>
      <c r="M99" s="38" t="s">
        <v>46</v>
      </c>
    </row>
    <row r="100" spans="1:13" x14ac:dyDescent="0.3">
      <c r="A100" s="89">
        <v>46054</v>
      </c>
      <c r="B100" s="90" t="s">
        <v>1782</v>
      </c>
      <c r="C100" s="90"/>
      <c r="D100" s="89">
        <v>46054</v>
      </c>
      <c r="E100" s="90">
        <v>700</v>
      </c>
      <c r="F100" s="90">
        <v>0</v>
      </c>
      <c r="G100" s="90">
        <v>30530.400000000001</v>
      </c>
      <c r="H100" s="90" t="s">
        <v>1542</v>
      </c>
      <c r="I100" s="90"/>
      <c r="J100" s="90" t="s">
        <v>975</v>
      </c>
      <c r="K100" s="90" t="s">
        <v>91</v>
      </c>
      <c r="L100" s="40">
        <v>0.75</v>
      </c>
      <c r="M100" s="90" t="s">
        <v>46</v>
      </c>
    </row>
    <row r="101" spans="1:13" x14ac:dyDescent="0.3">
      <c r="A101" s="89">
        <v>46054</v>
      </c>
      <c r="B101" s="90" t="s">
        <v>1783</v>
      </c>
      <c r="C101" s="90"/>
      <c r="D101" s="89">
        <v>46054</v>
      </c>
      <c r="E101" s="90">
        <v>1000</v>
      </c>
      <c r="F101" s="90">
        <v>0</v>
      </c>
      <c r="G101" s="90">
        <v>29530.400000000001</v>
      </c>
      <c r="H101" s="90" t="s">
        <v>1784</v>
      </c>
      <c r="I101" s="90"/>
      <c r="J101" s="90" t="s">
        <v>975</v>
      </c>
      <c r="K101" s="90" t="s">
        <v>91</v>
      </c>
      <c r="L101" s="39">
        <v>0.55000000000000004</v>
      </c>
      <c r="M101" s="90" t="s">
        <v>46</v>
      </c>
    </row>
    <row r="102" spans="1:13" x14ac:dyDescent="0.3">
      <c r="A102" s="37">
        <v>46054</v>
      </c>
      <c r="B102" s="38" t="s">
        <v>1785</v>
      </c>
      <c r="C102" s="38"/>
      <c r="D102" s="37">
        <v>46054</v>
      </c>
      <c r="E102" s="38">
        <v>0</v>
      </c>
      <c r="F102" s="38">
        <v>700</v>
      </c>
      <c r="G102" s="38">
        <v>30230.400000000001</v>
      </c>
      <c r="H102" s="38"/>
      <c r="I102" s="38"/>
      <c r="J102" s="38" t="s">
        <v>1674</v>
      </c>
      <c r="K102" s="38" t="s">
        <v>91</v>
      </c>
      <c r="L102" s="39">
        <v>0.55000000000000004</v>
      </c>
      <c r="M102" s="38" t="s">
        <v>46</v>
      </c>
    </row>
    <row r="103" spans="1:13" x14ac:dyDescent="0.3">
      <c r="A103" s="89">
        <v>46054</v>
      </c>
      <c r="B103" s="90" t="s">
        <v>1786</v>
      </c>
      <c r="C103" s="90"/>
      <c r="D103" s="89">
        <v>46054</v>
      </c>
      <c r="E103" s="90">
        <v>700</v>
      </c>
      <c r="F103" s="90">
        <v>0</v>
      </c>
      <c r="G103" s="90">
        <v>29530.400000000001</v>
      </c>
      <c r="H103" s="90" t="s">
        <v>1542</v>
      </c>
      <c r="I103" s="90"/>
      <c r="J103" s="90" t="s">
        <v>975</v>
      </c>
      <c r="K103" s="90" t="s">
        <v>91</v>
      </c>
      <c r="L103" s="40">
        <v>0.75</v>
      </c>
      <c r="M103" s="90" t="s">
        <v>46</v>
      </c>
    </row>
    <row r="104" spans="1:13" x14ac:dyDescent="0.3">
      <c r="A104" s="27">
        <v>46055</v>
      </c>
      <c r="B104" s="28" t="s">
        <v>1787</v>
      </c>
      <c r="C104" s="28"/>
      <c r="D104" s="27">
        <v>46055</v>
      </c>
      <c r="E104" s="28">
        <v>0</v>
      </c>
      <c r="F104" s="28">
        <v>6469.6</v>
      </c>
      <c r="G104" s="28">
        <v>36000</v>
      </c>
      <c r="H104" s="28"/>
      <c r="I104" s="28"/>
      <c r="J104" s="28" t="s">
        <v>1656</v>
      </c>
      <c r="K104" s="28" t="s">
        <v>1680</v>
      </c>
      <c r="L104" s="24">
        <v>0.9</v>
      </c>
      <c r="M104" s="28" t="s">
        <v>46</v>
      </c>
    </row>
    <row r="105" spans="1:13" x14ac:dyDescent="0.3">
      <c r="A105" s="37">
        <v>46056</v>
      </c>
      <c r="B105" s="38" t="s">
        <v>1788</v>
      </c>
      <c r="C105" s="38"/>
      <c r="D105" s="37">
        <v>46056</v>
      </c>
      <c r="E105" s="38">
        <v>0</v>
      </c>
      <c r="F105" s="38">
        <v>1000</v>
      </c>
      <c r="G105" s="38">
        <v>37000</v>
      </c>
      <c r="H105" s="38"/>
      <c r="I105" s="38"/>
      <c r="J105" s="38" t="s">
        <v>1673</v>
      </c>
      <c r="K105" s="38" t="s">
        <v>91</v>
      </c>
      <c r="L105" s="39">
        <v>0.55000000000000004</v>
      </c>
      <c r="M105" s="38" t="s">
        <v>46</v>
      </c>
    </row>
    <row r="106" spans="1:13" x14ac:dyDescent="0.3">
      <c r="A106" s="85">
        <v>46079</v>
      </c>
      <c r="B106" s="86" t="s">
        <v>1789</v>
      </c>
      <c r="C106" s="86"/>
      <c r="D106" s="85">
        <v>46079</v>
      </c>
      <c r="E106" s="86">
        <v>1000</v>
      </c>
      <c r="F106" s="86">
        <v>0</v>
      </c>
      <c r="G106" s="86">
        <v>36000</v>
      </c>
      <c r="H106" s="86"/>
      <c r="I106" s="86"/>
      <c r="J106" s="86" t="s">
        <v>974</v>
      </c>
      <c r="K106" s="86" t="s">
        <v>1019</v>
      </c>
      <c r="L106" s="24">
        <v>0.9</v>
      </c>
      <c r="M106" s="86" t="s">
        <v>46</v>
      </c>
    </row>
    <row r="107" spans="1:13" x14ac:dyDescent="0.3">
      <c r="A107" s="22">
        <v>46084</v>
      </c>
      <c r="B107" s="23" t="s">
        <v>1790</v>
      </c>
      <c r="C107" s="23"/>
      <c r="D107" s="22">
        <v>46084</v>
      </c>
      <c r="E107" s="23">
        <v>26000</v>
      </c>
      <c r="F107" s="23">
        <v>0</v>
      </c>
      <c r="G107" s="23">
        <v>10000</v>
      </c>
      <c r="H107" s="23"/>
      <c r="I107" s="23"/>
      <c r="J107" s="23" t="s">
        <v>1667</v>
      </c>
      <c r="K107" s="23" t="s">
        <v>1735</v>
      </c>
      <c r="L107" s="24">
        <v>0.88</v>
      </c>
      <c r="M107" s="23" t="s">
        <v>46</v>
      </c>
    </row>
    <row r="108" spans="1:13" x14ac:dyDescent="0.3">
      <c r="A108" s="146">
        <v>46088</v>
      </c>
      <c r="B108" s="147" t="s">
        <v>1791</v>
      </c>
      <c r="C108" s="147"/>
      <c r="D108" s="146">
        <v>46088</v>
      </c>
      <c r="E108" s="147">
        <v>0</v>
      </c>
      <c r="F108" s="147">
        <v>20</v>
      </c>
      <c r="G108" s="147">
        <v>10020</v>
      </c>
      <c r="H108" s="147"/>
      <c r="I108" s="147"/>
      <c r="J108" s="147" t="s">
        <v>1675</v>
      </c>
      <c r="K108" s="147" t="s">
        <v>1658</v>
      </c>
      <c r="L108" s="24">
        <v>0.88</v>
      </c>
      <c r="M108" s="147" t="s">
        <v>46</v>
      </c>
    </row>
    <row r="109" spans="1:13" x14ac:dyDescent="0.3">
      <c r="A109" s="37">
        <v>46090</v>
      </c>
      <c r="B109" s="38" t="s">
        <v>1792</v>
      </c>
      <c r="C109" s="38"/>
      <c r="D109" s="37">
        <v>46090</v>
      </c>
      <c r="E109" s="38">
        <v>0</v>
      </c>
      <c r="F109" s="38">
        <v>2130</v>
      </c>
      <c r="G109" s="38">
        <v>12150</v>
      </c>
      <c r="H109" s="38"/>
      <c r="I109" s="38"/>
      <c r="J109" s="38" t="s">
        <v>1676</v>
      </c>
      <c r="K109" s="38" t="s">
        <v>91</v>
      </c>
      <c r="L109" s="39">
        <v>0.55000000000000004</v>
      </c>
      <c r="M109" s="38" t="s">
        <v>46</v>
      </c>
    </row>
    <row r="110" spans="1:13" x14ac:dyDescent="0.3">
      <c r="A110" s="83">
        <v>46096</v>
      </c>
      <c r="B110" s="84" t="s">
        <v>1793</v>
      </c>
      <c r="C110" s="84"/>
      <c r="D110" s="83">
        <v>46096</v>
      </c>
      <c r="E110" s="84">
        <v>4513.6000000000004</v>
      </c>
      <c r="F110" s="84">
        <v>0</v>
      </c>
      <c r="G110" s="84">
        <v>7636.4</v>
      </c>
      <c r="H110" s="84"/>
      <c r="I110" s="84"/>
      <c r="J110" s="84" t="s">
        <v>973</v>
      </c>
      <c r="K110" s="84" t="s">
        <v>1014</v>
      </c>
      <c r="L110" s="40">
        <v>0.68</v>
      </c>
      <c r="M110" s="84" t="s">
        <v>46</v>
      </c>
    </row>
    <row r="111" spans="1:13" x14ac:dyDescent="0.3">
      <c r="A111" s="148">
        <v>46100</v>
      </c>
      <c r="B111" s="149" t="s">
        <v>1794</v>
      </c>
      <c r="C111" s="149"/>
      <c r="D111" s="148">
        <v>46100</v>
      </c>
      <c r="E111" s="149">
        <v>20</v>
      </c>
      <c r="F111" s="149">
        <v>0</v>
      </c>
      <c r="G111" s="149">
        <v>7616.4</v>
      </c>
      <c r="H111" s="149"/>
      <c r="I111" s="149"/>
      <c r="J111" s="149" t="s">
        <v>1677</v>
      </c>
      <c r="K111" s="149" t="s">
        <v>1795</v>
      </c>
      <c r="L111" s="40">
        <v>0.68</v>
      </c>
      <c r="M111" s="149" t="s">
        <v>46</v>
      </c>
    </row>
    <row r="112" spans="1:13" x14ac:dyDescent="0.3">
      <c r="A112" s="146">
        <v>46101</v>
      </c>
      <c r="B112" s="147" t="s">
        <v>1796</v>
      </c>
      <c r="C112" s="147"/>
      <c r="D112" s="146">
        <v>46101</v>
      </c>
      <c r="E112" s="147">
        <v>0</v>
      </c>
      <c r="F112" s="147">
        <v>8</v>
      </c>
      <c r="G112" s="147">
        <v>7624.4</v>
      </c>
      <c r="H112" s="147"/>
      <c r="I112" s="147"/>
      <c r="J112" s="147" t="s">
        <v>1675</v>
      </c>
      <c r="K112" s="147" t="s">
        <v>1658</v>
      </c>
      <c r="L112" s="24">
        <v>0.88</v>
      </c>
      <c r="M112" s="147" t="s">
        <v>46</v>
      </c>
    </row>
    <row r="113" spans="1:13" x14ac:dyDescent="0.3">
      <c r="A113" s="146">
        <v>46104</v>
      </c>
      <c r="B113" s="147" t="s">
        <v>1797</v>
      </c>
      <c r="C113" s="147"/>
      <c r="D113" s="146">
        <v>46104</v>
      </c>
      <c r="E113" s="147">
        <v>0</v>
      </c>
      <c r="F113" s="147">
        <v>50</v>
      </c>
      <c r="G113" s="147">
        <v>7674.4</v>
      </c>
      <c r="H113" s="147"/>
      <c r="I113" s="147"/>
      <c r="J113" s="147" t="s">
        <v>1675</v>
      </c>
      <c r="K113" s="147" t="s">
        <v>1658</v>
      </c>
      <c r="L113" s="24">
        <v>0.88</v>
      </c>
      <c r="M113" s="147" t="s">
        <v>46</v>
      </c>
    </row>
    <row r="114" spans="1:13" x14ac:dyDescent="0.3">
      <c r="A114" s="146">
        <v>46105</v>
      </c>
      <c r="B114" s="147" t="s">
        <v>1798</v>
      </c>
      <c r="C114" s="147"/>
      <c r="D114" s="146">
        <v>46105</v>
      </c>
      <c r="E114" s="147">
        <v>0</v>
      </c>
      <c r="F114" s="147">
        <v>2</v>
      </c>
      <c r="G114" s="147">
        <v>7676.4</v>
      </c>
      <c r="H114" s="147"/>
      <c r="I114" s="147"/>
      <c r="J114" s="147" t="s">
        <v>1675</v>
      </c>
      <c r="K114" s="147" t="s">
        <v>1658</v>
      </c>
      <c r="L114" s="24">
        <v>0.88</v>
      </c>
      <c r="M114" s="147" t="s">
        <v>46</v>
      </c>
    </row>
    <row r="115" spans="1:13" x14ac:dyDescent="0.3">
      <c r="A115" s="146">
        <v>46106</v>
      </c>
      <c r="B115" s="147" t="s">
        <v>1799</v>
      </c>
      <c r="C115" s="147"/>
      <c r="D115" s="146">
        <v>46106</v>
      </c>
      <c r="E115" s="147">
        <v>0</v>
      </c>
      <c r="F115" s="147">
        <v>10</v>
      </c>
      <c r="G115" s="147">
        <v>7686.4</v>
      </c>
      <c r="H115" s="147"/>
      <c r="I115" s="147"/>
      <c r="J115" s="147" t="s">
        <v>1675</v>
      </c>
      <c r="K115" s="147" t="s">
        <v>1658</v>
      </c>
      <c r="L115" s="24">
        <v>0.88</v>
      </c>
      <c r="M115" s="147" t="s">
        <v>46</v>
      </c>
    </row>
    <row r="116" spans="1:13" x14ac:dyDescent="0.3">
      <c r="A116" s="55">
        <v>46106</v>
      </c>
      <c r="B116" s="56" t="s">
        <v>1718</v>
      </c>
      <c r="C116" s="56"/>
      <c r="D116" s="55">
        <v>46106</v>
      </c>
      <c r="E116" s="56">
        <v>0</v>
      </c>
      <c r="F116" s="56">
        <v>144</v>
      </c>
      <c r="G116" s="56">
        <v>7830.4</v>
      </c>
      <c r="H116" s="56"/>
      <c r="I116" s="56"/>
      <c r="J116" s="56" t="s">
        <v>22</v>
      </c>
      <c r="K116" s="56" t="s">
        <v>22</v>
      </c>
      <c r="L116" s="24">
        <v>0.9</v>
      </c>
      <c r="M116" s="56" t="s">
        <v>46</v>
      </c>
    </row>
    <row r="117" spans="1:13" x14ac:dyDescent="0.3">
      <c r="A117" s="89">
        <v>46109</v>
      </c>
      <c r="B117" s="90" t="s">
        <v>1800</v>
      </c>
      <c r="C117" s="90"/>
      <c r="D117" s="89">
        <v>46109</v>
      </c>
      <c r="E117" s="90">
        <v>60</v>
      </c>
      <c r="F117" s="90">
        <v>0</v>
      </c>
      <c r="G117" s="90">
        <v>7770.4</v>
      </c>
      <c r="H117" s="90" t="s">
        <v>1801</v>
      </c>
      <c r="I117" s="90"/>
      <c r="J117" s="90" t="s">
        <v>975</v>
      </c>
      <c r="K117" s="90" t="s">
        <v>91</v>
      </c>
      <c r="L117" s="39">
        <v>0.55000000000000004</v>
      </c>
      <c r="M117" s="90" t="s">
        <v>46</v>
      </c>
    </row>
    <row r="118" spans="1:13" x14ac:dyDescent="0.3">
      <c r="A118" s="146">
        <v>46109</v>
      </c>
      <c r="B118" s="147" t="s">
        <v>1802</v>
      </c>
      <c r="C118" s="147"/>
      <c r="D118" s="146">
        <v>46109</v>
      </c>
      <c r="E118" s="147">
        <v>0</v>
      </c>
      <c r="F118" s="147">
        <v>3</v>
      </c>
      <c r="G118" s="147">
        <v>7773.4</v>
      </c>
      <c r="H118" s="147"/>
      <c r="I118" s="147"/>
      <c r="J118" s="147" t="s">
        <v>1675</v>
      </c>
      <c r="K118" s="147" t="s">
        <v>1658</v>
      </c>
      <c r="L118" s="24">
        <v>0.88</v>
      </c>
      <c r="M118" s="147" t="s">
        <v>46</v>
      </c>
    </row>
    <row r="119" spans="1:13" x14ac:dyDescent="0.3">
      <c r="A119" s="146">
        <v>46109</v>
      </c>
      <c r="B119" s="147" t="s">
        <v>1803</v>
      </c>
      <c r="C119" s="147"/>
      <c r="D119" s="146">
        <v>46109</v>
      </c>
      <c r="E119" s="147">
        <v>0</v>
      </c>
      <c r="F119" s="147">
        <v>58</v>
      </c>
      <c r="G119" s="147">
        <v>7831.4</v>
      </c>
      <c r="H119" s="147"/>
      <c r="I119" s="147"/>
      <c r="J119" s="147" t="s">
        <v>1678</v>
      </c>
      <c r="K119" s="147" t="s">
        <v>1658</v>
      </c>
      <c r="L119" s="24">
        <v>0.88</v>
      </c>
      <c r="M119" s="147" t="s">
        <v>46</v>
      </c>
    </row>
    <row r="120" spans="1:13" x14ac:dyDescent="0.3">
      <c r="A120" s="142">
        <v>46111</v>
      </c>
      <c r="B120" s="143" t="s">
        <v>1804</v>
      </c>
      <c r="C120" s="143"/>
      <c r="D120" s="142">
        <v>46111</v>
      </c>
      <c r="E120" s="143">
        <v>0</v>
      </c>
      <c r="F120" s="143">
        <v>9041.73</v>
      </c>
      <c r="G120" s="143">
        <v>16873.13</v>
      </c>
      <c r="H120" s="143"/>
      <c r="I120" s="143"/>
      <c r="J120" s="143" t="s">
        <v>1669</v>
      </c>
      <c r="K120" s="143" t="s">
        <v>1658</v>
      </c>
      <c r="L120" s="24">
        <v>0.92</v>
      </c>
      <c r="M120" s="143" t="s">
        <v>46</v>
      </c>
    </row>
    <row r="121" spans="1:13" x14ac:dyDescent="0.3">
      <c r="A121" s="85">
        <v>46112</v>
      </c>
      <c r="B121" s="86" t="s">
        <v>1805</v>
      </c>
      <c r="C121" s="86"/>
      <c r="D121" s="85">
        <v>46112</v>
      </c>
      <c r="E121" s="86">
        <v>5000</v>
      </c>
      <c r="F121" s="86">
        <v>0</v>
      </c>
      <c r="G121" s="86">
        <v>11873.13</v>
      </c>
      <c r="H121" s="86"/>
      <c r="I121" s="86"/>
      <c r="J121" s="86" t="s">
        <v>974</v>
      </c>
      <c r="K121" s="86" t="s">
        <v>1019</v>
      </c>
      <c r="L121" s="24">
        <v>0.88</v>
      </c>
      <c r="M121" s="86" t="s">
        <v>46</v>
      </c>
    </row>
  </sheetData>
  <autoFilter ref="A12:M12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14" hidden="1" customWidth="1"/>
    <col min="2" max="2" width="50" customWidth="1"/>
    <col min="3" max="3" width="20" hidden="1" customWidth="1"/>
    <col min="4" max="4" width="14" hidden="1" customWidth="1"/>
    <col min="5" max="5" width="9" customWidth="1"/>
    <col min="6" max="6" width="7" customWidth="1"/>
    <col min="7" max="7" width="11" hidden="1" customWidth="1"/>
    <col min="8" max="8" width="15" hidden="1" customWidth="1"/>
    <col min="9" max="9" width="19" hidden="1" customWidth="1"/>
    <col min="10" max="10" width="18" customWidth="1"/>
    <col min="11" max="11" width="17" customWidth="1"/>
    <col min="12" max="12" width="14" customWidth="1"/>
    <col min="13" max="13" width="11" customWidth="1"/>
  </cols>
  <sheetData>
    <row r="1" spans="1:13" ht="15.6" x14ac:dyDescent="0.3">
      <c r="B1" s="1" t="s">
        <v>2467</v>
      </c>
    </row>
    <row r="2" spans="1:13" x14ac:dyDescent="0.3">
      <c r="B2" s="2" t="s">
        <v>1</v>
      </c>
    </row>
    <row r="3" spans="1:13" x14ac:dyDescent="0.3">
      <c r="B3" s="18" t="s">
        <v>22</v>
      </c>
      <c r="C3" s="63" t="s">
        <v>974</v>
      </c>
    </row>
    <row r="5" spans="1:13" x14ac:dyDescent="0.3">
      <c r="A5" s="21" t="s">
        <v>31</v>
      </c>
      <c r="B5" s="21" t="s">
        <v>32</v>
      </c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</row>
    <row r="6" spans="1:13" x14ac:dyDescent="0.3">
      <c r="A6" s="55">
        <v>45778</v>
      </c>
      <c r="B6" s="56" t="s">
        <v>2468</v>
      </c>
      <c r="C6" s="56"/>
      <c r="D6" s="55">
        <v>45778</v>
      </c>
      <c r="E6" s="56">
        <v>0</v>
      </c>
      <c r="F6" s="56">
        <v>1</v>
      </c>
      <c r="G6" s="56">
        <v>238</v>
      </c>
      <c r="H6" s="56"/>
      <c r="I6" s="56" t="s">
        <v>22</v>
      </c>
      <c r="J6" s="56" t="s">
        <v>22</v>
      </c>
      <c r="K6" s="56" t="s">
        <v>22</v>
      </c>
      <c r="L6" s="24">
        <v>0.97</v>
      </c>
      <c r="M6" s="56" t="s">
        <v>1006</v>
      </c>
    </row>
    <row r="7" spans="1:13" x14ac:dyDescent="0.3">
      <c r="A7" s="55">
        <v>45809</v>
      </c>
      <c r="B7" s="56" t="s">
        <v>2469</v>
      </c>
      <c r="C7" s="56"/>
      <c r="D7" s="55">
        <v>45809</v>
      </c>
      <c r="E7" s="56">
        <v>0</v>
      </c>
      <c r="F7" s="56">
        <v>1</v>
      </c>
      <c r="G7" s="56">
        <v>239</v>
      </c>
      <c r="H7" s="56"/>
      <c r="I7" s="56" t="s">
        <v>22</v>
      </c>
      <c r="J7" s="56" t="s">
        <v>22</v>
      </c>
      <c r="K7" s="56" t="s">
        <v>22</v>
      </c>
      <c r="L7" s="24">
        <v>0.97</v>
      </c>
      <c r="M7" s="56" t="s">
        <v>1006</v>
      </c>
    </row>
    <row r="8" spans="1:13" x14ac:dyDescent="0.3">
      <c r="A8" s="55">
        <v>45839</v>
      </c>
      <c r="B8" s="56" t="s">
        <v>2470</v>
      </c>
      <c r="C8" s="56"/>
      <c r="D8" s="55">
        <v>45839</v>
      </c>
      <c r="E8" s="56">
        <v>0</v>
      </c>
      <c r="F8" s="56">
        <v>1</v>
      </c>
      <c r="G8" s="56">
        <v>240</v>
      </c>
      <c r="H8" s="56"/>
      <c r="I8" s="56" t="s">
        <v>22</v>
      </c>
      <c r="J8" s="56" t="s">
        <v>22</v>
      </c>
      <c r="K8" s="56" t="s">
        <v>22</v>
      </c>
      <c r="L8" s="24">
        <v>0.97</v>
      </c>
      <c r="M8" s="56" t="s">
        <v>1006</v>
      </c>
    </row>
    <row r="9" spans="1:13" x14ac:dyDescent="0.3">
      <c r="A9" s="55">
        <v>45870</v>
      </c>
      <c r="B9" s="56" t="s">
        <v>2471</v>
      </c>
      <c r="C9" s="56"/>
      <c r="D9" s="55">
        <v>45870</v>
      </c>
      <c r="E9" s="56">
        <v>0</v>
      </c>
      <c r="F9" s="56">
        <v>1</v>
      </c>
      <c r="G9" s="56">
        <v>241</v>
      </c>
      <c r="H9" s="56"/>
      <c r="I9" s="56" t="s">
        <v>22</v>
      </c>
      <c r="J9" s="56" t="s">
        <v>22</v>
      </c>
      <c r="K9" s="56" t="s">
        <v>22</v>
      </c>
      <c r="L9" s="24">
        <v>0.97</v>
      </c>
      <c r="M9" s="56" t="s">
        <v>1006</v>
      </c>
    </row>
    <row r="10" spans="1:13" x14ac:dyDescent="0.3">
      <c r="A10" s="85">
        <v>45870</v>
      </c>
      <c r="B10" s="86" t="s">
        <v>2472</v>
      </c>
      <c r="C10" s="86" t="s">
        <v>2473</v>
      </c>
      <c r="D10" s="85">
        <v>45870</v>
      </c>
      <c r="E10" s="86">
        <v>241</v>
      </c>
      <c r="F10" s="86">
        <v>0</v>
      </c>
      <c r="G10" s="86">
        <v>0</v>
      </c>
      <c r="H10" s="86"/>
      <c r="I10" s="86" t="s">
        <v>974</v>
      </c>
      <c r="J10" s="86" t="s">
        <v>974</v>
      </c>
      <c r="K10" s="86" t="s">
        <v>1019</v>
      </c>
      <c r="L10" s="24">
        <v>0.9</v>
      </c>
      <c r="M10" s="86" t="s">
        <v>1006</v>
      </c>
    </row>
  </sheetData>
  <autoFilter ref="A5:M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86"/>
  <sheetViews>
    <sheetView workbookViewId="0">
      <pane ySplit="25" topLeftCell="A26" activePane="bottomLeft" state="frozen"/>
      <selection pane="bottomLeft"/>
    </sheetView>
  </sheetViews>
  <sheetFormatPr defaultRowHeight="14.4" x14ac:dyDescent="0.3"/>
  <cols>
    <col min="1" max="1" width="23" hidden="1" customWidth="1"/>
    <col min="2" max="2" width="14" hidden="1" customWidth="1"/>
    <col min="3" max="4" width="12" customWidth="1"/>
    <col min="5" max="5" width="25" hidden="1" customWidth="1"/>
    <col min="6" max="6" width="35" customWidth="1"/>
    <col min="7" max="7" width="14" customWidth="1"/>
    <col min="8" max="8" width="27" customWidth="1"/>
    <col min="9" max="9" width="14" customWidth="1"/>
    <col min="10" max="10" width="26" hidden="1" customWidth="1"/>
    <col min="11" max="11" width="60" customWidth="1"/>
    <col min="12" max="12" width="23" customWidth="1"/>
    <col min="13" max="13" width="24" customWidth="1"/>
  </cols>
  <sheetData>
    <row r="1" spans="2:6" ht="15.6" x14ac:dyDescent="0.3">
      <c r="B1" s="1" t="s">
        <v>2474</v>
      </c>
    </row>
    <row r="2" spans="2:6" x14ac:dyDescent="0.3">
      <c r="B2" s="2" t="s">
        <v>1</v>
      </c>
    </row>
    <row r="3" spans="2:6" x14ac:dyDescent="0.3">
      <c r="B3" s="3" t="s">
        <v>2</v>
      </c>
      <c r="C3" s="64" t="s">
        <v>975</v>
      </c>
      <c r="D3" s="5" t="s">
        <v>30</v>
      </c>
      <c r="E3" s="5" t="s">
        <v>1656</v>
      </c>
      <c r="F3" s="67" t="s">
        <v>990</v>
      </c>
    </row>
    <row r="4" spans="2:6" x14ac:dyDescent="0.3">
      <c r="B4" s="65" t="s">
        <v>976</v>
      </c>
      <c r="C4" s="66" t="s">
        <v>978</v>
      </c>
      <c r="D4" s="61" t="s">
        <v>972</v>
      </c>
      <c r="E4" s="4" t="s">
        <v>3</v>
      </c>
      <c r="F4" s="5" t="s">
        <v>4</v>
      </c>
    </row>
    <row r="5" spans="2:6" x14ac:dyDescent="0.3">
      <c r="B5" s="128" t="s">
        <v>1678</v>
      </c>
      <c r="C5" s="6" t="s">
        <v>5</v>
      </c>
      <c r="D5" s="121" t="s">
        <v>1657</v>
      </c>
      <c r="E5" s="69" t="s">
        <v>983</v>
      </c>
      <c r="F5" s="3" t="s">
        <v>1667</v>
      </c>
    </row>
    <row r="6" spans="2:6" x14ac:dyDescent="0.3">
      <c r="B6" s="7" t="s">
        <v>6</v>
      </c>
      <c r="C6" s="8" t="s">
        <v>7</v>
      </c>
      <c r="D6" s="62" t="s">
        <v>973</v>
      </c>
      <c r="E6" s="122" t="s">
        <v>1658</v>
      </c>
      <c r="F6" s="20" t="s">
        <v>29</v>
      </c>
    </row>
    <row r="7" spans="2:6" x14ac:dyDescent="0.3">
      <c r="B7" s="65" t="s">
        <v>985</v>
      </c>
      <c r="C7" s="150" t="s">
        <v>1807</v>
      </c>
      <c r="D7" s="4" t="s">
        <v>8</v>
      </c>
      <c r="E7" s="151" t="s">
        <v>1808</v>
      </c>
      <c r="F7" s="3" t="s">
        <v>1659</v>
      </c>
    </row>
    <row r="8" spans="2:6" x14ac:dyDescent="0.3">
      <c r="B8" s="9" t="s">
        <v>9</v>
      </c>
      <c r="C8" s="10" t="s">
        <v>10</v>
      </c>
      <c r="D8" s="66" t="s">
        <v>977</v>
      </c>
      <c r="E8" s="63" t="s">
        <v>974</v>
      </c>
      <c r="F8" s="5" t="s">
        <v>11</v>
      </c>
    </row>
    <row r="9" spans="2:6" x14ac:dyDescent="0.3">
      <c r="B9" s="10" t="s">
        <v>12</v>
      </c>
      <c r="C9" s="18" t="s">
        <v>22</v>
      </c>
      <c r="D9" s="11" t="s">
        <v>13</v>
      </c>
      <c r="E9" s="67" t="s">
        <v>979</v>
      </c>
      <c r="F9" s="12" t="s">
        <v>14</v>
      </c>
    </row>
    <row r="10" spans="2:6" x14ac:dyDescent="0.3">
      <c r="B10" s="10" t="s">
        <v>1809</v>
      </c>
      <c r="C10" s="13" t="s">
        <v>15</v>
      </c>
      <c r="D10" s="14" t="s">
        <v>16</v>
      </c>
      <c r="E10" s="75" t="s">
        <v>999</v>
      </c>
      <c r="F10" s="15" t="s">
        <v>17</v>
      </c>
    </row>
    <row r="11" spans="2:6" x14ac:dyDescent="0.3">
      <c r="B11" s="16" t="s">
        <v>18</v>
      </c>
      <c r="C11" s="13" t="s">
        <v>19</v>
      </c>
      <c r="D11" s="152" t="s">
        <v>1810</v>
      </c>
      <c r="E11" s="16" t="s">
        <v>20</v>
      </c>
      <c r="F11" s="3" t="s">
        <v>980</v>
      </c>
    </row>
    <row r="12" spans="2:6" x14ac:dyDescent="0.3">
      <c r="B12" s="68" t="s">
        <v>989</v>
      </c>
      <c r="C12" s="10" t="s">
        <v>1660</v>
      </c>
      <c r="D12" s="128" t="s">
        <v>1811</v>
      </c>
      <c r="E12" s="3" t="s">
        <v>1812</v>
      </c>
      <c r="F12" s="7" t="s">
        <v>1813</v>
      </c>
    </row>
    <row r="13" spans="2:6" x14ac:dyDescent="0.3">
      <c r="B13" s="64" t="s">
        <v>1814</v>
      </c>
      <c r="C13" s="17" t="s">
        <v>21</v>
      </c>
      <c r="D13" s="4" t="s">
        <v>23</v>
      </c>
      <c r="E13" s="14" t="s">
        <v>24</v>
      </c>
      <c r="F13" s="68" t="s">
        <v>981</v>
      </c>
    </row>
    <row r="14" spans="2:6" x14ac:dyDescent="0.3">
      <c r="B14" s="123" t="s">
        <v>1661</v>
      </c>
      <c r="C14" s="123" t="s">
        <v>1815</v>
      </c>
      <c r="D14" s="11" t="s">
        <v>982</v>
      </c>
      <c r="E14" s="19" t="s">
        <v>25</v>
      </c>
      <c r="F14" s="63" t="s">
        <v>1816</v>
      </c>
    </row>
    <row r="15" spans="2:6" x14ac:dyDescent="0.3">
      <c r="B15" s="124" t="s">
        <v>1662</v>
      </c>
      <c r="C15" s="77" t="s">
        <v>1003</v>
      </c>
      <c r="D15" s="5" t="s">
        <v>26</v>
      </c>
      <c r="E15" s="10" t="s">
        <v>1663</v>
      </c>
      <c r="F15" s="10" t="s">
        <v>27</v>
      </c>
    </row>
    <row r="16" spans="2:6" x14ac:dyDescent="0.3">
      <c r="B16" s="10" t="s">
        <v>1664</v>
      </c>
      <c r="C16" s="12" t="s">
        <v>984</v>
      </c>
      <c r="D16" s="71" t="s">
        <v>1817</v>
      </c>
      <c r="E16" s="10" t="s">
        <v>28</v>
      </c>
      <c r="F16" s="10" t="s">
        <v>1665</v>
      </c>
    </row>
    <row r="17" spans="1:13" x14ac:dyDescent="0.3">
      <c r="B17" s="125" t="s">
        <v>1666</v>
      </c>
      <c r="C17" s="70" t="s">
        <v>986</v>
      </c>
      <c r="D17" s="10" t="s">
        <v>1818</v>
      </c>
      <c r="E17" s="71" t="s">
        <v>987</v>
      </c>
      <c r="F17" s="72" t="s">
        <v>988</v>
      </c>
    </row>
    <row r="18" spans="1:13" x14ac:dyDescent="0.3">
      <c r="B18" s="10" t="s">
        <v>1819</v>
      </c>
      <c r="C18" s="10" t="s">
        <v>1820</v>
      </c>
      <c r="D18" s="10" t="s">
        <v>1821</v>
      </c>
      <c r="E18" s="67" t="s">
        <v>991</v>
      </c>
      <c r="F18" s="64" t="s">
        <v>992</v>
      </c>
    </row>
    <row r="19" spans="1:13" x14ac:dyDescent="0.3">
      <c r="B19" s="129" t="s">
        <v>1677</v>
      </c>
      <c r="C19" s="70" t="s">
        <v>993</v>
      </c>
      <c r="D19" s="65" t="s">
        <v>1822</v>
      </c>
      <c r="E19" s="20" t="s">
        <v>1823</v>
      </c>
      <c r="F19" s="73" t="s">
        <v>994</v>
      </c>
    </row>
    <row r="20" spans="1:13" x14ac:dyDescent="0.3">
      <c r="B20" s="10" t="s">
        <v>1824</v>
      </c>
      <c r="C20" s="19" t="s">
        <v>995</v>
      </c>
      <c r="D20" s="73" t="s">
        <v>996</v>
      </c>
      <c r="E20" s="10" t="s">
        <v>1668</v>
      </c>
      <c r="F20" s="126" t="s">
        <v>1669</v>
      </c>
    </row>
    <row r="21" spans="1:13" x14ac:dyDescent="0.3">
      <c r="B21" s="11" t="s">
        <v>997</v>
      </c>
      <c r="C21" s="71" t="s">
        <v>1825</v>
      </c>
      <c r="D21" s="74" t="s">
        <v>998</v>
      </c>
      <c r="E21" s="11" t="s">
        <v>1000</v>
      </c>
      <c r="F21" s="10" t="s">
        <v>1670</v>
      </c>
    </row>
    <row r="22" spans="1:13" x14ac:dyDescent="0.3">
      <c r="B22" s="10" t="s">
        <v>1001</v>
      </c>
      <c r="C22" s="5" t="s">
        <v>1672</v>
      </c>
      <c r="D22" s="127" t="s">
        <v>1671</v>
      </c>
      <c r="E22" s="10" t="s">
        <v>1673</v>
      </c>
      <c r="F22" s="10" t="s">
        <v>1674</v>
      </c>
    </row>
    <row r="23" spans="1:13" x14ac:dyDescent="0.3">
      <c r="B23" s="128" t="s">
        <v>1675</v>
      </c>
      <c r="C23" s="10" t="s">
        <v>1676</v>
      </c>
      <c r="D23" s="76" t="s">
        <v>1002</v>
      </c>
    </row>
    <row r="25" spans="1:13" x14ac:dyDescent="0.3">
      <c r="A25" s="21" t="s">
        <v>2475</v>
      </c>
      <c r="B25" s="21" t="s">
        <v>31</v>
      </c>
      <c r="C25" s="21" t="s">
        <v>35</v>
      </c>
      <c r="D25" s="21" t="s">
        <v>36</v>
      </c>
      <c r="E25" s="21" t="s">
        <v>38</v>
      </c>
      <c r="F25" s="21" t="s">
        <v>2476</v>
      </c>
      <c r="G25" s="21" t="s">
        <v>42</v>
      </c>
      <c r="H25" s="21" t="s">
        <v>2477</v>
      </c>
      <c r="I25" s="21" t="s">
        <v>2478</v>
      </c>
      <c r="J25" s="21" t="s">
        <v>2479</v>
      </c>
      <c r="K25" s="21" t="s">
        <v>32</v>
      </c>
      <c r="L25" s="21" t="s">
        <v>2480</v>
      </c>
      <c r="M25" s="21" t="s">
        <v>2481</v>
      </c>
    </row>
    <row r="26" spans="1:13" x14ac:dyDescent="0.3">
      <c r="A26" s="22">
        <v>45748</v>
      </c>
      <c r="B26" s="22">
        <v>45748</v>
      </c>
      <c r="C26" s="23">
        <v>5000</v>
      </c>
      <c r="D26" s="23">
        <v>0</v>
      </c>
      <c r="E26" s="23"/>
      <c r="F26" s="23" t="s">
        <v>2</v>
      </c>
      <c r="G26" s="24">
        <v>0.95</v>
      </c>
      <c r="H26" s="23" t="s">
        <v>2</v>
      </c>
      <c r="I26" s="23" t="s">
        <v>1779</v>
      </c>
      <c r="J26" s="23"/>
      <c r="K26" s="23" t="s">
        <v>44</v>
      </c>
      <c r="L26" s="23" t="s">
        <v>2482</v>
      </c>
      <c r="M26" s="23"/>
    </row>
    <row r="27" spans="1:13" x14ac:dyDescent="0.3">
      <c r="A27" s="89">
        <v>45748.456747685188</v>
      </c>
      <c r="B27" s="89">
        <v>45748</v>
      </c>
      <c r="C27" s="90">
        <v>121</v>
      </c>
      <c r="D27" s="90">
        <v>0</v>
      </c>
      <c r="E27" s="90" t="s">
        <v>1828</v>
      </c>
      <c r="F27" s="90" t="s">
        <v>975</v>
      </c>
      <c r="G27" s="39">
        <v>0.55000000000000004</v>
      </c>
      <c r="H27" s="90" t="s">
        <v>91</v>
      </c>
      <c r="I27" s="90" t="s">
        <v>1019</v>
      </c>
      <c r="J27" s="90"/>
      <c r="K27" s="90" t="s">
        <v>1826</v>
      </c>
      <c r="L27" s="90" t="s">
        <v>2483</v>
      </c>
      <c r="M27" s="90"/>
    </row>
    <row r="28" spans="1:13" x14ac:dyDescent="0.3">
      <c r="A28" s="89">
        <v>45748.709328703713</v>
      </c>
      <c r="B28" s="89">
        <v>45748</v>
      </c>
      <c r="C28" s="90">
        <v>30</v>
      </c>
      <c r="D28" s="90">
        <v>0</v>
      </c>
      <c r="E28" s="90" t="s">
        <v>1831</v>
      </c>
      <c r="F28" s="90" t="s">
        <v>975</v>
      </c>
      <c r="G28" s="39">
        <v>0.55000000000000004</v>
      </c>
      <c r="H28" s="90" t="s">
        <v>91</v>
      </c>
      <c r="I28" s="90" t="s">
        <v>1019</v>
      </c>
      <c r="J28" s="90"/>
      <c r="K28" s="90" t="s">
        <v>1829</v>
      </c>
      <c r="L28" s="90" t="s">
        <v>2483</v>
      </c>
      <c r="M28" s="90"/>
    </row>
    <row r="29" spans="1:13" x14ac:dyDescent="0.3">
      <c r="A29" s="27">
        <v>45749</v>
      </c>
      <c r="B29" s="27">
        <v>45749</v>
      </c>
      <c r="C29" s="28">
        <v>1</v>
      </c>
      <c r="D29" s="28">
        <v>0</v>
      </c>
      <c r="E29" s="28"/>
      <c r="F29" s="28" t="s">
        <v>30</v>
      </c>
      <c r="G29" s="24">
        <v>0.9</v>
      </c>
      <c r="H29" s="28" t="s">
        <v>837</v>
      </c>
      <c r="I29" s="28" t="s">
        <v>1680</v>
      </c>
      <c r="J29" s="28" t="s">
        <v>1008</v>
      </c>
      <c r="K29" s="28" t="s">
        <v>1009</v>
      </c>
      <c r="L29" s="28" t="s">
        <v>2484</v>
      </c>
      <c r="M29" s="28" t="s">
        <v>2485</v>
      </c>
    </row>
    <row r="30" spans="1:13" x14ac:dyDescent="0.3">
      <c r="A30" s="27">
        <v>45749</v>
      </c>
      <c r="B30" s="27">
        <v>45749</v>
      </c>
      <c r="C30" s="28">
        <v>40000</v>
      </c>
      <c r="D30" s="28">
        <v>0</v>
      </c>
      <c r="E30" s="28"/>
      <c r="F30" s="28" t="s">
        <v>30</v>
      </c>
      <c r="G30" s="24">
        <v>0.9</v>
      </c>
      <c r="H30" s="28" t="s">
        <v>837</v>
      </c>
      <c r="I30" s="28" t="s">
        <v>1680</v>
      </c>
      <c r="J30" s="28" t="s">
        <v>1011</v>
      </c>
      <c r="K30" s="28" t="s">
        <v>1010</v>
      </c>
      <c r="L30" s="28" t="s">
        <v>2484</v>
      </c>
      <c r="M30" s="28"/>
    </row>
    <row r="31" spans="1:13" x14ac:dyDescent="0.3">
      <c r="A31" s="27">
        <v>45749</v>
      </c>
      <c r="B31" s="27">
        <v>45749</v>
      </c>
      <c r="C31" s="28">
        <v>0</v>
      </c>
      <c r="D31" s="28">
        <v>1</v>
      </c>
      <c r="E31" s="28"/>
      <c r="F31" s="28" t="s">
        <v>1656</v>
      </c>
      <c r="G31" s="24">
        <v>0.9</v>
      </c>
      <c r="H31" s="28" t="s">
        <v>1680</v>
      </c>
      <c r="I31" s="28" t="s">
        <v>837</v>
      </c>
      <c r="J31" s="28"/>
      <c r="K31" s="28" t="s">
        <v>1679</v>
      </c>
      <c r="L31" s="28" t="s">
        <v>2486</v>
      </c>
      <c r="M31" s="28" t="s">
        <v>2485</v>
      </c>
    </row>
    <row r="32" spans="1:13" x14ac:dyDescent="0.3">
      <c r="A32" s="27">
        <v>45749</v>
      </c>
      <c r="B32" s="27">
        <v>45749</v>
      </c>
      <c r="C32" s="28">
        <v>0</v>
      </c>
      <c r="D32" s="28">
        <v>40000</v>
      </c>
      <c r="E32" s="28"/>
      <c r="F32" s="28" t="s">
        <v>1656</v>
      </c>
      <c r="G32" s="24">
        <v>0.9</v>
      </c>
      <c r="H32" s="28" t="s">
        <v>1680</v>
      </c>
      <c r="I32" s="28" t="s">
        <v>837</v>
      </c>
      <c r="J32" s="28"/>
      <c r="K32" s="28" t="s">
        <v>1681</v>
      </c>
      <c r="L32" s="28" t="s">
        <v>2486</v>
      </c>
      <c r="M32" s="28"/>
    </row>
    <row r="33" spans="1:13" x14ac:dyDescent="0.3">
      <c r="A33" s="95">
        <v>45749</v>
      </c>
      <c r="B33" s="95">
        <v>45749</v>
      </c>
      <c r="C33" s="96">
        <v>23000</v>
      </c>
      <c r="D33" s="96">
        <v>0</v>
      </c>
      <c r="E33" s="96"/>
      <c r="F33" s="96" t="s">
        <v>990</v>
      </c>
      <c r="G33" s="24">
        <v>0.9</v>
      </c>
      <c r="H33" s="96" t="s">
        <v>990</v>
      </c>
      <c r="I33" s="96" t="s">
        <v>837</v>
      </c>
      <c r="J33" s="96"/>
      <c r="K33" s="96" t="s">
        <v>1682</v>
      </c>
      <c r="L33" s="96" t="s">
        <v>2486</v>
      </c>
      <c r="M33" s="96"/>
    </row>
    <row r="34" spans="1:13" x14ac:dyDescent="0.3">
      <c r="A34" s="27">
        <v>45749</v>
      </c>
      <c r="B34" s="27">
        <v>45749</v>
      </c>
      <c r="C34" s="28">
        <v>0</v>
      </c>
      <c r="D34" s="28">
        <v>1</v>
      </c>
      <c r="E34" s="28"/>
      <c r="F34" s="28" t="s">
        <v>1656</v>
      </c>
      <c r="G34" s="24">
        <v>0.9</v>
      </c>
      <c r="H34" s="28" t="s">
        <v>1680</v>
      </c>
      <c r="I34" s="28" t="s">
        <v>837</v>
      </c>
      <c r="J34" s="28"/>
      <c r="K34" s="28" t="s">
        <v>1683</v>
      </c>
      <c r="L34" s="28" t="s">
        <v>2486</v>
      </c>
      <c r="M34" s="28" t="s">
        <v>2485</v>
      </c>
    </row>
    <row r="35" spans="1:13" x14ac:dyDescent="0.3">
      <c r="A35" s="101">
        <v>45749</v>
      </c>
      <c r="B35" s="101">
        <v>45749</v>
      </c>
      <c r="C35" s="102">
        <v>3000</v>
      </c>
      <c r="D35" s="102">
        <v>0</v>
      </c>
      <c r="E35" s="102"/>
      <c r="F35" s="102" t="s">
        <v>976</v>
      </c>
      <c r="G35" s="24">
        <v>0.85</v>
      </c>
      <c r="H35" s="102" t="s">
        <v>1028</v>
      </c>
      <c r="I35" s="102" t="s">
        <v>837</v>
      </c>
      <c r="J35" s="102"/>
      <c r="K35" s="102" t="s">
        <v>1684</v>
      </c>
      <c r="L35" s="102" t="s">
        <v>2486</v>
      </c>
      <c r="M35" s="102"/>
    </row>
    <row r="36" spans="1:13" x14ac:dyDescent="0.3">
      <c r="A36" s="97">
        <v>45749</v>
      </c>
      <c r="B36" s="97">
        <v>45749</v>
      </c>
      <c r="C36" s="98">
        <v>2000</v>
      </c>
      <c r="D36" s="98">
        <v>0</v>
      </c>
      <c r="E36" s="98"/>
      <c r="F36" s="98" t="s">
        <v>978</v>
      </c>
      <c r="G36" s="24">
        <v>0.85</v>
      </c>
      <c r="H36" s="98" t="s">
        <v>1031</v>
      </c>
      <c r="I36" s="98" t="s">
        <v>837</v>
      </c>
      <c r="J36" s="98"/>
      <c r="K36" s="98" t="s">
        <v>1685</v>
      </c>
      <c r="L36" s="98" t="s">
        <v>2486</v>
      </c>
      <c r="M36" s="98"/>
    </row>
    <row r="37" spans="1:13" x14ac:dyDescent="0.3">
      <c r="A37" s="101">
        <v>45749</v>
      </c>
      <c r="B37" s="101">
        <v>45749</v>
      </c>
      <c r="C37" s="102">
        <v>2000</v>
      </c>
      <c r="D37" s="102">
        <v>0</v>
      </c>
      <c r="E37" s="102"/>
      <c r="F37" s="102" t="s">
        <v>976</v>
      </c>
      <c r="G37" s="24">
        <v>0.85</v>
      </c>
      <c r="H37" s="102" t="s">
        <v>1028</v>
      </c>
      <c r="I37" s="102" t="s">
        <v>837</v>
      </c>
      <c r="J37" s="102"/>
      <c r="K37" s="102" t="s">
        <v>1686</v>
      </c>
      <c r="L37" s="102" t="s">
        <v>2486</v>
      </c>
      <c r="M37" s="102" t="s">
        <v>2485</v>
      </c>
    </row>
    <row r="38" spans="1:13" x14ac:dyDescent="0.3">
      <c r="A38" s="101">
        <v>45749</v>
      </c>
      <c r="B38" s="101">
        <v>45749</v>
      </c>
      <c r="C38" s="102">
        <v>2000</v>
      </c>
      <c r="D38" s="102">
        <v>0</v>
      </c>
      <c r="E38" s="102"/>
      <c r="F38" s="102" t="s">
        <v>976</v>
      </c>
      <c r="G38" s="24">
        <v>0.85</v>
      </c>
      <c r="H38" s="102" t="s">
        <v>1028</v>
      </c>
      <c r="I38" s="102" t="s">
        <v>837</v>
      </c>
      <c r="J38" s="102"/>
      <c r="K38" s="102" t="s">
        <v>1687</v>
      </c>
      <c r="L38" s="102" t="s">
        <v>2486</v>
      </c>
      <c r="M38" s="102" t="s">
        <v>2485</v>
      </c>
    </row>
    <row r="39" spans="1:13" x14ac:dyDescent="0.3">
      <c r="A39" s="27">
        <v>45749</v>
      </c>
      <c r="B39" s="27">
        <v>45749</v>
      </c>
      <c r="C39" s="28">
        <v>1</v>
      </c>
      <c r="D39" s="28">
        <v>0</v>
      </c>
      <c r="E39" s="28"/>
      <c r="F39" s="28" t="s">
        <v>30</v>
      </c>
      <c r="G39" s="24">
        <v>0.9</v>
      </c>
      <c r="H39" s="28" t="s">
        <v>837</v>
      </c>
      <c r="I39" s="28" t="s">
        <v>1680</v>
      </c>
      <c r="J39" s="28" t="s">
        <v>1008</v>
      </c>
      <c r="K39" s="28" t="s">
        <v>1007</v>
      </c>
      <c r="L39" s="28" t="s">
        <v>2484</v>
      </c>
      <c r="M39" s="28" t="s">
        <v>2485</v>
      </c>
    </row>
    <row r="40" spans="1:13" x14ac:dyDescent="0.3">
      <c r="A40" s="78">
        <v>45749</v>
      </c>
      <c r="B40" s="78">
        <v>45749</v>
      </c>
      <c r="C40" s="79">
        <v>0</v>
      </c>
      <c r="D40" s="79">
        <v>66897</v>
      </c>
      <c r="E40" s="79"/>
      <c r="F40" s="79" t="s">
        <v>972</v>
      </c>
      <c r="G40" s="24">
        <v>0.95</v>
      </c>
      <c r="H40" s="79" t="s">
        <v>972</v>
      </c>
      <c r="I40" s="79" t="s">
        <v>1680</v>
      </c>
      <c r="J40" s="79" t="s">
        <v>972</v>
      </c>
      <c r="K40" s="79" t="s">
        <v>1004</v>
      </c>
      <c r="L40" s="79" t="s">
        <v>2484</v>
      </c>
      <c r="M40" s="79"/>
    </row>
    <row r="41" spans="1:13" x14ac:dyDescent="0.3">
      <c r="A41" s="25">
        <v>45749</v>
      </c>
      <c r="B41" s="25">
        <v>45749</v>
      </c>
      <c r="C41" s="26">
        <v>0</v>
      </c>
      <c r="D41" s="26">
        <v>5239.8500000000004</v>
      </c>
      <c r="E41" s="26"/>
      <c r="F41" s="26" t="s">
        <v>3</v>
      </c>
      <c r="G41" s="24">
        <v>0.93</v>
      </c>
      <c r="H41" s="26" t="s">
        <v>49</v>
      </c>
      <c r="I41" s="26" t="s">
        <v>1779</v>
      </c>
      <c r="J41" s="26"/>
      <c r="K41" s="26" t="s">
        <v>47</v>
      </c>
      <c r="L41" s="26" t="s">
        <v>2482</v>
      </c>
      <c r="M41" s="26"/>
    </row>
    <row r="42" spans="1:13" x14ac:dyDescent="0.3">
      <c r="A42" s="27">
        <v>45749</v>
      </c>
      <c r="B42" s="27">
        <v>45749</v>
      </c>
      <c r="C42" s="28">
        <v>9081.73</v>
      </c>
      <c r="D42" s="28">
        <v>0</v>
      </c>
      <c r="E42" s="28"/>
      <c r="F42" s="28" t="s">
        <v>4</v>
      </c>
      <c r="G42" s="24">
        <v>0.97</v>
      </c>
      <c r="H42" s="28" t="s">
        <v>49</v>
      </c>
      <c r="I42" s="28" t="s">
        <v>1779</v>
      </c>
      <c r="J42" s="28"/>
      <c r="K42" s="28" t="s">
        <v>50</v>
      </c>
      <c r="L42" s="28" t="s">
        <v>2482</v>
      </c>
      <c r="M42" s="28"/>
    </row>
    <row r="43" spans="1:13" x14ac:dyDescent="0.3">
      <c r="A43" s="27">
        <v>45749</v>
      </c>
      <c r="B43" s="27">
        <v>45749</v>
      </c>
      <c r="C43" s="28">
        <v>150.26</v>
      </c>
      <c r="D43" s="28">
        <v>0</v>
      </c>
      <c r="E43" s="28"/>
      <c r="F43" s="28" t="s">
        <v>4</v>
      </c>
      <c r="G43" s="24">
        <v>0.97</v>
      </c>
      <c r="H43" s="28" t="s">
        <v>49</v>
      </c>
      <c r="I43" s="28" t="s">
        <v>1779</v>
      </c>
      <c r="J43" s="28"/>
      <c r="K43" s="28" t="s">
        <v>50</v>
      </c>
      <c r="L43" s="28" t="s">
        <v>2482</v>
      </c>
      <c r="M43" s="28"/>
    </row>
    <row r="44" spans="1:13" x14ac:dyDescent="0.3">
      <c r="A44" s="25">
        <v>45750</v>
      </c>
      <c r="B44" s="25">
        <v>45750</v>
      </c>
      <c r="C44" s="26">
        <v>0</v>
      </c>
      <c r="D44" s="26">
        <v>656.71</v>
      </c>
      <c r="E44" s="26"/>
      <c r="F44" s="26" t="s">
        <v>3</v>
      </c>
      <c r="G44" s="24">
        <v>0.93</v>
      </c>
      <c r="H44" s="26" t="s">
        <v>49</v>
      </c>
      <c r="I44" s="26" t="s">
        <v>1779</v>
      </c>
      <c r="J44" s="26"/>
      <c r="K44" s="26" t="s">
        <v>53</v>
      </c>
      <c r="L44" s="26" t="s">
        <v>2482</v>
      </c>
      <c r="M44" s="26"/>
    </row>
    <row r="45" spans="1:13" x14ac:dyDescent="0.3">
      <c r="A45" s="27">
        <v>45750</v>
      </c>
      <c r="B45" s="27">
        <v>45750</v>
      </c>
      <c r="C45" s="28">
        <v>134.41</v>
      </c>
      <c r="D45" s="28">
        <v>0</v>
      </c>
      <c r="E45" s="28"/>
      <c r="F45" s="28" t="s">
        <v>4</v>
      </c>
      <c r="G45" s="24">
        <v>0.97</v>
      </c>
      <c r="H45" s="28" t="s">
        <v>49</v>
      </c>
      <c r="I45" s="28" t="s">
        <v>1779</v>
      </c>
      <c r="J45" s="28"/>
      <c r="K45" s="28" t="s">
        <v>50</v>
      </c>
      <c r="L45" s="28" t="s">
        <v>2482</v>
      </c>
      <c r="M45" s="28"/>
    </row>
    <row r="46" spans="1:13" x14ac:dyDescent="0.3">
      <c r="A46" s="101">
        <v>45750</v>
      </c>
      <c r="B46" s="101">
        <v>45750</v>
      </c>
      <c r="C46" s="102">
        <v>2000</v>
      </c>
      <c r="D46" s="102">
        <v>0</v>
      </c>
      <c r="E46" s="102"/>
      <c r="F46" s="102" t="s">
        <v>976</v>
      </c>
      <c r="G46" s="24">
        <v>0.85</v>
      </c>
      <c r="H46" s="102" t="s">
        <v>1028</v>
      </c>
      <c r="I46" s="102" t="s">
        <v>837</v>
      </c>
      <c r="J46" s="102"/>
      <c r="K46" s="102" t="s">
        <v>1688</v>
      </c>
      <c r="L46" s="102" t="s">
        <v>2486</v>
      </c>
      <c r="M46" s="102" t="s">
        <v>2485</v>
      </c>
    </row>
    <row r="47" spans="1:13" x14ac:dyDescent="0.3">
      <c r="A47" s="101">
        <v>45750</v>
      </c>
      <c r="B47" s="101">
        <v>45750</v>
      </c>
      <c r="C47" s="102">
        <v>2360.8200000000002</v>
      </c>
      <c r="D47" s="102">
        <v>0</v>
      </c>
      <c r="E47" s="102"/>
      <c r="F47" s="102" t="s">
        <v>976</v>
      </c>
      <c r="G47" s="24">
        <v>0.85</v>
      </c>
      <c r="H47" s="102" t="s">
        <v>1028</v>
      </c>
      <c r="I47" s="102" t="s">
        <v>837</v>
      </c>
      <c r="J47" s="102"/>
      <c r="K47" s="102" t="s">
        <v>1690</v>
      </c>
      <c r="L47" s="102" t="s">
        <v>2486</v>
      </c>
      <c r="M47" s="102"/>
    </row>
    <row r="48" spans="1:13" x14ac:dyDescent="0.3">
      <c r="A48" s="101">
        <v>45750</v>
      </c>
      <c r="B48" s="101">
        <v>45750</v>
      </c>
      <c r="C48" s="102">
        <v>2000</v>
      </c>
      <c r="D48" s="102">
        <v>0</v>
      </c>
      <c r="E48" s="102"/>
      <c r="F48" s="102" t="s">
        <v>976</v>
      </c>
      <c r="G48" s="24">
        <v>0.85</v>
      </c>
      <c r="H48" s="102" t="s">
        <v>1028</v>
      </c>
      <c r="I48" s="102" t="s">
        <v>837</v>
      </c>
      <c r="J48" s="102"/>
      <c r="K48" s="102" t="s">
        <v>1689</v>
      </c>
      <c r="L48" s="102" t="s">
        <v>2486</v>
      </c>
      <c r="M48" s="102" t="s">
        <v>2485</v>
      </c>
    </row>
    <row r="49" spans="1:13" x14ac:dyDescent="0.3">
      <c r="A49" s="89">
        <v>45750.764594907407</v>
      </c>
      <c r="B49" s="89">
        <v>45750</v>
      </c>
      <c r="C49" s="90">
        <v>50</v>
      </c>
      <c r="D49" s="90">
        <v>0</v>
      </c>
      <c r="E49" s="90" t="s">
        <v>1834</v>
      </c>
      <c r="F49" s="90" t="s">
        <v>975</v>
      </c>
      <c r="G49" s="39">
        <v>0.55000000000000004</v>
      </c>
      <c r="H49" s="90" t="s">
        <v>91</v>
      </c>
      <c r="I49" s="90" t="s">
        <v>1019</v>
      </c>
      <c r="J49" s="90"/>
      <c r="K49" s="90" t="s">
        <v>1832</v>
      </c>
      <c r="L49" s="90" t="s">
        <v>2483</v>
      </c>
      <c r="M49" s="90"/>
    </row>
    <row r="50" spans="1:13" x14ac:dyDescent="0.3">
      <c r="A50" s="146">
        <v>45750.948738425926</v>
      </c>
      <c r="B50" s="146">
        <v>45750</v>
      </c>
      <c r="C50" s="147">
        <v>0</v>
      </c>
      <c r="D50" s="147">
        <v>66.739999999999995</v>
      </c>
      <c r="E50" s="147"/>
      <c r="F50" s="147" t="s">
        <v>1678</v>
      </c>
      <c r="G50" s="24">
        <v>0.88</v>
      </c>
      <c r="H50" s="147" t="s">
        <v>1658</v>
      </c>
      <c r="I50" s="147" t="s">
        <v>1019</v>
      </c>
      <c r="J50" s="147"/>
      <c r="K50" s="147" t="s">
        <v>1835</v>
      </c>
      <c r="L50" s="147" t="s">
        <v>2483</v>
      </c>
      <c r="M50" s="147"/>
    </row>
    <row r="51" spans="1:13" x14ac:dyDescent="0.3">
      <c r="A51" s="25">
        <v>45751</v>
      </c>
      <c r="B51" s="25">
        <v>45751</v>
      </c>
      <c r="C51" s="26">
        <v>0</v>
      </c>
      <c r="D51" s="26">
        <v>10041.41</v>
      </c>
      <c r="E51" s="26"/>
      <c r="F51" s="26" t="s">
        <v>3</v>
      </c>
      <c r="G51" s="24">
        <v>0.93</v>
      </c>
      <c r="H51" s="26" t="s">
        <v>49</v>
      </c>
      <c r="I51" s="26" t="s">
        <v>1779</v>
      </c>
      <c r="J51" s="26"/>
      <c r="K51" s="26" t="s">
        <v>56</v>
      </c>
      <c r="L51" s="26" t="s">
        <v>2482</v>
      </c>
      <c r="M51" s="26"/>
    </row>
    <row r="52" spans="1:13" x14ac:dyDescent="0.3">
      <c r="A52" s="27">
        <v>45751</v>
      </c>
      <c r="B52" s="27">
        <v>45751</v>
      </c>
      <c r="C52" s="28">
        <v>115.2</v>
      </c>
      <c r="D52" s="28">
        <v>0</v>
      </c>
      <c r="E52" s="28"/>
      <c r="F52" s="28" t="s">
        <v>4</v>
      </c>
      <c r="G52" s="24">
        <v>0.97</v>
      </c>
      <c r="H52" s="28" t="s">
        <v>49</v>
      </c>
      <c r="I52" s="28" t="s">
        <v>1779</v>
      </c>
      <c r="J52" s="28"/>
      <c r="K52" s="28" t="s">
        <v>50</v>
      </c>
      <c r="L52" s="28" t="s">
        <v>2482</v>
      </c>
      <c r="M52" s="28"/>
    </row>
    <row r="53" spans="1:13" x14ac:dyDescent="0.3">
      <c r="A53" s="29">
        <v>45751</v>
      </c>
      <c r="B53" s="29">
        <v>45751</v>
      </c>
      <c r="C53" s="30">
        <v>0</v>
      </c>
      <c r="D53" s="30">
        <v>6146.26</v>
      </c>
      <c r="E53" s="30"/>
      <c r="F53" s="30" t="s">
        <v>5</v>
      </c>
      <c r="G53" s="24">
        <v>0.97</v>
      </c>
      <c r="H53" s="30" t="s">
        <v>49</v>
      </c>
      <c r="I53" s="30" t="s">
        <v>1779</v>
      </c>
      <c r="J53" s="30"/>
      <c r="K53" s="30" t="s">
        <v>59</v>
      </c>
      <c r="L53" s="30" t="s">
        <v>2482</v>
      </c>
      <c r="M53" s="30"/>
    </row>
    <row r="54" spans="1:13" x14ac:dyDescent="0.3">
      <c r="A54" s="130">
        <v>45751</v>
      </c>
      <c r="B54" s="130">
        <v>45751</v>
      </c>
      <c r="C54" s="131">
        <v>210</v>
      </c>
      <c r="D54" s="131">
        <v>0</v>
      </c>
      <c r="E54" s="131"/>
      <c r="F54" s="131" t="s">
        <v>1657</v>
      </c>
      <c r="G54" s="40">
        <v>0.65</v>
      </c>
      <c r="H54" s="131" t="s">
        <v>91</v>
      </c>
      <c r="I54" s="131" t="s">
        <v>837</v>
      </c>
      <c r="J54" s="131"/>
      <c r="K54" s="131" t="s">
        <v>1691</v>
      </c>
      <c r="L54" s="131" t="s">
        <v>2486</v>
      </c>
      <c r="M54" s="131"/>
    </row>
    <row r="55" spans="1:13" x14ac:dyDescent="0.3">
      <c r="A55" s="89">
        <v>45751.957303240742</v>
      </c>
      <c r="B55" s="89">
        <v>45751</v>
      </c>
      <c r="C55" s="90">
        <v>285</v>
      </c>
      <c r="D55" s="90">
        <v>0</v>
      </c>
      <c r="E55" s="90" t="s">
        <v>1839</v>
      </c>
      <c r="F55" s="90" t="s">
        <v>975</v>
      </c>
      <c r="G55" s="39">
        <v>0.55000000000000004</v>
      </c>
      <c r="H55" s="90" t="s">
        <v>91</v>
      </c>
      <c r="I55" s="90" t="s">
        <v>1019</v>
      </c>
      <c r="J55" s="90"/>
      <c r="K55" s="90" t="s">
        <v>1837</v>
      </c>
      <c r="L55" s="90" t="s">
        <v>2483</v>
      </c>
      <c r="M55" s="90"/>
    </row>
    <row r="56" spans="1:13" x14ac:dyDescent="0.3">
      <c r="A56" s="103">
        <v>45752</v>
      </c>
      <c r="B56" s="103">
        <v>45752</v>
      </c>
      <c r="C56" s="104">
        <v>60</v>
      </c>
      <c r="D56" s="104">
        <v>0</v>
      </c>
      <c r="E56" s="104"/>
      <c r="F56" s="104" t="s">
        <v>983</v>
      </c>
      <c r="G56" s="40">
        <v>0.82</v>
      </c>
      <c r="H56" s="104" t="s">
        <v>131</v>
      </c>
      <c r="I56" s="104" t="s">
        <v>837</v>
      </c>
      <c r="J56" s="104"/>
      <c r="K56" s="104" t="s">
        <v>1692</v>
      </c>
      <c r="L56" s="104" t="s">
        <v>2486</v>
      </c>
      <c r="M56" s="104"/>
    </row>
    <row r="57" spans="1:13" x14ac:dyDescent="0.3">
      <c r="A57" s="22">
        <v>45752.34138888889</v>
      </c>
      <c r="B57" s="22">
        <v>45752</v>
      </c>
      <c r="C57" s="23">
        <v>0</v>
      </c>
      <c r="D57" s="23">
        <v>4213.71</v>
      </c>
      <c r="E57" s="23"/>
      <c r="F57" s="23" t="s">
        <v>1667</v>
      </c>
      <c r="G57" s="24">
        <v>0.92</v>
      </c>
      <c r="H57" s="23" t="s">
        <v>1735</v>
      </c>
      <c r="I57" s="23" t="s">
        <v>1019</v>
      </c>
      <c r="J57" s="23"/>
      <c r="K57" s="23" t="s">
        <v>1840</v>
      </c>
      <c r="L57" s="23" t="s">
        <v>2483</v>
      </c>
      <c r="M57" s="23"/>
    </row>
    <row r="58" spans="1:13" x14ac:dyDescent="0.3">
      <c r="A58" s="89">
        <v>45752.781377314823</v>
      </c>
      <c r="B58" s="89">
        <v>45752</v>
      </c>
      <c r="C58" s="90">
        <v>210</v>
      </c>
      <c r="D58" s="90">
        <v>0</v>
      </c>
      <c r="E58" s="90" t="s">
        <v>1844</v>
      </c>
      <c r="F58" s="90" t="s">
        <v>975</v>
      </c>
      <c r="G58" s="39">
        <v>0.55000000000000004</v>
      </c>
      <c r="H58" s="90" t="s">
        <v>91</v>
      </c>
      <c r="I58" s="90" t="s">
        <v>1019</v>
      </c>
      <c r="J58" s="90"/>
      <c r="K58" s="90" t="s">
        <v>1842</v>
      </c>
      <c r="L58" s="90" t="s">
        <v>2483</v>
      </c>
      <c r="M58" s="90"/>
    </row>
    <row r="59" spans="1:13" x14ac:dyDescent="0.3">
      <c r="A59" s="89">
        <v>45753.756296296298</v>
      </c>
      <c r="B59" s="89">
        <v>45753</v>
      </c>
      <c r="C59" s="90">
        <v>30</v>
      </c>
      <c r="D59" s="90">
        <v>0</v>
      </c>
      <c r="E59" s="90" t="s">
        <v>1847</v>
      </c>
      <c r="F59" s="90" t="s">
        <v>975</v>
      </c>
      <c r="G59" s="39">
        <v>0.55000000000000004</v>
      </c>
      <c r="H59" s="90" t="s">
        <v>91</v>
      </c>
      <c r="I59" s="90" t="s">
        <v>1019</v>
      </c>
      <c r="J59" s="90"/>
      <c r="K59" s="90" t="s">
        <v>1845</v>
      </c>
      <c r="L59" s="90" t="s">
        <v>2483</v>
      </c>
      <c r="M59" s="90"/>
    </row>
    <row r="60" spans="1:13" x14ac:dyDescent="0.3">
      <c r="A60" s="27">
        <v>45754</v>
      </c>
      <c r="B60" s="27">
        <v>45754</v>
      </c>
      <c r="C60" s="28">
        <v>323.04000000000002</v>
      </c>
      <c r="D60" s="28">
        <v>0</v>
      </c>
      <c r="E60" s="28"/>
      <c r="F60" s="28" t="s">
        <v>4</v>
      </c>
      <c r="G60" s="24">
        <v>0.97</v>
      </c>
      <c r="H60" s="28" t="s">
        <v>49</v>
      </c>
      <c r="I60" s="28" t="s">
        <v>1779</v>
      </c>
      <c r="J60" s="28"/>
      <c r="K60" s="28" t="s">
        <v>50</v>
      </c>
      <c r="L60" s="28" t="s">
        <v>2482</v>
      </c>
      <c r="M60" s="28"/>
    </row>
    <row r="61" spans="1:13" x14ac:dyDescent="0.3">
      <c r="A61" s="31">
        <v>45754</v>
      </c>
      <c r="B61" s="31">
        <v>45754</v>
      </c>
      <c r="C61" s="32">
        <v>0</v>
      </c>
      <c r="D61" s="32">
        <v>1880</v>
      </c>
      <c r="E61" s="32"/>
      <c r="F61" s="32" t="s">
        <v>6</v>
      </c>
      <c r="G61" s="24">
        <v>0.95</v>
      </c>
      <c r="H61" s="32" t="s">
        <v>63</v>
      </c>
      <c r="I61" s="32" t="s">
        <v>1779</v>
      </c>
      <c r="J61" s="32"/>
      <c r="K61" s="32" t="s">
        <v>61</v>
      </c>
      <c r="L61" s="32" t="s">
        <v>2482</v>
      </c>
      <c r="M61" s="32"/>
    </row>
    <row r="62" spans="1:13" x14ac:dyDescent="0.3">
      <c r="A62" s="27">
        <v>45754</v>
      </c>
      <c r="B62" s="27">
        <v>45754</v>
      </c>
      <c r="C62" s="28">
        <v>6242.17</v>
      </c>
      <c r="D62" s="28">
        <v>0</v>
      </c>
      <c r="E62" s="28"/>
      <c r="F62" s="28" t="s">
        <v>4</v>
      </c>
      <c r="G62" s="24">
        <v>0.97</v>
      </c>
      <c r="H62" s="28" t="s">
        <v>49</v>
      </c>
      <c r="I62" s="28" t="s">
        <v>1779</v>
      </c>
      <c r="J62" s="28"/>
      <c r="K62" s="28" t="s">
        <v>50</v>
      </c>
      <c r="L62" s="28" t="s">
        <v>2482</v>
      </c>
      <c r="M62" s="28"/>
    </row>
    <row r="63" spans="1:13" x14ac:dyDescent="0.3">
      <c r="A63" s="27">
        <v>45755</v>
      </c>
      <c r="B63" s="27">
        <v>45755</v>
      </c>
      <c r="C63" s="28">
        <v>8913.0300000000007</v>
      </c>
      <c r="D63" s="28">
        <v>0</v>
      </c>
      <c r="E63" s="28"/>
      <c r="F63" s="28" t="s">
        <v>4</v>
      </c>
      <c r="G63" s="24">
        <v>0.97</v>
      </c>
      <c r="H63" s="28" t="s">
        <v>49</v>
      </c>
      <c r="I63" s="28" t="s">
        <v>1779</v>
      </c>
      <c r="J63" s="28"/>
      <c r="K63" s="28" t="s">
        <v>50</v>
      </c>
      <c r="L63" s="28" t="s">
        <v>2482</v>
      </c>
      <c r="M63" s="28"/>
    </row>
    <row r="64" spans="1:13" x14ac:dyDescent="0.3">
      <c r="A64" s="33">
        <v>45755</v>
      </c>
      <c r="B64" s="33">
        <v>45755</v>
      </c>
      <c r="C64" s="34">
        <v>295</v>
      </c>
      <c r="D64" s="34">
        <v>0</v>
      </c>
      <c r="E64" s="34"/>
      <c r="F64" s="34" t="s">
        <v>7</v>
      </c>
      <c r="G64" s="24">
        <v>0.9</v>
      </c>
      <c r="H64" s="34" t="s">
        <v>7</v>
      </c>
      <c r="I64" s="34" t="s">
        <v>1779</v>
      </c>
      <c r="J64" s="34"/>
      <c r="K64" s="34" t="s">
        <v>66</v>
      </c>
      <c r="L64" s="34" t="s">
        <v>2482</v>
      </c>
      <c r="M64" s="34"/>
    </row>
    <row r="65" spans="1:13" x14ac:dyDescent="0.3">
      <c r="A65" s="27">
        <v>45755</v>
      </c>
      <c r="B65" s="27">
        <v>45755</v>
      </c>
      <c r="C65" s="28">
        <v>92.57</v>
      </c>
      <c r="D65" s="28">
        <v>0</v>
      </c>
      <c r="E65" s="28"/>
      <c r="F65" s="28" t="s">
        <v>4</v>
      </c>
      <c r="G65" s="24">
        <v>0.97</v>
      </c>
      <c r="H65" s="28" t="s">
        <v>49</v>
      </c>
      <c r="I65" s="28" t="s">
        <v>1779</v>
      </c>
      <c r="J65" s="28"/>
      <c r="K65" s="28" t="s">
        <v>50</v>
      </c>
      <c r="L65" s="28" t="s">
        <v>2482</v>
      </c>
      <c r="M65" s="28"/>
    </row>
    <row r="66" spans="1:13" x14ac:dyDescent="0.3">
      <c r="A66" s="27">
        <v>45755</v>
      </c>
      <c r="B66" s="27">
        <v>45755</v>
      </c>
      <c r="C66" s="28">
        <v>1241.9100000000001</v>
      </c>
      <c r="D66" s="28">
        <v>0</v>
      </c>
      <c r="E66" s="28"/>
      <c r="F66" s="28" t="s">
        <v>4</v>
      </c>
      <c r="G66" s="24">
        <v>0.97</v>
      </c>
      <c r="H66" s="28" t="s">
        <v>49</v>
      </c>
      <c r="I66" s="28" t="s">
        <v>1779</v>
      </c>
      <c r="J66" s="28"/>
      <c r="K66" s="28" t="s">
        <v>50</v>
      </c>
      <c r="L66" s="28" t="s">
        <v>2482</v>
      </c>
      <c r="M66" s="28"/>
    </row>
    <row r="67" spans="1:13" x14ac:dyDescent="0.3">
      <c r="A67" s="27">
        <v>45756</v>
      </c>
      <c r="B67" s="27">
        <v>45756</v>
      </c>
      <c r="C67" s="28">
        <v>88.96</v>
      </c>
      <c r="D67" s="28">
        <v>0</v>
      </c>
      <c r="E67" s="28"/>
      <c r="F67" s="28" t="s">
        <v>4</v>
      </c>
      <c r="G67" s="24">
        <v>0.97</v>
      </c>
      <c r="H67" s="28" t="s">
        <v>49</v>
      </c>
      <c r="I67" s="28" t="s">
        <v>1779</v>
      </c>
      <c r="J67" s="28"/>
      <c r="K67" s="28" t="s">
        <v>50</v>
      </c>
      <c r="L67" s="28" t="s">
        <v>2482</v>
      </c>
      <c r="M67" s="28"/>
    </row>
    <row r="68" spans="1:13" x14ac:dyDescent="0.3">
      <c r="A68" s="27">
        <v>45756</v>
      </c>
      <c r="B68" s="27">
        <v>45756</v>
      </c>
      <c r="C68" s="28">
        <v>1969.84</v>
      </c>
      <c r="D68" s="28">
        <v>0</v>
      </c>
      <c r="E68" s="28"/>
      <c r="F68" s="28" t="s">
        <v>4</v>
      </c>
      <c r="G68" s="24">
        <v>0.97</v>
      </c>
      <c r="H68" s="28" t="s">
        <v>49</v>
      </c>
      <c r="I68" s="28" t="s">
        <v>1779</v>
      </c>
      <c r="J68" s="28"/>
      <c r="K68" s="28" t="s">
        <v>50</v>
      </c>
      <c r="L68" s="28" t="s">
        <v>2482</v>
      </c>
      <c r="M68" s="28"/>
    </row>
    <row r="69" spans="1:13" x14ac:dyDescent="0.3">
      <c r="A69" s="83">
        <v>45757</v>
      </c>
      <c r="B69" s="83">
        <v>45757</v>
      </c>
      <c r="C69" s="84">
        <v>5704.5</v>
      </c>
      <c r="D69" s="84">
        <v>0</v>
      </c>
      <c r="E69" s="84"/>
      <c r="F69" s="84" t="s">
        <v>973</v>
      </c>
      <c r="G69" s="24">
        <v>0.88</v>
      </c>
      <c r="H69" s="84" t="s">
        <v>1014</v>
      </c>
      <c r="I69" s="84" t="s">
        <v>1680</v>
      </c>
      <c r="J69" s="84" t="s">
        <v>1008</v>
      </c>
      <c r="K69" s="84" t="s">
        <v>1013</v>
      </c>
      <c r="L69" s="84" t="s">
        <v>2484</v>
      </c>
      <c r="M69" s="84"/>
    </row>
    <row r="70" spans="1:13" x14ac:dyDescent="0.3">
      <c r="A70" s="89">
        <v>45758</v>
      </c>
      <c r="B70" s="89">
        <v>45758</v>
      </c>
      <c r="C70" s="90">
        <v>279</v>
      </c>
      <c r="D70" s="90">
        <v>0</v>
      </c>
      <c r="E70" s="90" t="s">
        <v>1694</v>
      </c>
      <c r="F70" s="90" t="s">
        <v>975</v>
      </c>
      <c r="G70" s="39">
        <v>0.55000000000000004</v>
      </c>
      <c r="H70" s="90" t="s">
        <v>91</v>
      </c>
      <c r="I70" s="90" t="s">
        <v>837</v>
      </c>
      <c r="J70" s="90"/>
      <c r="K70" s="90" t="s">
        <v>1693</v>
      </c>
      <c r="L70" s="90" t="s">
        <v>2486</v>
      </c>
      <c r="M70" s="90"/>
    </row>
    <row r="71" spans="1:13" x14ac:dyDescent="0.3">
      <c r="A71" s="27">
        <v>45758</v>
      </c>
      <c r="B71" s="27">
        <v>45758</v>
      </c>
      <c r="C71" s="28">
        <v>192.16</v>
      </c>
      <c r="D71" s="28">
        <v>0</v>
      </c>
      <c r="E71" s="28"/>
      <c r="F71" s="28" t="s">
        <v>4</v>
      </c>
      <c r="G71" s="24">
        <v>0.97</v>
      </c>
      <c r="H71" s="28" t="s">
        <v>49</v>
      </c>
      <c r="I71" s="28" t="s">
        <v>1779</v>
      </c>
      <c r="J71" s="28"/>
      <c r="K71" s="28" t="s">
        <v>50</v>
      </c>
      <c r="L71" s="28" t="s">
        <v>2482</v>
      </c>
      <c r="M71" s="28"/>
    </row>
    <row r="72" spans="1:13" x14ac:dyDescent="0.3">
      <c r="A72" s="97">
        <v>45758</v>
      </c>
      <c r="B72" s="97">
        <v>45758</v>
      </c>
      <c r="C72" s="98">
        <v>10</v>
      </c>
      <c r="D72" s="98">
        <v>0</v>
      </c>
      <c r="E72" s="98"/>
      <c r="F72" s="98" t="s">
        <v>978</v>
      </c>
      <c r="G72" s="24">
        <v>0.85</v>
      </c>
      <c r="H72" s="98" t="s">
        <v>1031</v>
      </c>
      <c r="I72" s="98" t="s">
        <v>837</v>
      </c>
      <c r="J72" s="98"/>
      <c r="K72" s="98" t="s">
        <v>1696</v>
      </c>
      <c r="L72" s="98" t="s">
        <v>2486</v>
      </c>
      <c r="M72" s="98"/>
    </row>
    <row r="73" spans="1:13" x14ac:dyDescent="0.3">
      <c r="A73" s="132">
        <v>45758</v>
      </c>
      <c r="B73" s="132">
        <v>45758</v>
      </c>
      <c r="C73" s="133">
        <v>0</v>
      </c>
      <c r="D73" s="133">
        <v>279</v>
      </c>
      <c r="E73" s="133"/>
      <c r="F73" s="133" t="s">
        <v>1658</v>
      </c>
      <c r="G73" s="40">
        <v>0.7</v>
      </c>
      <c r="H73" s="133" t="s">
        <v>1658</v>
      </c>
      <c r="I73" s="133" t="s">
        <v>837</v>
      </c>
      <c r="J73" s="133"/>
      <c r="K73" s="133" t="s">
        <v>1695</v>
      </c>
      <c r="L73" s="133" t="s">
        <v>2486</v>
      </c>
      <c r="M73" s="133"/>
    </row>
    <row r="74" spans="1:13" x14ac:dyDescent="0.3">
      <c r="A74" s="59">
        <v>45758.421805555547</v>
      </c>
      <c r="B74" s="59">
        <v>45758</v>
      </c>
      <c r="C74" s="60">
        <v>0</v>
      </c>
      <c r="D74" s="60">
        <v>501</v>
      </c>
      <c r="E74" s="60"/>
      <c r="F74" s="60" t="s">
        <v>29</v>
      </c>
      <c r="G74" s="24">
        <v>0.85</v>
      </c>
      <c r="H74" s="60" t="s">
        <v>606</v>
      </c>
      <c r="I74" s="60" t="s">
        <v>1019</v>
      </c>
      <c r="J74" s="60"/>
      <c r="K74" s="60" t="s">
        <v>1848</v>
      </c>
      <c r="L74" s="60" t="s">
        <v>2483</v>
      </c>
      <c r="M74" s="60"/>
    </row>
    <row r="75" spans="1:13" x14ac:dyDescent="0.3">
      <c r="A75" s="101">
        <v>45758.845891203702</v>
      </c>
      <c r="B75" s="101">
        <v>45758</v>
      </c>
      <c r="C75" s="102">
        <v>279</v>
      </c>
      <c r="D75" s="102">
        <v>0</v>
      </c>
      <c r="E75" s="102"/>
      <c r="F75" s="102" t="s">
        <v>985</v>
      </c>
      <c r="G75" s="40">
        <v>0.68</v>
      </c>
      <c r="H75" s="102" t="s">
        <v>91</v>
      </c>
      <c r="I75" s="102" t="s">
        <v>1019</v>
      </c>
      <c r="J75" s="102"/>
      <c r="K75" s="102" t="s">
        <v>1850</v>
      </c>
      <c r="L75" s="102" t="s">
        <v>2483</v>
      </c>
      <c r="M75" s="102" t="s">
        <v>2485</v>
      </c>
    </row>
    <row r="76" spans="1:13" x14ac:dyDescent="0.3">
      <c r="A76" s="153">
        <v>45758.845902777779</v>
      </c>
      <c r="B76" s="153">
        <v>45758</v>
      </c>
      <c r="C76" s="154">
        <v>0</v>
      </c>
      <c r="D76" s="154">
        <v>279</v>
      </c>
      <c r="E76" s="154"/>
      <c r="F76" s="154" t="s">
        <v>1807</v>
      </c>
      <c r="G76" s="24">
        <v>0.88</v>
      </c>
      <c r="H76" s="154" t="s">
        <v>91</v>
      </c>
      <c r="I76" s="154" t="s">
        <v>1019</v>
      </c>
      <c r="J76" s="154"/>
      <c r="K76" s="154" t="s">
        <v>1852</v>
      </c>
      <c r="L76" s="154" t="s">
        <v>2483</v>
      </c>
      <c r="M76" s="154" t="s">
        <v>2485</v>
      </c>
    </row>
    <row r="77" spans="1:13" x14ac:dyDescent="0.3">
      <c r="A77" s="101">
        <v>45758.846342592587</v>
      </c>
      <c r="B77" s="101">
        <v>45758</v>
      </c>
      <c r="C77" s="102">
        <v>279</v>
      </c>
      <c r="D77" s="102">
        <v>0</v>
      </c>
      <c r="E77" s="102"/>
      <c r="F77" s="102" t="s">
        <v>985</v>
      </c>
      <c r="G77" s="40">
        <v>0.68</v>
      </c>
      <c r="H77" s="102" t="s">
        <v>91</v>
      </c>
      <c r="I77" s="102" t="s">
        <v>1019</v>
      </c>
      <c r="J77" s="102"/>
      <c r="K77" s="102" t="s">
        <v>1853</v>
      </c>
      <c r="L77" s="102" t="s">
        <v>2483</v>
      </c>
      <c r="M77" s="102" t="s">
        <v>2485</v>
      </c>
    </row>
    <row r="78" spans="1:13" x14ac:dyDescent="0.3">
      <c r="A78" s="153">
        <v>45758.846354166657</v>
      </c>
      <c r="B78" s="153">
        <v>45758</v>
      </c>
      <c r="C78" s="154">
        <v>0</v>
      </c>
      <c r="D78" s="154">
        <v>279</v>
      </c>
      <c r="E78" s="154"/>
      <c r="F78" s="154" t="s">
        <v>1807</v>
      </c>
      <c r="G78" s="24">
        <v>0.88</v>
      </c>
      <c r="H78" s="154" t="s">
        <v>91</v>
      </c>
      <c r="I78" s="154" t="s">
        <v>1019</v>
      </c>
      <c r="J78" s="154"/>
      <c r="K78" s="154" t="s">
        <v>1855</v>
      </c>
      <c r="L78" s="154" t="s">
        <v>2483</v>
      </c>
      <c r="M78" s="154" t="s">
        <v>2485</v>
      </c>
    </row>
    <row r="79" spans="1:13" x14ac:dyDescent="0.3">
      <c r="A79" s="101">
        <v>45758.949432870373</v>
      </c>
      <c r="B79" s="101">
        <v>45758</v>
      </c>
      <c r="C79" s="102">
        <v>1500</v>
      </c>
      <c r="D79" s="102">
        <v>0</v>
      </c>
      <c r="E79" s="102"/>
      <c r="F79" s="102" t="s">
        <v>976</v>
      </c>
      <c r="G79" s="24">
        <v>0.85</v>
      </c>
      <c r="H79" s="102" t="s">
        <v>1028</v>
      </c>
      <c r="I79" s="102" t="s">
        <v>1019</v>
      </c>
      <c r="J79" s="102"/>
      <c r="K79" s="102" t="s">
        <v>1856</v>
      </c>
      <c r="L79" s="102" t="s">
        <v>2483</v>
      </c>
      <c r="M79" s="102"/>
    </row>
    <row r="80" spans="1:13" x14ac:dyDescent="0.3">
      <c r="A80" s="27">
        <v>45762</v>
      </c>
      <c r="B80" s="27">
        <v>45762</v>
      </c>
      <c r="C80" s="28">
        <v>5463.17</v>
      </c>
      <c r="D80" s="28">
        <v>0</v>
      </c>
      <c r="E80" s="28"/>
      <c r="F80" s="28" t="s">
        <v>4</v>
      </c>
      <c r="G80" s="24">
        <v>0.97</v>
      </c>
      <c r="H80" s="28" t="s">
        <v>49</v>
      </c>
      <c r="I80" s="28" t="s">
        <v>1779</v>
      </c>
      <c r="J80" s="28"/>
      <c r="K80" s="28" t="s">
        <v>50</v>
      </c>
      <c r="L80" s="28" t="s">
        <v>2482</v>
      </c>
      <c r="M80" s="28"/>
    </row>
    <row r="81" spans="1:13" x14ac:dyDescent="0.3">
      <c r="A81" s="89">
        <v>45762</v>
      </c>
      <c r="B81" s="89">
        <v>45762</v>
      </c>
      <c r="C81" s="90">
        <v>40</v>
      </c>
      <c r="D81" s="90">
        <v>0</v>
      </c>
      <c r="E81" s="90" t="s">
        <v>1698</v>
      </c>
      <c r="F81" s="90" t="s">
        <v>975</v>
      </c>
      <c r="G81" s="39">
        <v>0.55000000000000004</v>
      </c>
      <c r="H81" s="90" t="s">
        <v>91</v>
      </c>
      <c r="I81" s="90" t="s">
        <v>837</v>
      </c>
      <c r="J81" s="90"/>
      <c r="K81" s="90" t="s">
        <v>1697</v>
      </c>
      <c r="L81" s="90" t="s">
        <v>2486</v>
      </c>
      <c r="M81" s="90"/>
    </row>
    <row r="82" spans="1:13" x14ac:dyDescent="0.3">
      <c r="A82" s="25">
        <v>45762</v>
      </c>
      <c r="B82" s="25">
        <v>45762</v>
      </c>
      <c r="C82" s="26">
        <v>0</v>
      </c>
      <c r="D82" s="26">
        <v>2697.48</v>
      </c>
      <c r="E82" s="26"/>
      <c r="F82" s="26" t="s">
        <v>3</v>
      </c>
      <c r="G82" s="24">
        <v>0.93</v>
      </c>
      <c r="H82" s="26" t="s">
        <v>49</v>
      </c>
      <c r="I82" s="26" t="s">
        <v>1779</v>
      </c>
      <c r="J82" s="26"/>
      <c r="K82" s="26" t="s">
        <v>74</v>
      </c>
      <c r="L82" s="26" t="s">
        <v>2482</v>
      </c>
      <c r="M82" s="26"/>
    </row>
    <row r="83" spans="1:13" x14ac:dyDescent="0.3">
      <c r="A83" s="25">
        <v>45762</v>
      </c>
      <c r="B83" s="25">
        <v>45762</v>
      </c>
      <c r="C83" s="26">
        <v>500</v>
      </c>
      <c r="D83" s="26">
        <v>0</v>
      </c>
      <c r="E83" s="26"/>
      <c r="F83" s="26" t="s">
        <v>8</v>
      </c>
      <c r="G83" s="24">
        <v>0.92</v>
      </c>
      <c r="H83" s="26" t="s">
        <v>79</v>
      </c>
      <c r="I83" s="26" t="s">
        <v>1779</v>
      </c>
      <c r="J83" s="26"/>
      <c r="K83" s="26" t="s">
        <v>77</v>
      </c>
      <c r="L83" s="26" t="s">
        <v>2482</v>
      </c>
      <c r="M83" s="26"/>
    </row>
    <row r="84" spans="1:13" x14ac:dyDescent="0.3">
      <c r="A84" s="27">
        <v>45762</v>
      </c>
      <c r="B84" s="27">
        <v>45762</v>
      </c>
      <c r="C84" s="28">
        <v>384.32</v>
      </c>
      <c r="D84" s="28">
        <v>0</v>
      </c>
      <c r="E84" s="28"/>
      <c r="F84" s="28" t="s">
        <v>4</v>
      </c>
      <c r="G84" s="24">
        <v>0.97</v>
      </c>
      <c r="H84" s="28" t="s">
        <v>49</v>
      </c>
      <c r="I84" s="28" t="s">
        <v>1779</v>
      </c>
      <c r="J84" s="28"/>
      <c r="K84" s="28" t="s">
        <v>50</v>
      </c>
      <c r="L84" s="28" t="s">
        <v>2482</v>
      </c>
      <c r="M84" s="28"/>
    </row>
    <row r="85" spans="1:13" x14ac:dyDescent="0.3">
      <c r="A85" s="155">
        <v>45762.39880787037</v>
      </c>
      <c r="B85" s="155">
        <v>45762</v>
      </c>
      <c r="C85" s="156">
        <v>1500</v>
      </c>
      <c r="D85" s="156">
        <v>0</v>
      </c>
      <c r="E85" s="156"/>
      <c r="F85" s="156" t="s">
        <v>1808</v>
      </c>
      <c r="G85" s="40">
        <v>0.82</v>
      </c>
      <c r="H85" s="156" t="s">
        <v>1860</v>
      </c>
      <c r="I85" s="156" t="s">
        <v>1019</v>
      </c>
      <c r="J85" s="156"/>
      <c r="K85" s="156" t="s">
        <v>1858</v>
      </c>
      <c r="L85" s="156" t="s">
        <v>2483</v>
      </c>
      <c r="M85" s="156"/>
    </row>
    <row r="86" spans="1:13" x14ac:dyDescent="0.3">
      <c r="A86" s="27">
        <v>45763</v>
      </c>
      <c r="B86" s="27">
        <v>45763</v>
      </c>
      <c r="C86" s="28">
        <v>0</v>
      </c>
      <c r="D86" s="28">
        <v>25000</v>
      </c>
      <c r="E86" s="28"/>
      <c r="F86" s="28" t="s">
        <v>1656</v>
      </c>
      <c r="G86" s="24">
        <v>0.9</v>
      </c>
      <c r="H86" s="28" t="s">
        <v>1680</v>
      </c>
      <c r="I86" s="28" t="s">
        <v>837</v>
      </c>
      <c r="J86" s="28"/>
      <c r="K86" s="28" t="s">
        <v>1699</v>
      </c>
      <c r="L86" s="28" t="s">
        <v>2486</v>
      </c>
      <c r="M86" s="28"/>
    </row>
    <row r="87" spans="1:13" x14ac:dyDescent="0.3">
      <c r="A87" s="22">
        <v>45763</v>
      </c>
      <c r="B87" s="22">
        <v>45763</v>
      </c>
      <c r="C87" s="23">
        <v>25000</v>
      </c>
      <c r="D87" s="23">
        <v>0</v>
      </c>
      <c r="E87" s="23"/>
      <c r="F87" s="23" t="s">
        <v>1659</v>
      </c>
      <c r="G87" s="24">
        <v>0.9</v>
      </c>
      <c r="H87" s="23" t="s">
        <v>1701</v>
      </c>
      <c r="I87" s="23" t="s">
        <v>837</v>
      </c>
      <c r="J87" s="23"/>
      <c r="K87" s="23" t="s">
        <v>1700</v>
      </c>
      <c r="L87" s="23" t="s">
        <v>2486</v>
      </c>
      <c r="M87" s="23"/>
    </row>
    <row r="88" spans="1:13" x14ac:dyDescent="0.3">
      <c r="A88" s="35">
        <v>45763</v>
      </c>
      <c r="B88" s="35">
        <v>45763</v>
      </c>
      <c r="C88" s="36">
        <v>531</v>
      </c>
      <c r="D88" s="36">
        <v>0</v>
      </c>
      <c r="E88" s="36"/>
      <c r="F88" s="36" t="s">
        <v>9</v>
      </c>
      <c r="G88" s="24">
        <v>0.93</v>
      </c>
      <c r="H88" s="36" t="s">
        <v>9</v>
      </c>
      <c r="I88" s="36" t="s">
        <v>1779</v>
      </c>
      <c r="J88" s="36"/>
      <c r="K88" s="36" t="s">
        <v>82</v>
      </c>
      <c r="L88" s="36" t="s">
        <v>2482</v>
      </c>
      <c r="M88" s="36"/>
    </row>
    <row r="89" spans="1:13" x14ac:dyDescent="0.3">
      <c r="A89" s="27">
        <v>45763</v>
      </c>
      <c r="B89" s="27">
        <v>45763</v>
      </c>
      <c r="C89" s="28">
        <v>95.09</v>
      </c>
      <c r="D89" s="28">
        <v>0</v>
      </c>
      <c r="E89" s="28"/>
      <c r="F89" s="28" t="s">
        <v>4</v>
      </c>
      <c r="G89" s="24">
        <v>0.97</v>
      </c>
      <c r="H89" s="28" t="s">
        <v>49</v>
      </c>
      <c r="I89" s="28" t="s">
        <v>1779</v>
      </c>
      <c r="J89" s="28"/>
      <c r="K89" s="28" t="s">
        <v>50</v>
      </c>
      <c r="L89" s="28" t="s">
        <v>2482</v>
      </c>
      <c r="M89" s="28"/>
    </row>
    <row r="90" spans="1:13" x14ac:dyDescent="0.3">
      <c r="A90" s="27">
        <v>45763</v>
      </c>
      <c r="B90" s="27">
        <v>45763</v>
      </c>
      <c r="C90" s="28">
        <v>25000</v>
      </c>
      <c r="D90" s="28">
        <v>0</v>
      </c>
      <c r="E90" s="28"/>
      <c r="F90" s="28" t="s">
        <v>30</v>
      </c>
      <c r="G90" s="24">
        <v>0.9</v>
      </c>
      <c r="H90" s="28" t="s">
        <v>837</v>
      </c>
      <c r="I90" s="28" t="s">
        <v>1680</v>
      </c>
      <c r="J90" s="28" t="s">
        <v>1011</v>
      </c>
      <c r="K90" s="28" t="s">
        <v>1015</v>
      </c>
      <c r="L90" s="28" t="s">
        <v>2484</v>
      </c>
      <c r="M90" s="28"/>
    </row>
    <row r="91" spans="1:13" x14ac:dyDescent="0.3">
      <c r="A91" s="101">
        <v>45763.34542824074</v>
      </c>
      <c r="B91" s="101">
        <v>45763</v>
      </c>
      <c r="C91" s="102">
        <v>1000</v>
      </c>
      <c r="D91" s="102">
        <v>0</v>
      </c>
      <c r="E91" s="102"/>
      <c r="F91" s="102" t="s">
        <v>976</v>
      </c>
      <c r="G91" s="24">
        <v>0.85</v>
      </c>
      <c r="H91" s="102" t="s">
        <v>1028</v>
      </c>
      <c r="I91" s="102" t="s">
        <v>1019</v>
      </c>
      <c r="J91" s="102"/>
      <c r="K91" s="102" t="s">
        <v>1861</v>
      </c>
      <c r="L91" s="102" t="s">
        <v>2483</v>
      </c>
      <c r="M91" s="102"/>
    </row>
    <row r="92" spans="1:13" x14ac:dyDescent="0.3">
      <c r="A92" s="78">
        <v>45763.459780092591</v>
      </c>
      <c r="B92" s="78">
        <v>45763</v>
      </c>
      <c r="C92" s="79">
        <v>0</v>
      </c>
      <c r="D92" s="79">
        <v>91056</v>
      </c>
      <c r="E92" s="79"/>
      <c r="F92" s="79" t="s">
        <v>972</v>
      </c>
      <c r="G92" s="24">
        <v>0.85</v>
      </c>
      <c r="H92" s="79" t="s">
        <v>972</v>
      </c>
      <c r="I92" s="79" t="s">
        <v>1019</v>
      </c>
      <c r="J92" s="79"/>
      <c r="K92" s="79" t="s">
        <v>1863</v>
      </c>
      <c r="L92" s="79" t="s">
        <v>2483</v>
      </c>
      <c r="M92" s="79"/>
    </row>
    <row r="93" spans="1:13" x14ac:dyDescent="0.3">
      <c r="A93" s="97">
        <v>45763.471956018519</v>
      </c>
      <c r="B93" s="97">
        <v>45763</v>
      </c>
      <c r="C93" s="98">
        <v>10000</v>
      </c>
      <c r="D93" s="98">
        <v>0</v>
      </c>
      <c r="E93" s="98"/>
      <c r="F93" s="98" t="s">
        <v>978</v>
      </c>
      <c r="G93" s="24">
        <v>0.85</v>
      </c>
      <c r="H93" s="98" t="s">
        <v>1031</v>
      </c>
      <c r="I93" s="98" t="s">
        <v>1019</v>
      </c>
      <c r="J93" s="98"/>
      <c r="K93" s="98" t="s">
        <v>1865</v>
      </c>
      <c r="L93" s="98" t="s">
        <v>2483</v>
      </c>
      <c r="M93" s="98"/>
    </row>
    <row r="94" spans="1:13" x14ac:dyDescent="0.3">
      <c r="A94" s="25">
        <v>45764</v>
      </c>
      <c r="B94" s="25">
        <v>45764</v>
      </c>
      <c r="C94" s="26">
        <v>0</v>
      </c>
      <c r="D94" s="26">
        <v>1686.98</v>
      </c>
      <c r="E94" s="26"/>
      <c r="F94" s="26" t="s">
        <v>3</v>
      </c>
      <c r="G94" s="24">
        <v>0.93</v>
      </c>
      <c r="H94" s="26" t="s">
        <v>49</v>
      </c>
      <c r="I94" s="26" t="s">
        <v>1779</v>
      </c>
      <c r="J94" s="26"/>
      <c r="K94" s="26" t="s">
        <v>86</v>
      </c>
      <c r="L94" s="26" t="s">
        <v>2482</v>
      </c>
      <c r="M94" s="26"/>
    </row>
    <row r="95" spans="1:13" x14ac:dyDescent="0.3">
      <c r="A95" s="27">
        <v>45764</v>
      </c>
      <c r="B95" s="27">
        <v>45764</v>
      </c>
      <c r="C95" s="28">
        <v>103.29</v>
      </c>
      <c r="D95" s="28">
        <v>0</v>
      </c>
      <c r="E95" s="28"/>
      <c r="F95" s="28" t="s">
        <v>4</v>
      </c>
      <c r="G95" s="24">
        <v>0.97</v>
      </c>
      <c r="H95" s="28" t="s">
        <v>49</v>
      </c>
      <c r="I95" s="28" t="s">
        <v>1779</v>
      </c>
      <c r="J95" s="28"/>
      <c r="K95" s="28" t="s">
        <v>50</v>
      </c>
      <c r="L95" s="28" t="s">
        <v>2482</v>
      </c>
      <c r="M95" s="28"/>
    </row>
    <row r="96" spans="1:13" x14ac:dyDescent="0.3">
      <c r="A96" s="25">
        <v>45764</v>
      </c>
      <c r="B96" s="25">
        <v>45764</v>
      </c>
      <c r="C96" s="26">
        <v>0</v>
      </c>
      <c r="D96" s="26">
        <v>21246.959999999999</v>
      </c>
      <c r="E96" s="26"/>
      <c r="F96" s="26" t="s">
        <v>3</v>
      </c>
      <c r="G96" s="24">
        <v>0.93</v>
      </c>
      <c r="H96" s="26" t="s">
        <v>49</v>
      </c>
      <c r="I96" s="26" t="s">
        <v>1779</v>
      </c>
      <c r="J96" s="26"/>
      <c r="K96" s="26" t="s">
        <v>84</v>
      </c>
      <c r="L96" s="26" t="s">
        <v>2482</v>
      </c>
      <c r="M96" s="26"/>
    </row>
    <row r="97" spans="1:13" x14ac:dyDescent="0.3">
      <c r="A97" s="83">
        <v>45764.279756944437</v>
      </c>
      <c r="B97" s="83">
        <v>45764</v>
      </c>
      <c r="C97" s="84">
        <v>427.25</v>
      </c>
      <c r="D97" s="84">
        <v>0</v>
      </c>
      <c r="E97" s="84"/>
      <c r="F97" s="84" t="s">
        <v>973</v>
      </c>
      <c r="G97" s="40">
        <v>0.68</v>
      </c>
      <c r="H97" s="84" t="s">
        <v>1014</v>
      </c>
      <c r="I97" s="84" t="s">
        <v>1019</v>
      </c>
      <c r="J97" s="84"/>
      <c r="K97" s="84" t="s">
        <v>1867</v>
      </c>
      <c r="L97" s="84" t="s">
        <v>2483</v>
      </c>
      <c r="M97" s="84"/>
    </row>
    <row r="98" spans="1:13" x14ac:dyDescent="0.3">
      <c r="A98" s="101">
        <v>45764.566655092603</v>
      </c>
      <c r="B98" s="101">
        <v>45764</v>
      </c>
      <c r="C98" s="102">
        <v>1000</v>
      </c>
      <c r="D98" s="102">
        <v>0</v>
      </c>
      <c r="E98" s="102"/>
      <c r="F98" s="102" t="s">
        <v>976</v>
      </c>
      <c r="G98" s="24">
        <v>0.85</v>
      </c>
      <c r="H98" s="102" t="s">
        <v>1028</v>
      </c>
      <c r="I98" s="102" t="s">
        <v>1019</v>
      </c>
      <c r="J98" s="102"/>
      <c r="K98" s="102" t="s">
        <v>1869</v>
      </c>
      <c r="L98" s="102" t="s">
        <v>2483</v>
      </c>
      <c r="M98" s="102"/>
    </row>
    <row r="99" spans="1:13" x14ac:dyDescent="0.3">
      <c r="A99" s="37">
        <v>45766</v>
      </c>
      <c r="B99" s="37">
        <v>45766</v>
      </c>
      <c r="C99" s="38">
        <v>0</v>
      </c>
      <c r="D99" s="38">
        <v>100</v>
      </c>
      <c r="E99" s="38"/>
      <c r="F99" s="38" t="s">
        <v>10</v>
      </c>
      <c r="G99" s="39">
        <v>0.55000000000000004</v>
      </c>
      <c r="H99" s="38" t="s">
        <v>91</v>
      </c>
      <c r="I99" s="38" t="s">
        <v>1779</v>
      </c>
      <c r="J99" s="38"/>
      <c r="K99" s="38" t="s">
        <v>89</v>
      </c>
      <c r="L99" s="38" t="s">
        <v>2482</v>
      </c>
      <c r="M99" s="38"/>
    </row>
    <row r="100" spans="1:13" x14ac:dyDescent="0.3">
      <c r="A100" s="101">
        <v>45766.078553240739</v>
      </c>
      <c r="B100" s="101">
        <v>45766</v>
      </c>
      <c r="C100" s="102">
        <v>1000</v>
      </c>
      <c r="D100" s="102">
        <v>0</v>
      </c>
      <c r="E100" s="102"/>
      <c r="F100" s="102" t="s">
        <v>976</v>
      </c>
      <c r="G100" s="24">
        <v>0.85</v>
      </c>
      <c r="H100" s="102" t="s">
        <v>1028</v>
      </c>
      <c r="I100" s="102" t="s">
        <v>1019</v>
      </c>
      <c r="J100" s="102"/>
      <c r="K100" s="102" t="s">
        <v>1871</v>
      </c>
      <c r="L100" s="102" t="s">
        <v>2483</v>
      </c>
      <c r="M100" s="102" t="s">
        <v>2485</v>
      </c>
    </row>
    <row r="101" spans="1:13" x14ac:dyDescent="0.3">
      <c r="A101" s="101">
        <v>45766.52747685185</v>
      </c>
      <c r="B101" s="101">
        <v>45766</v>
      </c>
      <c r="C101" s="102">
        <v>1000</v>
      </c>
      <c r="D101" s="102">
        <v>0</v>
      </c>
      <c r="E101" s="102"/>
      <c r="F101" s="102" t="s">
        <v>976</v>
      </c>
      <c r="G101" s="24">
        <v>0.85</v>
      </c>
      <c r="H101" s="102" t="s">
        <v>1028</v>
      </c>
      <c r="I101" s="102" t="s">
        <v>1019</v>
      </c>
      <c r="J101" s="102"/>
      <c r="K101" s="102" t="s">
        <v>1873</v>
      </c>
      <c r="L101" s="102" t="s">
        <v>2483</v>
      </c>
      <c r="M101" s="102" t="s">
        <v>2485</v>
      </c>
    </row>
    <row r="102" spans="1:13" x14ac:dyDescent="0.3">
      <c r="A102" s="101">
        <v>45766.693495370368</v>
      </c>
      <c r="B102" s="101">
        <v>45766</v>
      </c>
      <c r="C102" s="102">
        <v>1000</v>
      </c>
      <c r="D102" s="102">
        <v>0</v>
      </c>
      <c r="E102" s="102"/>
      <c r="F102" s="102" t="s">
        <v>976</v>
      </c>
      <c r="G102" s="24">
        <v>0.85</v>
      </c>
      <c r="H102" s="102" t="s">
        <v>1028</v>
      </c>
      <c r="I102" s="102" t="s">
        <v>1019</v>
      </c>
      <c r="J102" s="102"/>
      <c r="K102" s="102" t="s">
        <v>1875</v>
      </c>
      <c r="L102" s="102" t="s">
        <v>2483</v>
      </c>
      <c r="M102" s="102" t="s">
        <v>2485</v>
      </c>
    </row>
    <row r="103" spans="1:13" x14ac:dyDescent="0.3">
      <c r="A103" s="89">
        <v>45766.886782407397</v>
      </c>
      <c r="B103" s="89">
        <v>45766</v>
      </c>
      <c r="C103" s="90">
        <v>85</v>
      </c>
      <c r="D103" s="90">
        <v>0</v>
      </c>
      <c r="E103" s="90" t="s">
        <v>1879</v>
      </c>
      <c r="F103" s="90" t="s">
        <v>975</v>
      </c>
      <c r="G103" s="39">
        <v>0.55000000000000004</v>
      </c>
      <c r="H103" s="90" t="s">
        <v>91</v>
      </c>
      <c r="I103" s="90" t="s">
        <v>1019</v>
      </c>
      <c r="J103" s="90"/>
      <c r="K103" s="90" t="s">
        <v>1877</v>
      </c>
      <c r="L103" s="90" t="s">
        <v>2483</v>
      </c>
      <c r="M103" s="90"/>
    </row>
    <row r="104" spans="1:13" x14ac:dyDescent="0.3">
      <c r="A104" s="89">
        <v>45766.908645833333</v>
      </c>
      <c r="B104" s="89">
        <v>45766</v>
      </c>
      <c r="C104" s="90">
        <v>25</v>
      </c>
      <c r="D104" s="90">
        <v>0</v>
      </c>
      <c r="E104" s="90" t="s">
        <v>1882</v>
      </c>
      <c r="F104" s="90" t="s">
        <v>975</v>
      </c>
      <c r="G104" s="39">
        <v>0.55000000000000004</v>
      </c>
      <c r="H104" s="90" t="s">
        <v>91</v>
      </c>
      <c r="I104" s="90" t="s">
        <v>1019</v>
      </c>
      <c r="J104" s="90"/>
      <c r="K104" s="90" t="s">
        <v>1880</v>
      </c>
      <c r="L104" s="90" t="s">
        <v>2483</v>
      </c>
      <c r="M104" s="90"/>
    </row>
    <row r="105" spans="1:13" x14ac:dyDescent="0.3">
      <c r="A105" s="97">
        <v>45767.80914351852</v>
      </c>
      <c r="B105" s="97">
        <v>45767</v>
      </c>
      <c r="C105" s="98">
        <v>0</v>
      </c>
      <c r="D105" s="98">
        <v>10</v>
      </c>
      <c r="E105" s="98"/>
      <c r="F105" s="98" t="s">
        <v>977</v>
      </c>
      <c r="G105" s="24">
        <v>0.85</v>
      </c>
      <c r="H105" s="98" t="s">
        <v>1031</v>
      </c>
      <c r="I105" s="98" t="s">
        <v>1019</v>
      </c>
      <c r="J105" s="98"/>
      <c r="K105" s="98" t="s">
        <v>1883</v>
      </c>
      <c r="L105" s="98" t="s">
        <v>2483</v>
      </c>
      <c r="M105" s="98"/>
    </row>
    <row r="106" spans="1:13" x14ac:dyDescent="0.3">
      <c r="A106" s="101">
        <v>45767.831643518519</v>
      </c>
      <c r="B106" s="101">
        <v>45767</v>
      </c>
      <c r="C106" s="102">
        <v>1000</v>
      </c>
      <c r="D106" s="102">
        <v>0</v>
      </c>
      <c r="E106" s="102"/>
      <c r="F106" s="102" t="s">
        <v>976</v>
      </c>
      <c r="G106" s="24">
        <v>0.85</v>
      </c>
      <c r="H106" s="102" t="s">
        <v>1028</v>
      </c>
      <c r="I106" s="102" t="s">
        <v>1019</v>
      </c>
      <c r="J106" s="102"/>
      <c r="K106" s="102" t="s">
        <v>1885</v>
      </c>
      <c r="L106" s="102" t="s">
        <v>2483</v>
      </c>
      <c r="M106" s="102"/>
    </row>
    <row r="107" spans="1:13" x14ac:dyDescent="0.3">
      <c r="A107" s="27">
        <v>45768</v>
      </c>
      <c r="B107" s="27">
        <v>45768</v>
      </c>
      <c r="C107" s="28">
        <v>415.56</v>
      </c>
      <c r="D107" s="28">
        <v>0</v>
      </c>
      <c r="E107" s="28"/>
      <c r="F107" s="28" t="s">
        <v>4</v>
      </c>
      <c r="G107" s="24">
        <v>0.97</v>
      </c>
      <c r="H107" s="28" t="s">
        <v>49</v>
      </c>
      <c r="I107" s="28" t="s">
        <v>1779</v>
      </c>
      <c r="J107" s="28"/>
      <c r="K107" s="28" t="s">
        <v>50</v>
      </c>
      <c r="L107" s="28" t="s">
        <v>2482</v>
      </c>
      <c r="M107" s="28"/>
    </row>
    <row r="108" spans="1:13" x14ac:dyDescent="0.3">
      <c r="A108" s="25">
        <v>45768</v>
      </c>
      <c r="B108" s="25">
        <v>45768</v>
      </c>
      <c r="C108" s="26">
        <v>0</v>
      </c>
      <c r="D108" s="26">
        <v>175.35</v>
      </c>
      <c r="E108" s="26"/>
      <c r="F108" s="26" t="s">
        <v>3</v>
      </c>
      <c r="G108" s="24">
        <v>0.93</v>
      </c>
      <c r="H108" s="26" t="s">
        <v>49</v>
      </c>
      <c r="I108" s="26" t="s">
        <v>1779</v>
      </c>
      <c r="J108" s="26"/>
      <c r="K108" s="26" t="s">
        <v>92</v>
      </c>
      <c r="L108" s="26" t="s">
        <v>2482</v>
      </c>
      <c r="M108" s="26"/>
    </row>
    <row r="109" spans="1:13" x14ac:dyDescent="0.3">
      <c r="A109" s="101">
        <v>45768.346400462957</v>
      </c>
      <c r="B109" s="101">
        <v>45768</v>
      </c>
      <c r="C109" s="102">
        <v>1012.11</v>
      </c>
      <c r="D109" s="102">
        <v>0</v>
      </c>
      <c r="E109" s="102"/>
      <c r="F109" s="102" t="s">
        <v>976</v>
      </c>
      <c r="G109" s="24">
        <v>0.85</v>
      </c>
      <c r="H109" s="102" t="s">
        <v>1028</v>
      </c>
      <c r="I109" s="102" t="s">
        <v>1019</v>
      </c>
      <c r="J109" s="102"/>
      <c r="K109" s="102" t="s">
        <v>1887</v>
      </c>
      <c r="L109" s="102" t="s">
        <v>2483</v>
      </c>
      <c r="M109" s="102"/>
    </row>
    <row r="110" spans="1:13" x14ac:dyDescent="0.3">
      <c r="A110" s="27">
        <v>45769</v>
      </c>
      <c r="B110" s="27">
        <v>45769</v>
      </c>
      <c r="C110" s="28">
        <v>103.95</v>
      </c>
      <c r="D110" s="28">
        <v>0</v>
      </c>
      <c r="E110" s="28"/>
      <c r="F110" s="28" t="s">
        <v>4</v>
      </c>
      <c r="G110" s="24">
        <v>0.97</v>
      </c>
      <c r="H110" s="28" t="s">
        <v>49</v>
      </c>
      <c r="I110" s="28" t="s">
        <v>1779</v>
      </c>
      <c r="J110" s="28"/>
      <c r="K110" s="28" t="s">
        <v>50</v>
      </c>
      <c r="L110" s="28" t="s">
        <v>2482</v>
      </c>
      <c r="M110" s="28"/>
    </row>
    <row r="111" spans="1:13" x14ac:dyDescent="0.3">
      <c r="A111" s="27">
        <v>45769</v>
      </c>
      <c r="B111" s="27">
        <v>45769</v>
      </c>
      <c r="C111" s="28">
        <v>807.96</v>
      </c>
      <c r="D111" s="28">
        <v>0</v>
      </c>
      <c r="E111" s="28"/>
      <c r="F111" s="28" t="s">
        <v>4</v>
      </c>
      <c r="G111" s="24">
        <v>0.97</v>
      </c>
      <c r="H111" s="28" t="s">
        <v>49</v>
      </c>
      <c r="I111" s="28" t="s">
        <v>1779</v>
      </c>
      <c r="J111" s="28"/>
      <c r="K111" s="28" t="s">
        <v>50</v>
      </c>
      <c r="L111" s="28" t="s">
        <v>2482</v>
      </c>
      <c r="M111" s="28"/>
    </row>
    <row r="112" spans="1:13" x14ac:dyDescent="0.3">
      <c r="A112" s="25">
        <v>45769</v>
      </c>
      <c r="B112" s="25">
        <v>45769</v>
      </c>
      <c r="C112" s="26">
        <v>0</v>
      </c>
      <c r="D112" s="26">
        <v>540.27</v>
      </c>
      <c r="E112" s="26"/>
      <c r="F112" s="26" t="s">
        <v>3</v>
      </c>
      <c r="G112" s="24">
        <v>0.93</v>
      </c>
      <c r="H112" s="26" t="s">
        <v>49</v>
      </c>
      <c r="I112" s="26" t="s">
        <v>1779</v>
      </c>
      <c r="J112" s="26"/>
      <c r="K112" s="26" t="s">
        <v>95</v>
      </c>
      <c r="L112" s="26" t="s">
        <v>2482</v>
      </c>
      <c r="M112" s="26"/>
    </row>
    <row r="113" spans="1:13" x14ac:dyDescent="0.3">
      <c r="A113" s="27">
        <v>45770</v>
      </c>
      <c r="B113" s="27">
        <v>45770</v>
      </c>
      <c r="C113" s="28">
        <v>103.86</v>
      </c>
      <c r="D113" s="28">
        <v>0</v>
      </c>
      <c r="E113" s="28"/>
      <c r="F113" s="28" t="s">
        <v>4</v>
      </c>
      <c r="G113" s="24">
        <v>0.97</v>
      </c>
      <c r="H113" s="28" t="s">
        <v>49</v>
      </c>
      <c r="I113" s="28" t="s">
        <v>1779</v>
      </c>
      <c r="J113" s="28"/>
      <c r="K113" s="28" t="s">
        <v>50</v>
      </c>
      <c r="L113" s="28" t="s">
        <v>2482</v>
      </c>
      <c r="M113" s="28"/>
    </row>
    <row r="114" spans="1:13" x14ac:dyDescent="0.3">
      <c r="A114" s="27">
        <v>45770</v>
      </c>
      <c r="B114" s="27">
        <v>45770</v>
      </c>
      <c r="C114" s="28">
        <v>11572.21</v>
      </c>
      <c r="D114" s="28">
        <v>0</v>
      </c>
      <c r="E114" s="28"/>
      <c r="F114" s="28" t="s">
        <v>4</v>
      </c>
      <c r="G114" s="24">
        <v>0.97</v>
      </c>
      <c r="H114" s="28" t="s">
        <v>49</v>
      </c>
      <c r="I114" s="28" t="s">
        <v>1779</v>
      </c>
      <c r="J114" s="28"/>
      <c r="K114" s="28" t="s">
        <v>50</v>
      </c>
      <c r="L114" s="28" t="s">
        <v>2482</v>
      </c>
      <c r="M114" s="28"/>
    </row>
    <row r="115" spans="1:13" x14ac:dyDescent="0.3">
      <c r="A115" s="59">
        <v>45770.336597222216</v>
      </c>
      <c r="B115" s="59">
        <v>45770</v>
      </c>
      <c r="C115" s="60">
        <v>0</v>
      </c>
      <c r="D115" s="60">
        <v>6904.51</v>
      </c>
      <c r="E115" s="60"/>
      <c r="F115" s="60" t="s">
        <v>29</v>
      </c>
      <c r="G115" s="24">
        <v>0.85</v>
      </c>
      <c r="H115" s="60" t="s">
        <v>606</v>
      </c>
      <c r="I115" s="60" t="s">
        <v>1019</v>
      </c>
      <c r="J115" s="60"/>
      <c r="K115" s="60" t="s">
        <v>1889</v>
      </c>
      <c r="L115" s="60" t="s">
        <v>2483</v>
      </c>
      <c r="M115" s="60"/>
    </row>
    <row r="116" spans="1:13" x14ac:dyDescent="0.3">
      <c r="A116" s="83">
        <v>45770.338819444441</v>
      </c>
      <c r="B116" s="83">
        <v>45770</v>
      </c>
      <c r="C116" s="84">
        <v>2763.6</v>
      </c>
      <c r="D116" s="84">
        <v>0</v>
      </c>
      <c r="E116" s="84"/>
      <c r="F116" s="84" t="s">
        <v>973</v>
      </c>
      <c r="G116" s="40">
        <v>0.68</v>
      </c>
      <c r="H116" s="84" t="s">
        <v>1014</v>
      </c>
      <c r="I116" s="84" t="s">
        <v>1019</v>
      </c>
      <c r="J116" s="84"/>
      <c r="K116" s="84" t="s">
        <v>1891</v>
      </c>
      <c r="L116" s="84" t="s">
        <v>2483</v>
      </c>
      <c r="M116" s="84"/>
    </row>
    <row r="117" spans="1:13" x14ac:dyDescent="0.3">
      <c r="A117" s="83">
        <v>45770.344027777777</v>
      </c>
      <c r="B117" s="83">
        <v>45770</v>
      </c>
      <c r="C117" s="84">
        <v>162.69999999999999</v>
      </c>
      <c r="D117" s="84">
        <v>0</v>
      </c>
      <c r="E117" s="84"/>
      <c r="F117" s="84" t="s">
        <v>973</v>
      </c>
      <c r="G117" s="40">
        <v>0.68</v>
      </c>
      <c r="H117" s="84" t="s">
        <v>1014</v>
      </c>
      <c r="I117" s="84" t="s">
        <v>1019</v>
      </c>
      <c r="J117" s="84"/>
      <c r="K117" s="84" t="s">
        <v>1893</v>
      </c>
      <c r="L117" s="84" t="s">
        <v>2483</v>
      </c>
      <c r="M117" s="84"/>
    </row>
    <row r="118" spans="1:13" x14ac:dyDescent="0.3">
      <c r="A118" s="27">
        <v>45771</v>
      </c>
      <c r="B118" s="27">
        <v>45771</v>
      </c>
      <c r="C118" s="28">
        <v>326.7</v>
      </c>
      <c r="D118" s="28">
        <v>0</v>
      </c>
      <c r="E118" s="28"/>
      <c r="F118" s="28" t="s">
        <v>4</v>
      </c>
      <c r="G118" s="24">
        <v>0.97</v>
      </c>
      <c r="H118" s="28" t="s">
        <v>49</v>
      </c>
      <c r="I118" s="28" t="s">
        <v>1779</v>
      </c>
      <c r="J118" s="28"/>
      <c r="K118" s="28" t="s">
        <v>50</v>
      </c>
      <c r="L118" s="28" t="s">
        <v>2482</v>
      </c>
      <c r="M118" s="28"/>
    </row>
    <row r="119" spans="1:13" x14ac:dyDescent="0.3">
      <c r="A119" s="25">
        <v>45771</v>
      </c>
      <c r="B119" s="25">
        <v>45771</v>
      </c>
      <c r="C119" s="26">
        <v>0</v>
      </c>
      <c r="D119" s="26">
        <v>12869.68</v>
      </c>
      <c r="E119" s="26"/>
      <c r="F119" s="26" t="s">
        <v>3</v>
      </c>
      <c r="G119" s="24">
        <v>0.93</v>
      </c>
      <c r="H119" s="26" t="s">
        <v>49</v>
      </c>
      <c r="I119" s="26" t="s">
        <v>1779</v>
      </c>
      <c r="J119" s="26"/>
      <c r="K119" s="26" t="s">
        <v>101</v>
      </c>
      <c r="L119" s="26" t="s">
        <v>2482</v>
      </c>
      <c r="M119" s="26"/>
    </row>
    <row r="120" spans="1:13" x14ac:dyDescent="0.3">
      <c r="A120" s="27">
        <v>45771</v>
      </c>
      <c r="B120" s="27">
        <v>45771</v>
      </c>
      <c r="C120" s="28">
        <v>99.74</v>
      </c>
      <c r="D120" s="28">
        <v>0</v>
      </c>
      <c r="E120" s="28"/>
      <c r="F120" s="28" t="s">
        <v>4</v>
      </c>
      <c r="G120" s="24">
        <v>0.97</v>
      </c>
      <c r="H120" s="28" t="s">
        <v>49</v>
      </c>
      <c r="I120" s="28" t="s">
        <v>1779</v>
      </c>
      <c r="J120" s="28"/>
      <c r="K120" s="28" t="s">
        <v>50</v>
      </c>
      <c r="L120" s="28" t="s">
        <v>2482</v>
      </c>
      <c r="M120" s="28"/>
    </row>
    <row r="121" spans="1:13" x14ac:dyDescent="0.3">
      <c r="A121" s="89">
        <v>45771.312557870369</v>
      </c>
      <c r="B121" s="89">
        <v>45771</v>
      </c>
      <c r="C121" s="90">
        <v>40</v>
      </c>
      <c r="D121" s="90">
        <v>0</v>
      </c>
      <c r="E121" s="90" t="s">
        <v>1897</v>
      </c>
      <c r="F121" s="90" t="s">
        <v>975</v>
      </c>
      <c r="G121" s="39">
        <v>0.55000000000000004</v>
      </c>
      <c r="H121" s="90" t="s">
        <v>91</v>
      </c>
      <c r="I121" s="90" t="s">
        <v>1019</v>
      </c>
      <c r="J121" s="90"/>
      <c r="K121" s="90" t="s">
        <v>1895</v>
      </c>
      <c r="L121" s="90" t="s">
        <v>2483</v>
      </c>
      <c r="M121" s="90"/>
    </row>
    <row r="122" spans="1:13" x14ac:dyDescent="0.3">
      <c r="A122" s="27">
        <v>45772</v>
      </c>
      <c r="B122" s="27">
        <v>45772</v>
      </c>
      <c r="C122" s="28">
        <v>2592.1999999999998</v>
      </c>
      <c r="D122" s="28">
        <v>0</v>
      </c>
      <c r="E122" s="28"/>
      <c r="F122" s="28" t="s">
        <v>4</v>
      </c>
      <c r="G122" s="24">
        <v>0.97</v>
      </c>
      <c r="H122" s="28" t="s">
        <v>49</v>
      </c>
      <c r="I122" s="28" t="s">
        <v>1779</v>
      </c>
      <c r="J122" s="28"/>
      <c r="K122" s="28" t="s">
        <v>50</v>
      </c>
      <c r="L122" s="28" t="s">
        <v>2482</v>
      </c>
      <c r="M122" s="28"/>
    </row>
    <row r="123" spans="1:13" x14ac:dyDescent="0.3">
      <c r="A123" s="27">
        <v>45772</v>
      </c>
      <c r="B123" s="27">
        <v>45772</v>
      </c>
      <c r="C123" s="28">
        <v>100.48</v>
      </c>
      <c r="D123" s="28">
        <v>0</v>
      </c>
      <c r="E123" s="28"/>
      <c r="F123" s="28" t="s">
        <v>4</v>
      </c>
      <c r="G123" s="24">
        <v>0.97</v>
      </c>
      <c r="H123" s="28" t="s">
        <v>49</v>
      </c>
      <c r="I123" s="28" t="s">
        <v>1779</v>
      </c>
      <c r="J123" s="28"/>
      <c r="K123" s="28" t="s">
        <v>50</v>
      </c>
      <c r="L123" s="28" t="s">
        <v>2482</v>
      </c>
      <c r="M123" s="28"/>
    </row>
    <row r="124" spans="1:13" x14ac:dyDescent="0.3">
      <c r="A124" s="134">
        <v>45773</v>
      </c>
      <c r="B124" s="134">
        <v>45773</v>
      </c>
      <c r="C124" s="135">
        <v>5100</v>
      </c>
      <c r="D124" s="135">
        <v>0</v>
      </c>
      <c r="E124" s="135"/>
      <c r="F124" s="135" t="s">
        <v>1704</v>
      </c>
      <c r="G124" s="24">
        <v>0.9</v>
      </c>
      <c r="H124" s="135" t="s">
        <v>1705</v>
      </c>
      <c r="I124" s="135" t="s">
        <v>837</v>
      </c>
      <c r="J124" s="135"/>
      <c r="K124" s="135" t="s">
        <v>1703</v>
      </c>
      <c r="L124" s="135" t="s">
        <v>2486</v>
      </c>
      <c r="M124" s="135"/>
    </row>
    <row r="125" spans="1:13" x14ac:dyDescent="0.3">
      <c r="A125" s="85">
        <v>45773</v>
      </c>
      <c r="B125" s="85">
        <v>45773</v>
      </c>
      <c r="C125" s="86">
        <v>0</v>
      </c>
      <c r="D125" s="86">
        <v>5000</v>
      </c>
      <c r="E125" s="86"/>
      <c r="F125" s="86" t="s">
        <v>974</v>
      </c>
      <c r="G125" s="24">
        <v>0.9</v>
      </c>
      <c r="H125" s="86" t="s">
        <v>1019</v>
      </c>
      <c r="I125" s="86" t="s">
        <v>837</v>
      </c>
      <c r="J125" s="86"/>
      <c r="K125" s="86" t="s">
        <v>1702</v>
      </c>
      <c r="L125" s="86" t="s">
        <v>2486</v>
      </c>
      <c r="M125" s="86"/>
    </row>
    <row r="126" spans="1:13" x14ac:dyDescent="0.3">
      <c r="A126" s="27">
        <v>45773.391655092593</v>
      </c>
      <c r="B126" s="27">
        <v>45773</v>
      </c>
      <c r="C126" s="28">
        <v>5000</v>
      </c>
      <c r="D126" s="28">
        <v>0</v>
      </c>
      <c r="E126" s="28"/>
      <c r="F126" s="28" t="s">
        <v>30</v>
      </c>
      <c r="G126" s="24">
        <v>0.95</v>
      </c>
      <c r="H126" s="28" t="s">
        <v>837</v>
      </c>
      <c r="I126" s="28" t="s">
        <v>1019</v>
      </c>
      <c r="J126" s="28"/>
      <c r="K126" s="28" t="s">
        <v>1898</v>
      </c>
      <c r="L126" s="28" t="s">
        <v>2483</v>
      </c>
      <c r="M126" s="28"/>
    </row>
    <row r="127" spans="1:13" x14ac:dyDescent="0.3">
      <c r="A127" s="89">
        <v>45773.777060185188</v>
      </c>
      <c r="B127" s="89">
        <v>45773</v>
      </c>
      <c r="C127" s="90">
        <v>20</v>
      </c>
      <c r="D127" s="90">
        <v>0</v>
      </c>
      <c r="E127" s="90" t="s">
        <v>1902</v>
      </c>
      <c r="F127" s="90" t="s">
        <v>975</v>
      </c>
      <c r="G127" s="39">
        <v>0.55000000000000004</v>
      </c>
      <c r="H127" s="90" t="s">
        <v>91</v>
      </c>
      <c r="I127" s="90" t="s">
        <v>1019</v>
      </c>
      <c r="J127" s="90"/>
      <c r="K127" s="90" t="s">
        <v>1900</v>
      </c>
      <c r="L127" s="90" t="s">
        <v>2483</v>
      </c>
      <c r="M127" s="90"/>
    </row>
    <row r="128" spans="1:13" x14ac:dyDescent="0.3">
      <c r="A128" s="22">
        <v>45775</v>
      </c>
      <c r="B128" s="22">
        <v>45775</v>
      </c>
      <c r="C128" s="23">
        <v>5000</v>
      </c>
      <c r="D128" s="23">
        <v>0</v>
      </c>
      <c r="E128" s="23"/>
      <c r="F128" s="23" t="s">
        <v>2</v>
      </c>
      <c r="G128" s="24">
        <v>0.95</v>
      </c>
      <c r="H128" s="23" t="s">
        <v>2</v>
      </c>
      <c r="I128" s="23" t="s">
        <v>1779</v>
      </c>
      <c r="J128" s="23"/>
      <c r="K128" s="23" t="s">
        <v>107</v>
      </c>
      <c r="L128" s="23" t="s">
        <v>2482</v>
      </c>
      <c r="M128" s="23"/>
    </row>
    <row r="129" spans="1:13" x14ac:dyDescent="0.3">
      <c r="A129" s="27">
        <v>45775</v>
      </c>
      <c r="B129" s="27">
        <v>45775</v>
      </c>
      <c r="C129" s="28">
        <v>298.68</v>
      </c>
      <c r="D129" s="28">
        <v>0</v>
      </c>
      <c r="E129" s="28"/>
      <c r="F129" s="28" t="s">
        <v>4</v>
      </c>
      <c r="G129" s="24">
        <v>0.97</v>
      </c>
      <c r="H129" s="28" t="s">
        <v>49</v>
      </c>
      <c r="I129" s="28" t="s">
        <v>1779</v>
      </c>
      <c r="J129" s="28"/>
      <c r="K129" s="28" t="s">
        <v>50</v>
      </c>
      <c r="L129" s="28" t="s">
        <v>2482</v>
      </c>
      <c r="M129" s="28"/>
    </row>
    <row r="130" spans="1:13" x14ac:dyDescent="0.3">
      <c r="A130" s="27">
        <v>45775</v>
      </c>
      <c r="B130" s="27">
        <v>45775</v>
      </c>
      <c r="C130" s="28">
        <v>856.5</v>
      </c>
      <c r="D130" s="28">
        <v>0</v>
      </c>
      <c r="E130" s="28"/>
      <c r="F130" s="28" t="s">
        <v>11</v>
      </c>
      <c r="G130" s="40">
        <v>0.68</v>
      </c>
      <c r="H130" s="28" t="s">
        <v>112</v>
      </c>
      <c r="I130" s="28" t="s">
        <v>1779</v>
      </c>
      <c r="J130" s="28"/>
      <c r="K130" s="28" t="s">
        <v>110</v>
      </c>
      <c r="L130" s="28" t="s">
        <v>2482</v>
      </c>
      <c r="M130" s="28"/>
    </row>
    <row r="131" spans="1:13" x14ac:dyDescent="0.3">
      <c r="A131" s="27">
        <v>45775</v>
      </c>
      <c r="B131" s="27">
        <v>45775</v>
      </c>
      <c r="C131" s="28">
        <v>6370.07</v>
      </c>
      <c r="D131" s="28">
        <v>0</v>
      </c>
      <c r="E131" s="28"/>
      <c r="F131" s="28" t="s">
        <v>4</v>
      </c>
      <c r="G131" s="24">
        <v>0.97</v>
      </c>
      <c r="H131" s="28" t="s">
        <v>49</v>
      </c>
      <c r="I131" s="28" t="s">
        <v>1779</v>
      </c>
      <c r="J131" s="28"/>
      <c r="K131" s="28" t="s">
        <v>50</v>
      </c>
      <c r="L131" s="28" t="s">
        <v>2482</v>
      </c>
      <c r="M131" s="28"/>
    </row>
    <row r="132" spans="1:13" x14ac:dyDescent="0.3">
      <c r="A132" s="22">
        <v>45775.308668981481</v>
      </c>
      <c r="B132" s="22">
        <v>45775</v>
      </c>
      <c r="C132" s="23">
        <v>7000</v>
      </c>
      <c r="D132" s="23">
        <v>0</v>
      </c>
      <c r="E132" s="23"/>
      <c r="F132" s="23" t="s">
        <v>2</v>
      </c>
      <c r="G132" s="24">
        <v>0.96</v>
      </c>
      <c r="H132" s="23" t="s">
        <v>2</v>
      </c>
      <c r="I132" s="23" t="s">
        <v>1019</v>
      </c>
      <c r="J132" s="23"/>
      <c r="K132" s="23" t="s">
        <v>1903</v>
      </c>
      <c r="L132" s="23" t="s">
        <v>2483</v>
      </c>
      <c r="M132" s="23"/>
    </row>
    <row r="133" spans="1:13" x14ac:dyDescent="0.3">
      <c r="A133" s="25">
        <v>45776</v>
      </c>
      <c r="B133" s="25">
        <v>45776</v>
      </c>
      <c r="C133" s="26">
        <v>0</v>
      </c>
      <c r="D133" s="26">
        <v>22473.439999999999</v>
      </c>
      <c r="E133" s="26"/>
      <c r="F133" s="26" t="s">
        <v>3</v>
      </c>
      <c r="G133" s="24">
        <v>0.93</v>
      </c>
      <c r="H133" s="26" t="s">
        <v>49</v>
      </c>
      <c r="I133" s="26" t="s">
        <v>1779</v>
      </c>
      <c r="J133" s="26"/>
      <c r="K133" s="26" t="s">
        <v>114</v>
      </c>
      <c r="L133" s="26" t="s">
        <v>2482</v>
      </c>
      <c r="M133" s="26"/>
    </row>
    <row r="134" spans="1:13" x14ac:dyDescent="0.3">
      <c r="A134" s="25">
        <v>45776</v>
      </c>
      <c r="B134" s="25">
        <v>45776</v>
      </c>
      <c r="C134" s="26">
        <v>0</v>
      </c>
      <c r="D134" s="26">
        <v>2398.19</v>
      </c>
      <c r="E134" s="26"/>
      <c r="F134" s="26" t="s">
        <v>3</v>
      </c>
      <c r="G134" s="24">
        <v>0.93</v>
      </c>
      <c r="H134" s="26" t="s">
        <v>49</v>
      </c>
      <c r="I134" s="26" t="s">
        <v>1779</v>
      </c>
      <c r="J134" s="26"/>
      <c r="K134" s="26" t="s">
        <v>116</v>
      </c>
      <c r="L134" s="26" t="s">
        <v>2482</v>
      </c>
      <c r="M134" s="26"/>
    </row>
    <row r="135" spans="1:13" x14ac:dyDescent="0.3">
      <c r="A135" s="27">
        <v>45776</v>
      </c>
      <c r="B135" s="27">
        <v>45776</v>
      </c>
      <c r="C135" s="28">
        <v>97.29</v>
      </c>
      <c r="D135" s="28">
        <v>0</v>
      </c>
      <c r="E135" s="28"/>
      <c r="F135" s="28" t="s">
        <v>4</v>
      </c>
      <c r="G135" s="24">
        <v>0.97</v>
      </c>
      <c r="H135" s="28" t="s">
        <v>49</v>
      </c>
      <c r="I135" s="28" t="s">
        <v>1779</v>
      </c>
      <c r="J135" s="28"/>
      <c r="K135" s="28" t="s">
        <v>50</v>
      </c>
      <c r="L135" s="28" t="s">
        <v>2482</v>
      </c>
      <c r="M135" s="28"/>
    </row>
    <row r="136" spans="1:13" x14ac:dyDescent="0.3">
      <c r="A136" s="27">
        <v>45776</v>
      </c>
      <c r="B136" s="27">
        <v>45776</v>
      </c>
      <c r="C136" s="28">
        <v>15507.42</v>
      </c>
      <c r="D136" s="28">
        <v>0</v>
      </c>
      <c r="E136" s="28"/>
      <c r="F136" s="28" t="s">
        <v>4</v>
      </c>
      <c r="G136" s="24">
        <v>0.97</v>
      </c>
      <c r="H136" s="28" t="s">
        <v>49</v>
      </c>
      <c r="I136" s="28" t="s">
        <v>1779</v>
      </c>
      <c r="J136" s="28"/>
      <c r="K136" s="28" t="s">
        <v>50</v>
      </c>
      <c r="L136" s="28" t="s">
        <v>2482</v>
      </c>
      <c r="M136" s="28"/>
    </row>
    <row r="137" spans="1:13" x14ac:dyDescent="0.3">
      <c r="A137" s="37">
        <v>45776</v>
      </c>
      <c r="B137" s="37">
        <v>45776</v>
      </c>
      <c r="C137" s="38">
        <v>0</v>
      </c>
      <c r="D137" s="38">
        <v>2100</v>
      </c>
      <c r="E137" s="38"/>
      <c r="F137" s="38" t="s">
        <v>12</v>
      </c>
      <c r="G137" s="39">
        <v>0.55000000000000004</v>
      </c>
      <c r="H137" s="38" t="s">
        <v>91</v>
      </c>
      <c r="I137" s="38" t="s">
        <v>1779</v>
      </c>
      <c r="J137" s="38"/>
      <c r="K137" s="38" t="s">
        <v>120</v>
      </c>
      <c r="L137" s="38" t="s">
        <v>2482</v>
      </c>
      <c r="M137" s="38"/>
    </row>
    <row r="138" spans="1:13" x14ac:dyDescent="0.3">
      <c r="A138" s="27">
        <v>45777</v>
      </c>
      <c r="B138" s="27">
        <v>45777</v>
      </c>
      <c r="C138" s="28">
        <v>304.94</v>
      </c>
      <c r="D138" s="28">
        <v>0</v>
      </c>
      <c r="E138" s="28"/>
      <c r="F138" s="28" t="s">
        <v>4</v>
      </c>
      <c r="G138" s="24">
        <v>0.97</v>
      </c>
      <c r="H138" s="28" t="s">
        <v>49</v>
      </c>
      <c r="I138" s="28" t="s">
        <v>1779</v>
      </c>
      <c r="J138" s="28"/>
      <c r="K138" s="28" t="s">
        <v>50</v>
      </c>
      <c r="L138" s="28" t="s">
        <v>2482</v>
      </c>
      <c r="M138" s="28"/>
    </row>
    <row r="139" spans="1:13" x14ac:dyDescent="0.3">
      <c r="A139" s="25">
        <v>45777</v>
      </c>
      <c r="B139" s="25">
        <v>45777</v>
      </c>
      <c r="C139" s="26">
        <v>0</v>
      </c>
      <c r="D139" s="26">
        <v>1760.16</v>
      </c>
      <c r="E139" s="26"/>
      <c r="F139" s="26" t="s">
        <v>3</v>
      </c>
      <c r="G139" s="24">
        <v>0.93</v>
      </c>
      <c r="H139" s="26" t="s">
        <v>49</v>
      </c>
      <c r="I139" s="26" t="s">
        <v>1779</v>
      </c>
      <c r="J139" s="26"/>
      <c r="K139" s="26" t="s">
        <v>122</v>
      </c>
      <c r="L139" s="26" t="s">
        <v>2482</v>
      </c>
      <c r="M139" s="26"/>
    </row>
    <row r="140" spans="1:13" x14ac:dyDescent="0.3">
      <c r="A140" s="22">
        <v>45777</v>
      </c>
      <c r="B140" s="22">
        <v>45777</v>
      </c>
      <c r="C140" s="23">
        <v>5000</v>
      </c>
      <c r="D140" s="23">
        <v>0</v>
      </c>
      <c r="E140" s="23"/>
      <c r="F140" s="23" t="s">
        <v>2</v>
      </c>
      <c r="G140" s="24">
        <v>0.95</v>
      </c>
      <c r="H140" s="23" t="s">
        <v>2</v>
      </c>
      <c r="I140" s="23" t="s">
        <v>1779</v>
      </c>
      <c r="J140" s="23"/>
      <c r="K140" s="23" t="s">
        <v>124</v>
      </c>
      <c r="L140" s="23" t="s">
        <v>2482</v>
      </c>
      <c r="M140" s="23"/>
    </row>
    <row r="141" spans="1:13" x14ac:dyDescent="0.3">
      <c r="A141" s="27">
        <v>45777</v>
      </c>
      <c r="B141" s="27">
        <v>45777</v>
      </c>
      <c r="C141" s="28">
        <v>78.209999999999994</v>
      </c>
      <c r="D141" s="28">
        <v>0</v>
      </c>
      <c r="E141" s="28"/>
      <c r="F141" s="28" t="s">
        <v>4</v>
      </c>
      <c r="G141" s="24">
        <v>0.97</v>
      </c>
      <c r="H141" s="28" t="s">
        <v>49</v>
      </c>
      <c r="I141" s="28" t="s">
        <v>1779</v>
      </c>
      <c r="J141" s="28"/>
      <c r="K141" s="28" t="s">
        <v>50</v>
      </c>
      <c r="L141" s="28" t="s">
        <v>2482</v>
      </c>
      <c r="M141" s="28"/>
    </row>
    <row r="142" spans="1:13" x14ac:dyDescent="0.3">
      <c r="A142" s="55">
        <v>45778</v>
      </c>
      <c r="B142" s="55">
        <v>45778</v>
      </c>
      <c r="C142" s="56">
        <v>0</v>
      </c>
      <c r="D142" s="56">
        <v>1</v>
      </c>
      <c r="E142" s="56"/>
      <c r="F142" s="56" t="s">
        <v>22</v>
      </c>
      <c r="G142" s="24">
        <v>0.97</v>
      </c>
      <c r="H142" s="56" t="s">
        <v>22</v>
      </c>
      <c r="I142" s="56" t="s">
        <v>2224</v>
      </c>
      <c r="J142" s="56" t="s">
        <v>22</v>
      </c>
      <c r="K142" s="56" t="s">
        <v>2468</v>
      </c>
      <c r="L142" s="56" t="s">
        <v>2487</v>
      </c>
      <c r="M142" s="56"/>
    </row>
    <row r="143" spans="1:13" x14ac:dyDescent="0.3">
      <c r="A143" s="97">
        <v>45778.822939814818</v>
      </c>
      <c r="B143" s="97">
        <v>45778</v>
      </c>
      <c r="C143" s="98">
        <v>5000</v>
      </c>
      <c r="D143" s="98">
        <v>0</v>
      </c>
      <c r="E143" s="98"/>
      <c r="F143" s="98" t="s">
        <v>978</v>
      </c>
      <c r="G143" s="24">
        <v>0.85</v>
      </c>
      <c r="H143" s="98" t="s">
        <v>1031</v>
      </c>
      <c r="I143" s="98" t="s">
        <v>1019</v>
      </c>
      <c r="J143" s="98"/>
      <c r="K143" s="98" t="s">
        <v>1905</v>
      </c>
      <c r="L143" s="98" t="s">
        <v>2483</v>
      </c>
      <c r="M143" s="98" t="s">
        <v>2485</v>
      </c>
    </row>
    <row r="144" spans="1:13" x14ac:dyDescent="0.3">
      <c r="A144" s="97">
        <v>45778.824247685188</v>
      </c>
      <c r="B144" s="97">
        <v>45778</v>
      </c>
      <c r="C144" s="98">
        <v>5000</v>
      </c>
      <c r="D144" s="98">
        <v>0</v>
      </c>
      <c r="E144" s="98"/>
      <c r="F144" s="98" t="s">
        <v>978</v>
      </c>
      <c r="G144" s="24">
        <v>0.85</v>
      </c>
      <c r="H144" s="98" t="s">
        <v>1031</v>
      </c>
      <c r="I144" s="98" t="s">
        <v>1019</v>
      </c>
      <c r="J144" s="98"/>
      <c r="K144" s="98" t="s">
        <v>1907</v>
      </c>
      <c r="L144" s="98" t="s">
        <v>2483</v>
      </c>
      <c r="M144" s="98" t="s">
        <v>2485</v>
      </c>
    </row>
    <row r="145" spans="1:13" x14ac:dyDescent="0.3">
      <c r="A145" s="41">
        <v>45779</v>
      </c>
      <c r="B145" s="41">
        <v>45779</v>
      </c>
      <c r="C145" s="42">
        <v>60</v>
      </c>
      <c r="D145" s="42">
        <v>0</v>
      </c>
      <c r="E145" s="42"/>
      <c r="F145" s="42" t="s">
        <v>13</v>
      </c>
      <c r="G145" s="40">
        <v>0.82</v>
      </c>
      <c r="H145" s="42" t="s">
        <v>131</v>
      </c>
      <c r="I145" s="42" t="s">
        <v>1779</v>
      </c>
      <c r="J145" s="42"/>
      <c r="K145" s="42" t="s">
        <v>129</v>
      </c>
      <c r="L145" s="42" t="s">
        <v>2482</v>
      </c>
      <c r="M145" s="42"/>
    </row>
    <row r="146" spans="1:13" x14ac:dyDescent="0.3">
      <c r="A146" s="41">
        <v>45779</v>
      </c>
      <c r="B146" s="41">
        <v>45779</v>
      </c>
      <c r="C146" s="42">
        <v>50</v>
      </c>
      <c r="D146" s="42">
        <v>0</v>
      </c>
      <c r="E146" s="42"/>
      <c r="F146" s="42" t="s">
        <v>13</v>
      </c>
      <c r="G146" s="40">
        <v>0.82</v>
      </c>
      <c r="H146" s="42" t="s">
        <v>131</v>
      </c>
      <c r="I146" s="42" t="s">
        <v>1779</v>
      </c>
      <c r="J146" s="42"/>
      <c r="K146" s="42" t="s">
        <v>132</v>
      </c>
      <c r="L146" s="42" t="s">
        <v>2482</v>
      </c>
      <c r="M146" s="42"/>
    </row>
    <row r="147" spans="1:13" x14ac:dyDescent="0.3">
      <c r="A147" s="27">
        <v>45779</v>
      </c>
      <c r="B147" s="27">
        <v>45779</v>
      </c>
      <c r="C147" s="28">
        <v>10292.040000000001</v>
      </c>
      <c r="D147" s="28">
        <v>0</v>
      </c>
      <c r="E147" s="28"/>
      <c r="F147" s="28" t="s">
        <v>4</v>
      </c>
      <c r="G147" s="24">
        <v>0.97</v>
      </c>
      <c r="H147" s="28" t="s">
        <v>49</v>
      </c>
      <c r="I147" s="28" t="s">
        <v>1779</v>
      </c>
      <c r="J147" s="28"/>
      <c r="K147" s="28" t="s">
        <v>50</v>
      </c>
      <c r="L147" s="28" t="s">
        <v>2482</v>
      </c>
      <c r="M147" s="28"/>
    </row>
    <row r="148" spans="1:13" x14ac:dyDescent="0.3">
      <c r="A148" s="78">
        <v>45779</v>
      </c>
      <c r="B148" s="78">
        <v>45779</v>
      </c>
      <c r="C148" s="79">
        <v>0</v>
      </c>
      <c r="D148" s="79">
        <v>98850</v>
      </c>
      <c r="E148" s="79"/>
      <c r="F148" s="79" t="s">
        <v>972</v>
      </c>
      <c r="G148" s="24">
        <v>0.97</v>
      </c>
      <c r="H148" s="79" t="s">
        <v>972</v>
      </c>
      <c r="I148" s="79" t="s">
        <v>1680</v>
      </c>
      <c r="J148" s="79" t="s">
        <v>972</v>
      </c>
      <c r="K148" s="79" t="s">
        <v>1016</v>
      </c>
      <c r="L148" s="79" t="s">
        <v>2484</v>
      </c>
      <c r="M148" s="79"/>
    </row>
    <row r="149" spans="1:13" x14ac:dyDescent="0.3">
      <c r="A149" s="85">
        <v>45779</v>
      </c>
      <c r="B149" s="85">
        <v>45779</v>
      </c>
      <c r="C149" s="86">
        <v>65000</v>
      </c>
      <c r="D149" s="86">
        <v>0</v>
      </c>
      <c r="E149" s="86"/>
      <c r="F149" s="86" t="s">
        <v>974</v>
      </c>
      <c r="G149" s="24">
        <v>0.9</v>
      </c>
      <c r="H149" s="86" t="s">
        <v>1019</v>
      </c>
      <c r="I149" s="86" t="s">
        <v>1680</v>
      </c>
      <c r="J149" s="86" t="s">
        <v>1021</v>
      </c>
      <c r="K149" s="86" t="s">
        <v>1020</v>
      </c>
      <c r="L149" s="86" t="s">
        <v>2484</v>
      </c>
      <c r="M149" s="86"/>
    </row>
    <row r="150" spans="1:13" x14ac:dyDescent="0.3">
      <c r="A150" s="85">
        <v>45779</v>
      </c>
      <c r="B150" s="85">
        <v>45779</v>
      </c>
      <c r="C150" s="86">
        <v>1</v>
      </c>
      <c r="D150" s="86">
        <v>0</v>
      </c>
      <c r="E150" s="86"/>
      <c r="F150" s="86" t="s">
        <v>974</v>
      </c>
      <c r="G150" s="24">
        <v>0.9</v>
      </c>
      <c r="H150" s="86" t="s">
        <v>1019</v>
      </c>
      <c r="I150" s="86" t="s">
        <v>1680</v>
      </c>
      <c r="J150" s="86" t="s">
        <v>1008</v>
      </c>
      <c r="K150" s="86" t="s">
        <v>1018</v>
      </c>
      <c r="L150" s="86" t="s">
        <v>2484</v>
      </c>
      <c r="M150" s="86"/>
    </row>
    <row r="151" spans="1:13" x14ac:dyDescent="0.3">
      <c r="A151" s="27">
        <v>45779</v>
      </c>
      <c r="B151" s="27">
        <v>45779</v>
      </c>
      <c r="C151" s="28">
        <v>1</v>
      </c>
      <c r="D151" s="28">
        <v>0</v>
      </c>
      <c r="E151" s="28"/>
      <c r="F151" s="28" t="s">
        <v>30</v>
      </c>
      <c r="G151" s="24">
        <v>0.9</v>
      </c>
      <c r="H151" s="28" t="s">
        <v>837</v>
      </c>
      <c r="I151" s="28" t="s">
        <v>1680</v>
      </c>
      <c r="J151" s="28" t="s">
        <v>1008</v>
      </c>
      <c r="K151" s="28" t="s">
        <v>1017</v>
      </c>
      <c r="L151" s="28" t="s">
        <v>2484</v>
      </c>
      <c r="M151" s="28"/>
    </row>
    <row r="152" spans="1:13" x14ac:dyDescent="0.3">
      <c r="A152" s="27">
        <v>45779</v>
      </c>
      <c r="B152" s="27">
        <v>45779</v>
      </c>
      <c r="C152" s="28">
        <v>139.80000000000001</v>
      </c>
      <c r="D152" s="28">
        <v>0</v>
      </c>
      <c r="E152" s="28"/>
      <c r="F152" s="28" t="s">
        <v>4</v>
      </c>
      <c r="G152" s="24">
        <v>0.97</v>
      </c>
      <c r="H152" s="28" t="s">
        <v>49</v>
      </c>
      <c r="I152" s="28" t="s">
        <v>1779</v>
      </c>
      <c r="J152" s="28"/>
      <c r="K152" s="28" t="s">
        <v>50</v>
      </c>
      <c r="L152" s="28" t="s">
        <v>2482</v>
      </c>
      <c r="M152" s="28"/>
    </row>
    <row r="153" spans="1:13" x14ac:dyDescent="0.3">
      <c r="A153" s="27">
        <v>45779</v>
      </c>
      <c r="B153" s="27">
        <v>45779</v>
      </c>
      <c r="C153" s="28">
        <v>0</v>
      </c>
      <c r="D153" s="28">
        <v>1</v>
      </c>
      <c r="E153" s="28"/>
      <c r="F153" s="28" t="s">
        <v>1656</v>
      </c>
      <c r="G153" s="24">
        <v>0.9</v>
      </c>
      <c r="H153" s="28" t="s">
        <v>1680</v>
      </c>
      <c r="I153" s="28" t="s">
        <v>837</v>
      </c>
      <c r="J153" s="28"/>
      <c r="K153" s="28" t="s">
        <v>1706</v>
      </c>
      <c r="L153" s="28" t="s">
        <v>2486</v>
      </c>
      <c r="M153" s="28"/>
    </row>
    <row r="154" spans="1:13" x14ac:dyDescent="0.3">
      <c r="A154" s="95">
        <v>45779.471574074072</v>
      </c>
      <c r="B154" s="95">
        <v>45779</v>
      </c>
      <c r="C154" s="96">
        <v>23000</v>
      </c>
      <c r="D154" s="96">
        <v>0</v>
      </c>
      <c r="E154" s="96"/>
      <c r="F154" s="96" t="s">
        <v>979</v>
      </c>
      <c r="G154" s="24">
        <v>0.88</v>
      </c>
      <c r="H154" s="96" t="s">
        <v>990</v>
      </c>
      <c r="I154" s="96" t="s">
        <v>1019</v>
      </c>
      <c r="J154" s="96"/>
      <c r="K154" s="96" t="s">
        <v>1909</v>
      </c>
      <c r="L154" s="96" t="s">
        <v>2483</v>
      </c>
      <c r="M154" s="96"/>
    </row>
    <row r="155" spans="1:13" x14ac:dyDescent="0.3">
      <c r="A155" s="27">
        <v>45779.477824074071</v>
      </c>
      <c r="B155" s="27">
        <v>45779</v>
      </c>
      <c r="C155" s="28">
        <v>0</v>
      </c>
      <c r="D155" s="28">
        <v>1</v>
      </c>
      <c r="E155" s="28"/>
      <c r="F155" s="28" t="s">
        <v>1656</v>
      </c>
      <c r="G155" s="24">
        <v>0.95</v>
      </c>
      <c r="H155" s="28" t="s">
        <v>1680</v>
      </c>
      <c r="I155" s="28" t="s">
        <v>1019</v>
      </c>
      <c r="J155" s="28"/>
      <c r="K155" s="28" t="s">
        <v>1911</v>
      </c>
      <c r="L155" s="28" t="s">
        <v>2483</v>
      </c>
      <c r="M155" s="28"/>
    </row>
    <row r="156" spans="1:13" x14ac:dyDescent="0.3">
      <c r="A156" s="27">
        <v>45779.478530092587</v>
      </c>
      <c r="B156" s="27">
        <v>45779</v>
      </c>
      <c r="C156" s="28">
        <v>0</v>
      </c>
      <c r="D156" s="28">
        <v>65000</v>
      </c>
      <c r="E156" s="28"/>
      <c r="F156" s="28" t="s">
        <v>1656</v>
      </c>
      <c r="G156" s="24">
        <v>0.95</v>
      </c>
      <c r="H156" s="28" t="s">
        <v>1680</v>
      </c>
      <c r="I156" s="28" t="s">
        <v>1019</v>
      </c>
      <c r="J156" s="28"/>
      <c r="K156" s="28" t="s">
        <v>1913</v>
      </c>
      <c r="L156" s="28" t="s">
        <v>2483</v>
      </c>
      <c r="M156" s="28"/>
    </row>
    <row r="157" spans="1:13" x14ac:dyDescent="0.3">
      <c r="A157" s="89">
        <v>45779.804560185177</v>
      </c>
      <c r="B157" s="89">
        <v>45779</v>
      </c>
      <c r="C157" s="90">
        <v>20</v>
      </c>
      <c r="D157" s="90">
        <v>0</v>
      </c>
      <c r="E157" s="90" t="s">
        <v>1902</v>
      </c>
      <c r="F157" s="90" t="s">
        <v>975</v>
      </c>
      <c r="G157" s="39">
        <v>0.55000000000000004</v>
      </c>
      <c r="H157" s="90" t="s">
        <v>91</v>
      </c>
      <c r="I157" s="90" t="s">
        <v>1019</v>
      </c>
      <c r="J157" s="90"/>
      <c r="K157" s="90" t="s">
        <v>1915</v>
      </c>
      <c r="L157" s="90" t="s">
        <v>2483</v>
      </c>
      <c r="M157" s="90"/>
    </row>
    <row r="158" spans="1:13" x14ac:dyDescent="0.3">
      <c r="A158" s="85">
        <v>45780</v>
      </c>
      <c r="B158" s="85">
        <v>45780</v>
      </c>
      <c r="C158" s="86">
        <v>7000</v>
      </c>
      <c r="D158" s="86">
        <v>0</v>
      </c>
      <c r="E158" s="86"/>
      <c r="F158" s="86" t="s">
        <v>974</v>
      </c>
      <c r="G158" s="24">
        <v>0.9</v>
      </c>
      <c r="H158" s="86" t="s">
        <v>1019</v>
      </c>
      <c r="I158" s="86" t="s">
        <v>1680</v>
      </c>
      <c r="J158" s="86" t="s">
        <v>1021</v>
      </c>
      <c r="K158" s="86" t="s">
        <v>1022</v>
      </c>
      <c r="L158" s="86" t="s">
        <v>2484</v>
      </c>
      <c r="M158" s="86"/>
    </row>
    <row r="159" spans="1:13" x14ac:dyDescent="0.3">
      <c r="A159" s="27">
        <v>45780.569247685176</v>
      </c>
      <c r="B159" s="27">
        <v>45780</v>
      </c>
      <c r="C159" s="28">
        <v>0</v>
      </c>
      <c r="D159" s="28">
        <v>7000</v>
      </c>
      <c r="E159" s="28"/>
      <c r="F159" s="28" t="s">
        <v>1656</v>
      </c>
      <c r="G159" s="24">
        <v>0.95</v>
      </c>
      <c r="H159" s="28" t="s">
        <v>1680</v>
      </c>
      <c r="I159" s="28" t="s">
        <v>1019</v>
      </c>
      <c r="J159" s="28"/>
      <c r="K159" s="28" t="s">
        <v>1917</v>
      </c>
      <c r="L159" s="28" t="s">
        <v>2483</v>
      </c>
      <c r="M159" s="28"/>
    </row>
    <row r="160" spans="1:13" x14ac:dyDescent="0.3">
      <c r="A160" s="89">
        <v>45781</v>
      </c>
      <c r="B160" s="89">
        <v>45781</v>
      </c>
      <c r="C160" s="90">
        <v>114</v>
      </c>
      <c r="D160" s="90">
        <v>0</v>
      </c>
      <c r="E160" s="90" t="s">
        <v>1710</v>
      </c>
      <c r="F160" s="90" t="s">
        <v>975</v>
      </c>
      <c r="G160" s="39">
        <v>0.55000000000000004</v>
      </c>
      <c r="H160" s="90" t="s">
        <v>91</v>
      </c>
      <c r="I160" s="90" t="s">
        <v>837</v>
      </c>
      <c r="J160" s="90"/>
      <c r="K160" s="90" t="s">
        <v>1709</v>
      </c>
      <c r="L160" s="90" t="s">
        <v>2486</v>
      </c>
      <c r="M160" s="90"/>
    </row>
    <row r="161" spans="1:13" x14ac:dyDescent="0.3">
      <c r="A161" s="89">
        <v>45781</v>
      </c>
      <c r="B161" s="89">
        <v>45781</v>
      </c>
      <c r="C161" s="90">
        <v>60</v>
      </c>
      <c r="D161" s="90">
        <v>0</v>
      </c>
      <c r="E161" s="90" t="s">
        <v>1708</v>
      </c>
      <c r="F161" s="90" t="s">
        <v>975</v>
      </c>
      <c r="G161" s="39">
        <v>0.55000000000000004</v>
      </c>
      <c r="H161" s="90" t="s">
        <v>91</v>
      </c>
      <c r="I161" s="90" t="s">
        <v>837</v>
      </c>
      <c r="J161" s="90"/>
      <c r="K161" s="90" t="s">
        <v>1707</v>
      </c>
      <c r="L161" s="90" t="s">
        <v>2486</v>
      </c>
      <c r="M161" s="90"/>
    </row>
    <row r="162" spans="1:13" x14ac:dyDescent="0.3">
      <c r="A162" s="43">
        <v>45781</v>
      </c>
      <c r="B162" s="43">
        <v>45781</v>
      </c>
      <c r="C162" s="44">
        <v>1099</v>
      </c>
      <c r="D162" s="44">
        <v>0</v>
      </c>
      <c r="E162" s="44"/>
      <c r="F162" s="44" t="s">
        <v>14</v>
      </c>
      <c r="G162" s="40">
        <v>0.68</v>
      </c>
      <c r="H162" s="44" t="s">
        <v>137</v>
      </c>
      <c r="I162" s="44" t="s">
        <v>1779</v>
      </c>
      <c r="J162" s="44"/>
      <c r="K162" s="44" t="s">
        <v>135</v>
      </c>
      <c r="L162" s="44" t="s">
        <v>2482</v>
      </c>
      <c r="M162" s="44"/>
    </row>
    <row r="163" spans="1:13" x14ac:dyDescent="0.3">
      <c r="A163" s="89">
        <v>45781.430636574078</v>
      </c>
      <c r="B163" s="89">
        <v>45781</v>
      </c>
      <c r="C163" s="90">
        <v>850</v>
      </c>
      <c r="D163" s="90">
        <v>0</v>
      </c>
      <c r="E163" s="90" t="s">
        <v>1921</v>
      </c>
      <c r="F163" s="90" t="s">
        <v>975</v>
      </c>
      <c r="G163" s="39">
        <v>0.55000000000000004</v>
      </c>
      <c r="H163" s="90" t="s">
        <v>91</v>
      </c>
      <c r="I163" s="90" t="s">
        <v>1019</v>
      </c>
      <c r="J163" s="90"/>
      <c r="K163" s="90" t="s">
        <v>1919</v>
      </c>
      <c r="L163" s="90" t="s">
        <v>2483</v>
      </c>
      <c r="M163" s="90"/>
    </row>
    <row r="164" spans="1:13" x14ac:dyDescent="0.3">
      <c r="A164" s="27">
        <v>45781.538263888891</v>
      </c>
      <c r="B164" s="27">
        <v>45781</v>
      </c>
      <c r="C164" s="28">
        <v>700</v>
      </c>
      <c r="D164" s="28">
        <v>0</v>
      </c>
      <c r="E164" s="28"/>
      <c r="F164" s="28" t="s">
        <v>11</v>
      </c>
      <c r="G164" s="40">
        <v>0.68</v>
      </c>
      <c r="H164" s="28" t="s">
        <v>112</v>
      </c>
      <c r="I164" s="28" t="s">
        <v>1019</v>
      </c>
      <c r="J164" s="28"/>
      <c r="K164" s="28" t="s">
        <v>1922</v>
      </c>
      <c r="L164" s="28" t="s">
        <v>2483</v>
      </c>
      <c r="M164" s="28"/>
    </row>
    <row r="165" spans="1:13" x14ac:dyDescent="0.3">
      <c r="A165" s="27">
        <v>45782</v>
      </c>
      <c r="B165" s="27">
        <v>45782</v>
      </c>
      <c r="C165" s="28">
        <v>18743.02</v>
      </c>
      <c r="D165" s="28">
        <v>0</v>
      </c>
      <c r="E165" s="28"/>
      <c r="F165" s="28" t="s">
        <v>4</v>
      </c>
      <c r="G165" s="24">
        <v>0.97</v>
      </c>
      <c r="H165" s="28" t="s">
        <v>49</v>
      </c>
      <c r="I165" s="28" t="s">
        <v>1779</v>
      </c>
      <c r="J165" s="28"/>
      <c r="K165" s="28" t="s">
        <v>50</v>
      </c>
      <c r="L165" s="28" t="s">
        <v>2482</v>
      </c>
      <c r="M165" s="28"/>
    </row>
    <row r="166" spans="1:13" x14ac:dyDescent="0.3">
      <c r="A166" s="27">
        <v>45782</v>
      </c>
      <c r="B166" s="27">
        <v>45782</v>
      </c>
      <c r="C166" s="28">
        <v>198.72</v>
      </c>
      <c r="D166" s="28">
        <v>0</v>
      </c>
      <c r="E166" s="28"/>
      <c r="F166" s="28" t="s">
        <v>4</v>
      </c>
      <c r="G166" s="24">
        <v>0.97</v>
      </c>
      <c r="H166" s="28" t="s">
        <v>49</v>
      </c>
      <c r="I166" s="28" t="s">
        <v>1779</v>
      </c>
      <c r="J166" s="28"/>
      <c r="K166" s="28" t="s">
        <v>50</v>
      </c>
      <c r="L166" s="28" t="s">
        <v>2482</v>
      </c>
      <c r="M166" s="28" t="s">
        <v>2485</v>
      </c>
    </row>
    <row r="167" spans="1:13" x14ac:dyDescent="0.3">
      <c r="A167" s="27">
        <v>45782</v>
      </c>
      <c r="B167" s="27">
        <v>45782</v>
      </c>
      <c r="C167" s="28">
        <v>198.72</v>
      </c>
      <c r="D167" s="28">
        <v>0</v>
      </c>
      <c r="E167" s="28"/>
      <c r="F167" s="28" t="s">
        <v>4</v>
      </c>
      <c r="G167" s="24">
        <v>0.97</v>
      </c>
      <c r="H167" s="28" t="s">
        <v>49</v>
      </c>
      <c r="I167" s="28" t="s">
        <v>1779</v>
      </c>
      <c r="J167" s="28"/>
      <c r="K167" s="28" t="s">
        <v>50</v>
      </c>
      <c r="L167" s="28" t="s">
        <v>2482</v>
      </c>
      <c r="M167" s="28" t="s">
        <v>2485</v>
      </c>
    </row>
    <row r="168" spans="1:13" x14ac:dyDescent="0.3">
      <c r="A168" s="37">
        <v>45782.089085648149</v>
      </c>
      <c r="B168" s="37">
        <v>45782</v>
      </c>
      <c r="C168" s="38">
        <v>0</v>
      </c>
      <c r="D168" s="38">
        <v>13.38</v>
      </c>
      <c r="E168" s="38"/>
      <c r="F168" s="38" t="s">
        <v>1809</v>
      </c>
      <c r="G168" s="40">
        <v>0.72</v>
      </c>
      <c r="H168" s="38" t="s">
        <v>91</v>
      </c>
      <c r="I168" s="38" t="s">
        <v>1019</v>
      </c>
      <c r="J168" s="38"/>
      <c r="K168" s="38" t="s">
        <v>1924</v>
      </c>
      <c r="L168" s="38" t="s">
        <v>2483</v>
      </c>
      <c r="M168" s="38"/>
    </row>
    <row r="169" spans="1:13" x14ac:dyDescent="0.3">
      <c r="A169" s="37">
        <v>45782.110405092593</v>
      </c>
      <c r="B169" s="37">
        <v>45782</v>
      </c>
      <c r="C169" s="38">
        <v>0</v>
      </c>
      <c r="D169" s="38">
        <v>10679.9</v>
      </c>
      <c r="E169" s="38"/>
      <c r="F169" s="38" t="s">
        <v>1809</v>
      </c>
      <c r="G169" s="40">
        <v>0.72</v>
      </c>
      <c r="H169" s="38" t="s">
        <v>91</v>
      </c>
      <c r="I169" s="38" t="s">
        <v>1019</v>
      </c>
      <c r="J169" s="38"/>
      <c r="K169" s="38" t="s">
        <v>1926</v>
      </c>
      <c r="L169" s="38" t="s">
        <v>2483</v>
      </c>
      <c r="M169" s="38"/>
    </row>
    <row r="170" spans="1:13" x14ac:dyDescent="0.3">
      <c r="A170" s="25">
        <v>45783</v>
      </c>
      <c r="B170" s="25">
        <v>45783</v>
      </c>
      <c r="C170" s="26">
        <v>0</v>
      </c>
      <c r="D170" s="26">
        <v>67837.59</v>
      </c>
      <c r="E170" s="26"/>
      <c r="F170" s="26" t="s">
        <v>3</v>
      </c>
      <c r="G170" s="24">
        <v>0.93</v>
      </c>
      <c r="H170" s="26" t="s">
        <v>49</v>
      </c>
      <c r="I170" s="26" t="s">
        <v>1779</v>
      </c>
      <c r="J170" s="26"/>
      <c r="K170" s="26" t="s">
        <v>141</v>
      </c>
      <c r="L170" s="26" t="s">
        <v>2482</v>
      </c>
      <c r="M170" s="26"/>
    </row>
    <row r="171" spans="1:13" x14ac:dyDescent="0.3">
      <c r="A171" s="27">
        <v>45783</v>
      </c>
      <c r="B171" s="27">
        <v>45783</v>
      </c>
      <c r="C171" s="28">
        <v>59.49</v>
      </c>
      <c r="D171" s="28">
        <v>0</v>
      </c>
      <c r="E171" s="28"/>
      <c r="F171" s="28" t="s">
        <v>4</v>
      </c>
      <c r="G171" s="24">
        <v>0.97</v>
      </c>
      <c r="H171" s="28" t="s">
        <v>49</v>
      </c>
      <c r="I171" s="28" t="s">
        <v>1779</v>
      </c>
      <c r="J171" s="28"/>
      <c r="K171" s="28" t="s">
        <v>50</v>
      </c>
      <c r="L171" s="28" t="s">
        <v>2482</v>
      </c>
      <c r="M171" s="28"/>
    </row>
    <row r="172" spans="1:13" x14ac:dyDescent="0.3">
      <c r="A172" s="27">
        <v>45783</v>
      </c>
      <c r="B172" s="27">
        <v>45783</v>
      </c>
      <c r="C172" s="28">
        <v>29283.09</v>
      </c>
      <c r="D172" s="28">
        <v>0</v>
      </c>
      <c r="E172" s="28"/>
      <c r="F172" s="28" t="s">
        <v>4</v>
      </c>
      <c r="G172" s="24">
        <v>0.97</v>
      </c>
      <c r="H172" s="28" t="s">
        <v>49</v>
      </c>
      <c r="I172" s="28" t="s">
        <v>1779</v>
      </c>
      <c r="J172" s="28"/>
      <c r="K172" s="28" t="s">
        <v>50</v>
      </c>
      <c r="L172" s="28" t="s">
        <v>2482</v>
      </c>
      <c r="M172" s="28"/>
    </row>
    <row r="173" spans="1:13" x14ac:dyDescent="0.3">
      <c r="A173" s="22">
        <v>45783.509305555563</v>
      </c>
      <c r="B173" s="22">
        <v>45783</v>
      </c>
      <c r="C173" s="23">
        <v>20000</v>
      </c>
      <c r="D173" s="23">
        <v>0</v>
      </c>
      <c r="E173" s="23"/>
      <c r="F173" s="23" t="s">
        <v>1667</v>
      </c>
      <c r="G173" s="24">
        <v>0.92</v>
      </c>
      <c r="H173" s="23" t="s">
        <v>1735</v>
      </c>
      <c r="I173" s="23" t="s">
        <v>1019</v>
      </c>
      <c r="J173" s="23"/>
      <c r="K173" s="23" t="s">
        <v>1928</v>
      </c>
      <c r="L173" s="23" t="s">
        <v>2483</v>
      </c>
      <c r="M173" s="23"/>
    </row>
    <row r="174" spans="1:13" x14ac:dyDescent="0.3">
      <c r="A174" s="27">
        <v>45784</v>
      </c>
      <c r="B174" s="27">
        <v>45784</v>
      </c>
      <c r="C174" s="28">
        <v>42.12</v>
      </c>
      <c r="D174" s="28">
        <v>0</v>
      </c>
      <c r="E174" s="28"/>
      <c r="F174" s="28" t="s">
        <v>4</v>
      </c>
      <c r="G174" s="24">
        <v>0.97</v>
      </c>
      <c r="H174" s="28" t="s">
        <v>49</v>
      </c>
      <c r="I174" s="28" t="s">
        <v>1779</v>
      </c>
      <c r="J174" s="28"/>
      <c r="K174" s="28" t="s">
        <v>50</v>
      </c>
      <c r="L174" s="28" t="s">
        <v>2482</v>
      </c>
      <c r="M174" s="28"/>
    </row>
    <row r="175" spans="1:13" x14ac:dyDescent="0.3">
      <c r="A175" s="45">
        <v>45784</v>
      </c>
      <c r="B175" s="45">
        <v>45784</v>
      </c>
      <c r="C175" s="46">
        <v>25000</v>
      </c>
      <c r="D175" s="46">
        <v>0</v>
      </c>
      <c r="E175" s="46"/>
      <c r="F175" s="46" t="s">
        <v>15</v>
      </c>
      <c r="G175" s="24">
        <v>0.88</v>
      </c>
      <c r="H175" s="46" t="s">
        <v>149</v>
      </c>
      <c r="I175" s="46" t="s">
        <v>1779</v>
      </c>
      <c r="J175" s="46"/>
      <c r="K175" s="46" t="s">
        <v>147</v>
      </c>
      <c r="L175" s="46" t="s">
        <v>2482</v>
      </c>
      <c r="M175" s="46"/>
    </row>
    <row r="176" spans="1:13" x14ac:dyDescent="0.3">
      <c r="A176" s="31">
        <v>45784</v>
      </c>
      <c r="B176" s="31">
        <v>45784</v>
      </c>
      <c r="C176" s="32">
        <v>0</v>
      </c>
      <c r="D176" s="32">
        <v>1880</v>
      </c>
      <c r="E176" s="32"/>
      <c r="F176" s="32" t="s">
        <v>6</v>
      </c>
      <c r="G176" s="24">
        <v>0.95</v>
      </c>
      <c r="H176" s="32" t="s">
        <v>63</v>
      </c>
      <c r="I176" s="32" t="s">
        <v>1779</v>
      </c>
      <c r="J176" s="32"/>
      <c r="K176" s="32" t="s">
        <v>145</v>
      </c>
      <c r="L176" s="32" t="s">
        <v>2482</v>
      </c>
      <c r="M176" s="32"/>
    </row>
    <row r="177" spans="1:13" x14ac:dyDescent="0.3">
      <c r="A177" s="25">
        <v>45785</v>
      </c>
      <c r="B177" s="25">
        <v>45785</v>
      </c>
      <c r="C177" s="26">
        <v>0</v>
      </c>
      <c r="D177" s="26">
        <v>3.1</v>
      </c>
      <c r="E177" s="26"/>
      <c r="F177" s="26" t="s">
        <v>3</v>
      </c>
      <c r="G177" s="24">
        <v>0.93</v>
      </c>
      <c r="H177" s="26" t="s">
        <v>49</v>
      </c>
      <c r="I177" s="26" t="s">
        <v>1779</v>
      </c>
      <c r="J177" s="26"/>
      <c r="K177" s="26" t="s">
        <v>151</v>
      </c>
      <c r="L177" s="26" t="s">
        <v>2482</v>
      </c>
      <c r="M177" s="26"/>
    </row>
    <row r="178" spans="1:13" x14ac:dyDescent="0.3">
      <c r="A178" s="97">
        <v>45785</v>
      </c>
      <c r="B178" s="97">
        <v>45785</v>
      </c>
      <c r="C178" s="98">
        <v>0</v>
      </c>
      <c r="D178" s="98">
        <v>10</v>
      </c>
      <c r="E178" s="98"/>
      <c r="F178" s="98" t="s">
        <v>977</v>
      </c>
      <c r="G178" s="24">
        <v>0.85</v>
      </c>
      <c r="H178" s="98" t="s">
        <v>1031</v>
      </c>
      <c r="I178" s="98" t="s">
        <v>837</v>
      </c>
      <c r="J178" s="98"/>
      <c r="K178" s="98" t="s">
        <v>1711</v>
      </c>
      <c r="L178" s="98" t="s">
        <v>2486</v>
      </c>
      <c r="M178" s="98"/>
    </row>
    <row r="179" spans="1:13" x14ac:dyDescent="0.3">
      <c r="A179" s="101">
        <v>45785.357060185182</v>
      </c>
      <c r="B179" s="101">
        <v>45785</v>
      </c>
      <c r="C179" s="102">
        <v>232</v>
      </c>
      <c r="D179" s="102">
        <v>0</v>
      </c>
      <c r="E179" s="102"/>
      <c r="F179" s="102" t="s">
        <v>985</v>
      </c>
      <c r="G179" s="40">
        <v>0.68</v>
      </c>
      <c r="H179" s="102" t="s">
        <v>91</v>
      </c>
      <c r="I179" s="102" t="s">
        <v>1019</v>
      </c>
      <c r="J179" s="102"/>
      <c r="K179" s="102" t="s">
        <v>1930</v>
      </c>
      <c r="L179" s="102" t="s">
        <v>2483</v>
      </c>
      <c r="M179" s="102"/>
    </row>
    <row r="180" spans="1:13" x14ac:dyDescent="0.3">
      <c r="A180" s="97">
        <v>45785.542708333327</v>
      </c>
      <c r="B180" s="97">
        <v>45785</v>
      </c>
      <c r="C180" s="98">
        <v>10</v>
      </c>
      <c r="D180" s="98">
        <v>0</v>
      </c>
      <c r="E180" s="98"/>
      <c r="F180" s="98" t="s">
        <v>978</v>
      </c>
      <c r="G180" s="24">
        <v>0.85</v>
      </c>
      <c r="H180" s="98" t="s">
        <v>1031</v>
      </c>
      <c r="I180" s="98" t="s">
        <v>1019</v>
      </c>
      <c r="J180" s="98"/>
      <c r="K180" s="98" t="s">
        <v>1932</v>
      </c>
      <c r="L180" s="98" t="s">
        <v>2483</v>
      </c>
      <c r="M180" s="98"/>
    </row>
    <row r="181" spans="1:13" x14ac:dyDescent="0.3">
      <c r="A181" s="25">
        <v>45786</v>
      </c>
      <c r="B181" s="25">
        <v>45786</v>
      </c>
      <c r="C181" s="26">
        <v>0</v>
      </c>
      <c r="D181" s="26">
        <v>10513.35</v>
      </c>
      <c r="E181" s="26"/>
      <c r="F181" s="26" t="s">
        <v>3</v>
      </c>
      <c r="G181" s="24">
        <v>0.93</v>
      </c>
      <c r="H181" s="26" t="s">
        <v>49</v>
      </c>
      <c r="I181" s="26" t="s">
        <v>1779</v>
      </c>
      <c r="J181" s="26"/>
      <c r="K181" s="26" t="s">
        <v>153</v>
      </c>
      <c r="L181" s="26" t="s">
        <v>2482</v>
      </c>
      <c r="M181" s="26"/>
    </row>
    <row r="182" spans="1:13" x14ac:dyDescent="0.3">
      <c r="A182" s="27">
        <v>45786</v>
      </c>
      <c r="B182" s="27">
        <v>45786</v>
      </c>
      <c r="C182" s="28">
        <v>96.9</v>
      </c>
      <c r="D182" s="28">
        <v>0</v>
      </c>
      <c r="E182" s="28"/>
      <c r="F182" s="28" t="s">
        <v>4</v>
      </c>
      <c r="G182" s="24">
        <v>0.97</v>
      </c>
      <c r="H182" s="28" t="s">
        <v>49</v>
      </c>
      <c r="I182" s="28" t="s">
        <v>1779</v>
      </c>
      <c r="J182" s="28"/>
      <c r="K182" s="28" t="s">
        <v>50</v>
      </c>
      <c r="L182" s="28" t="s">
        <v>2482</v>
      </c>
      <c r="M182" s="28"/>
    </row>
    <row r="183" spans="1:13" x14ac:dyDescent="0.3">
      <c r="A183" s="47">
        <v>45786</v>
      </c>
      <c r="B183" s="47">
        <v>45786</v>
      </c>
      <c r="C183" s="48">
        <v>0</v>
      </c>
      <c r="D183" s="48">
        <v>100000</v>
      </c>
      <c r="E183" s="48"/>
      <c r="F183" s="48" t="s">
        <v>16</v>
      </c>
      <c r="G183" s="24">
        <v>0.88</v>
      </c>
      <c r="H183" s="48" t="s">
        <v>157</v>
      </c>
      <c r="I183" s="48" t="s">
        <v>1779</v>
      </c>
      <c r="J183" s="48"/>
      <c r="K183" s="48" t="s">
        <v>155</v>
      </c>
      <c r="L183" s="48" t="s">
        <v>2482</v>
      </c>
      <c r="M183" s="48"/>
    </row>
    <row r="184" spans="1:13" x14ac:dyDescent="0.3">
      <c r="A184" s="27">
        <v>45786</v>
      </c>
      <c r="B184" s="27">
        <v>45786</v>
      </c>
      <c r="C184" s="28">
        <v>42.13</v>
      </c>
      <c r="D184" s="28">
        <v>0</v>
      </c>
      <c r="E184" s="28"/>
      <c r="F184" s="28" t="s">
        <v>4</v>
      </c>
      <c r="G184" s="24">
        <v>0.97</v>
      </c>
      <c r="H184" s="28" t="s">
        <v>49</v>
      </c>
      <c r="I184" s="28" t="s">
        <v>1779</v>
      </c>
      <c r="J184" s="28"/>
      <c r="K184" s="28" t="s">
        <v>50</v>
      </c>
      <c r="L184" s="28" t="s">
        <v>2482</v>
      </c>
      <c r="M184" s="28"/>
    </row>
    <row r="185" spans="1:13" x14ac:dyDescent="0.3">
      <c r="A185" s="89">
        <v>45786.862592592603</v>
      </c>
      <c r="B185" s="89">
        <v>45786</v>
      </c>
      <c r="C185" s="90">
        <v>45</v>
      </c>
      <c r="D185" s="90">
        <v>0</v>
      </c>
      <c r="E185" s="90" t="s">
        <v>1936</v>
      </c>
      <c r="F185" s="90" t="s">
        <v>975</v>
      </c>
      <c r="G185" s="39">
        <v>0.55000000000000004</v>
      </c>
      <c r="H185" s="90" t="s">
        <v>91</v>
      </c>
      <c r="I185" s="90" t="s">
        <v>1019</v>
      </c>
      <c r="J185" s="90"/>
      <c r="K185" s="90" t="s">
        <v>1934</v>
      </c>
      <c r="L185" s="90" t="s">
        <v>2483</v>
      </c>
      <c r="M185" s="90"/>
    </row>
    <row r="186" spans="1:13" x14ac:dyDescent="0.3">
      <c r="A186" s="41">
        <v>45787</v>
      </c>
      <c r="B186" s="41">
        <v>45787</v>
      </c>
      <c r="C186" s="42">
        <v>20</v>
      </c>
      <c r="D186" s="42">
        <v>0</v>
      </c>
      <c r="E186" s="42"/>
      <c r="F186" s="42" t="s">
        <v>13</v>
      </c>
      <c r="G186" s="40">
        <v>0.82</v>
      </c>
      <c r="H186" s="42" t="s">
        <v>131</v>
      </c>
      <c r="I186" s="42" t="s">
        <v>1779</v>
      </c>
      <c r="J186" s="42"/>
      <c r="K186" s="42" t="s">
        <v>160</v>
      </c>
      <c r="L186" s="42" t="s">
        <v>2482</v>
      </c>
      <c r="M186" s="42"/>
    </row>
    <row r="187" spans="1:13" x14ac:dyDescent="0.3">
      <c r="A187" s="41">
        <v>45787</v>
      </c>
      <c r="B187" s="41">
        <v>45787</v>
      </c>
      <c r="C187" s="42">
        <v>280</v>
      </c>
      <c r="D187" s="42">
        <v>0</v>
      </c>
      <c r="E187" s="42"/>
      <c r="F187" s="42" t="s">
        <v>13</v>
      </c>
      <c r="G187" s="40">
        <v>0.82</v>
      </c>
      <c r="H187" s="42" t="s">
        <v>131</v>
      </c>
      <c r="I187" s="42" t="s">
        <v>1779</v>
      </c>
      <c r="J187" s="42"/>
      <c r="K187" s="42" t="s">
        <v>162</v>
      </c>
      <c r="L187" s="42" t="s">
        <v>2482</v>
      </c>
      <c r="M187" s="42"/>
    </row>
    <row r="188" spans="1:13" x14ac:dyDescent="0.3">
      <c r="A188" s="89">
        <v>45787.556273148148</v>
      </c>
      <c r="B188" s="89">
        <v>45787</v>
      </c>
      <c r="C188" s="90">
        <v>20</v>
      </c>
      <c r="D188" s="90">
        <v>0</v>
      </c>
      <c r="E188" s="90" t="s">
        <v>1939</v>
      </c>
      <c r="F188" s="90" t="s">
        <v>975</v>
      </c>
      <c r="G188" s="39">
        <v>0.55000000000000004</v>
      </c>
      <c r="H188" s="90" t="s">
        <v>91</v>
      </c>
      <c r="I188" s="90" t="s">
        <v>1019</v>
      </c>
      <c r="J188" s="90"/>
      <c r="K188" s="90" t="s">
        <v>1937</v>
      </c>
      <c r="L188" s="90" t="s">
        <v>2483</v>
      </c>
      <c r="M188" s="90"/>
    </row>
    <row r="189" spans="1:13" x14ac:dyDescent="0.3">
      <c r="A189" s="115">
        <v>45787.573391203703</v>
      </c>
      <c r="B189" s="115">
        <v>45787</v>
      </c>
      <c r="C189" s="116">
        <v>1960</v>
      </c>
      <c r="D189" s="116">
        <v>0</v>
      </c>
      <c r="E189" s="116"/>
      <c r="F189" s="116" t="s">
        <v>999</v>
      </c>
      <c r="G189" s="40">
        <v>0.65</v>
      </c>
      <c r="H189" s="116" t="s">
        <v>91</v>
      </c>
      <c r="I189" s="116" t="s">
        <v>1019</v>
      </c>
      <c r="J189" s="116"/>
      <c r="K189" s="116" t="s">
        <v>1940</v>
      </c>
      <c r="L189" s="116" t="s">
        <v>2483</v>
      </c>
      <c r="M189" s="116"/>
    </row>
    <row r="190" spans="1:13" x14ac:dyDescent="0.3">
      <c r="A190" s="83">
        <v>45788.384733796287</v>
      </c>
      <c r="B190" s="83">
        <v>45788</v>
      </c>
      <c r="C190" s="84">
        <v>688.15</v>
      </c>
      <c r="D190" s="84">
        <v>0</v>
      </c>
      <c r="E190" s="84"/>
      <c r="F190" s="84" t="s">
        <v>973</v>
      </c>
      <c r="G190" s="40">
        <v>0.68</v>
      </c>
      <c r="H190" s="84" t="s">
        <v>1014</v>
      </c>
      <c r="I190" s="84" t="s">
        <v>1019</v>
      </c>
      <c r="J190" s="84"/>
      <c r="K190" s="84" t="s">
        <v>1942</v>
      </c>
      <c r="L190" s="84" t="s">
        <v>2483</v>
      </c>
      <c r="M190" s="84"/>
    </row>
    <row r="191" spans="1:13" x14ac:dyDescent="0.3">
      <c r="A191" s="83">
        <v>45788.387997685182</v>
      </c>
      <c r="B191" s="83">
        <v>45788</v>
      </c>
      <c r="C191" s="84">
        <v>462.7</v>
      </c>
      <c r="D191" s="84">
        <v>0</v>
      </c>
      <c r="E191" s="84"/>
      <c r="F191" s="84" t="s">
        <v>973</v>
      </c>
      <c r="G191" s="40">
        <v>0.68</v>
      </c>
      <c r="H191" s="84" t="s">
        <v>1014</v>
      </c>
      <c r="I191" s="84" t="s">
        <v>1019</v>
      </c>
      <c r="J191" s="84"/>
      <c r="K191" s="84" t="s">
        <v>1944</v>
      </c>
      <c r="L191" s="84" t="s">
        <v>2483</v>
      </c>
      <c r="M191" s="84"/>
    </row>
    <row r="192" spans="1:13" x14ac:dyDescent="0.3">
      <c r="A192" s="89">
        <v>45789</v>
      </c>
      <c r="B192" s="89">
        <v>45789</v>
      </c>
      <c r="C192" s="90">
        <v>125</v>
      </c>
      <c r="D192" s="90">
        <v>0</v>
      </c>
      <c r="E192" s="90" t="s">
        <v>1026</v>
      </c>
      <c r="F192" s="90" t="s">
        <v>975</v>
      </c>
      <c r="G192" s="39">
        <v>0.55000000000000004</v>
      </c>
      <c r="H192" s="90" t="s">
        <v>91</v>
      </c>
      <c r="I192" s="90" t="s">
        <v>1680</v>
      </c>
      <c r="J192" s="90" t="s">
        <v>1008</v>
      </c>
      <c r="K192" s="90" t="s">
        <v>1025</v>
      </c>
      <c r="L192" s="90" t="s">
        <v>2484</v>
      </c>
      <c r="M192" s="90"/>
    </row>
    <row r="193" spans="1:13" x14ac:dyDescent="0.3">
      <c r="A193" s="89">
        <v>45789</v>
      </c>
      <c r="B193" s="89">
        <v>45789</v>
      </c>
      <c r="C193" s="90">
        <v>60</v>
      </c>
      <c r="D193" s="90">
        <v>0</v>
      </c>
      <c r="E193" s="90" t="s">
        <v>1024</v>
      </c>
      <c r="F193" s="90" t="s">
        <v>975</v>
      </c>
      <c r="G193" s="39">
        <v>0.55000000000000004</v>
      </c>
      <c r="H193" s="90" t="s">
        <v>91</v>
      </c>
      <c r="I193" s="90" t="s">
        <v>1680</v>
      </c>
      <c r="J193" s="90" t="s">
        <v>1008</v>
      </c>
      <c r="K193" s="90" t="s">
        <v>1023</v>
      </c>
      <c r="L193" s="90" t="s">
        <v>2484</v>
      </c>
      <c r="M193" s="90"/>
    </row>
    <row r="194" spans="1:13" x14ac:dyDescent="0.3">
      <c r="A194" s="27">
        <v>45789</v>
      </c>
      <c r="B194" s="27">
        <v>45789</v>
      </c>
      <c r="C194" s="28">
        <v>113.28</v>
      </c>
      <c r="D194" s="28">
        <v>0</v>
      </c>
      <c r="E194" s="28"/>
      <c r="F194" s="28" t="s">
        <v>4</v>
      </c>
      <c r="G194" s="24">
        <v>0.97</v>
      </c>
      <c r="H194" s="28" t="s">
        <v>49</v>
      </c>
      <c r="I194" s="28" t="s">
        <v>1779</v>
      </c>
      <c r="J194" s="28"/>
      <c r="K194" s="28" t="s">
        <v>50</v>
      </c>
      <c r="L194" s="28" t="s">
        <v>2482</v>
      </c>
      <c r="M194" s="28"/>
    </row>
    <row r="195" spans="1:13" x14ac:dyDescent="0.3">
      <c r="A195" s="89">
        <v>45789.800138888888</v>
      </c>
      <c r="B195" s="89">
        <v>45789</v>
      </c>
      <c r="C195" s="90">
        <v>50</v>
      </c>
      <c r="D195" s="90">
        <v>0</v>
      </c>
      <c r="E195" s="90" t="s">
        <v>1948</v>
      </c>
      <c r="F195" s="90" t="s">
        <v>975</v>
      </c>
      <c r="G195" s="39">
        <v>0.55000000000000004</v>
      </c>
      <c r="H195" s="90" t="s">
        <v>91</v>
      </c>
      <c r="I195" s="90" t="s">
        <v>1019</v>
      </c>
      <c r="J195" s="90"/>
      <c r="K195" s="90" t="s">
        <v>1946</v>
      </c>
      <c r="L195" s="90" t="s">
        <v>2483</v>
      </c>
      <c r="M195" s="90"/>
    </row>
    <row r="196" spans="1:13" x14ac:dyDescent="0.3">
      <c r="A196" s="27">
        <v>45790</v>
      </c>
      <c r="B196" s="27">
        <v>45790</v>
      </c>
      <c r="C196" s="28">
        <v>1030.0999999999999</v>
      </c>
      <c r="D196" s="28">
        <v>0</v>
      </c>
      <c r="E196" s="28"/>
      <c r="F196" s="28" t="s">
        <v>4</v>
      </c>
      <c r="G196" s="24">
        <v>0.97</v>
      </c>
      <c r="H196" s="28" t="s">
        <v>49</v>
      </c>
      <c r="I196" s="28" t="s">
        <v>1779</v>
      </c>
      <c r="J196" s="28"/>
      <c r="K196" s="28" t="s">
        <v>50</v>
      </c>
      <c r="L196" s="28" t="s">
        <v>2482</v>
      </c>
      <c r="M196" s="28"/>
    </row>
    <row r="197" spans="1:13" x14ac:dyDescent="0.3">
      <c r="A197" s="25">
        <v>45790</v>
      </c>
      <c r="B197" s="25">
        <v>45790</v>
      </c>
      <c r="C197" s="26">
        <v>0</v>
      </c>
      <c r="D197" s="26">
        <v>1854.08</v>
      </c>
      <c r="E197" s="26"/>
      <c r="F197" s="26" t="s">
        <v>3</v>
      </c>
      <c r="G197" s="24">
        <v>0.93</v>
      </c>
      <c r="H197" s="26" t="s">
        <v>49</v>
      </c>
      <c r="I197" s="26" t="s">
        <v>1779</v>
      </c>
      <c r="J197" s="26"/>
      <c r="K197" s="26" t="s">
        <v>165</v>
      </c>
      <c r="L197" s="26" t="s">
        <v>2482</v>
      </c>
      <c r="M197" s="26"/>
    </row>
    <row r="198" spans="1:13" x14ac:dyDescent="0.3">
      <c r="A198" s="22">
        <v>45790.349780092591</v>
      </c>
      <c r="B198" s="22">
        <v>45790</v>
      </c>
      <c r="C198" s="23">
        <v>20000</v>
      </c>
      <c r="D198" s="23">
        <v>0</v>
      </c>
      <c r="E198" s="23"/>
      <c r="F198" s="23" t="s">
        <v>1667</v>
      </c>
      <c r="G198" s="24">
        <v>0.92</v>
      </c>
      <c r="H198" s="23" t="s">
        <v>1735</v>
      </c>
      <c r="I198" s="23" t="s">
        <v>1019</v>
      </c>
      <c r="J198" s="23"/>
      <c r="K198" s="23" t="s">
        <v>1949</v>
      </c>
      <c r="L198" s="23" t="s">
        <v>2483</v>
      </c>
      <c r="M198" s="23"/>
    </row>
    <row r="199" spans="1:13" x14ac:dyDescent="0.3">
      <c r="A199" s="59">
        <v>45790.356874999998</v>
      </c>
      <c r="B199" s="59">
        <v>45790</v>
      </c>
      <c r="C199" s="60">
        <v>0</v>
      </c>
      <c r="D199" s="60">
        <v>501</v>
      </c>
      <c r="E199" s="60"/>
      <c r="F199" s="60" t="s">
        <v>29</v>
      </c>
      <c r="G199" s="24">
        <v>0.85</v>
      </c>
      <c r="H199" s="60" t="s">
        <v>606</v>
      </c>
      <c r="I199" s="60" t="s">
        <v>1019</v>
      </c>
      <c r="J199" s="60"/>
      <c r="K199" s="60" t="s">
        <v>1951</v>
      </c>
      <c r="L199" s="60" t="s">
        <v>2483</v>
      </c>
      <c r="M199" s="60"/>
    </row>
    <row r="200" spans="1:13" x14ac:dyDescent="0.3">
      <c r="A200" s="27">
        <v>45791</v>
      </c>
      <c r="B200" s="27">
        <v>45791</v>
      </c>
      <c r="C200" s="28">
        <v>38.07</v>
      </c>
      <c r="D200" s="28">
        <v>0</v>
      </c>
      <c r="E200" s="28"/>
      <c r="F200" s="28" t="s">
        <v>4</v>
      </c>
      <c r="G200" s="24">
        <v>0.97</v>
      </c>
      <c r="H200" s="28" t="s">
        <v>49</v>
      </c>
      <c r="I200" s="28" t="s">
        <v>1779</v>
      </c>
      <c r="J200" s="28"/>
      <c r="K200" s="28" t="s">
        <v>50</v>
      </c>
      <c r="L200" s="28" t="s">
        <v>2482</v>
      </c>
      <c r="M200" s="28"/>
    </row>
    <row r="201" spans="1:13" x14ac:dyDescent="0.3">
      <c r="A201" s="27">
        <v>45792</v>
      </c>
      <c r="B201" s="27">
        <v>45792</v>
      </c>
      <c r="C201" s="28">
        <v>38.07</v>
      </c>
      <c r="D201" s="28">
        <v>0</v>
      </c>
      <c r="E201" s="28"/>
      <c r="F201" s="28" t="s">
        <v>4</v>
      </c>
      <c r="G201" s="24">
        <v>0.97</v>
      </c>
      <c r="H201" s="28" t="s">
        <v>49</v>
      </c>
      <c r="I201" s="28" t="s">
        <v>1779</v>
      </c>
      <c r="J201" s="28"/>
      <c r="K201" s="28" t="s">
        <v>50</v>
      </c>
      <c r="L201" s="28" t="s">
        <v>2482</v>
      </c>
      <c r="M201" s="28"/>
    </row>
    <row r="202" spans="1:13" x14ac:dyDescent="0.3">
      <c r="A202" s="25">
        <v>45792</v>
      </c>
      <c r="B202" s="25">
        <v>45792</v>
      </c>
      <c r="C202" s="26">
        <v>0</v>
      </c>
      <c r="D202" s="26">
        <v>86.65</v>
      </c>
      <c r="E202" s="26"/>
      <c r="F202" s="26" t="s">
        <v>3</v>
      </c>
      <c r="G202" s="24">
        <v>0.93</v>
      </c>
      <c r="H202" s="26" t="s">
        <v>49</v>
      </c>
      <c r="I202" s="26" t="s">
        <v>1779</v>
      </c>
      <c r="J202" s="26"/>
      <c r="K202" s="26" t="s">
        <v>169</v>
      </c>
      <c r="L202" s="26" t="s">
        <v>2482</v>
      </c>
      <c r="M202" s="26"/>
    </row>
    <row r="203" spans="1:13" x14ac:dyDescent="0.3">
      <c r="A203" s="27">
        <v>45792</v>
      </c>
      <c r="B203" s="27">
        <v>45792</v>
      </c>
      <c r="C203" s="28">
        <v>15167.97</v>
      </c>
      <c r="D203" s="28">
        <v>0</v>
      </c>
      <c r="E203" s="28"/>
      <c r="F203" s="28" t="s">
        <v>4</v>
      </c>
      <c r="G203" s="24">
        <v>0.97</v>
      </c>
      <c r="H203" s="28" t="s">
        <v>49</v>
      </c>
      <c r="I203" s="28" t="s">
        <v>1779</v>
      </c>
      <c r="J203" s="28"/>
      <c r="K203" s="28" t="s">
        <v>50</v>
      </c>
      <c r="L203" s="28" t="s">
        <v>2482</v>
      </c>
      <c r="M203" s="28"/>
    </row>
    <row r="204" spans="1:13" x14ac:dyDescent="0.3">
      <c r="A204" s="101">
        <v>45792.293692129628</v>
      </c>
      <c r="B204" s="101">
        <v>45792</v>
      </c>
      <c r="C204" s="102">
        <v>109</v>
      </c>
      <c r="D204" s="102">
        <v>0</v>
      </c>
      <c r="E204" s="102"/>
      <c r="F204" s="102" t="s">
        <v>985</v>
      </c>
      <c r="G204" s="24">
        <v>0.85</v>
      </c>
      <c r="H204" s="102" t="s">
        <v>91</v>
      </c>
      <c r="I204" s="102" t="s">
        <v>1019</v>
      </c>
      <c r="J204" s="102"/>
      <c r="K204" s="102" t="s">
        <v>1953</v>
      </c>
      <c r="L204" s="102" t="s">
        <v>2483</v>
      </c>
      <c r="M204" s="102"/>
    </row>
    <row r="205" spans="1:13" x14ac:dyDescent="0.3">
      <c r="A205" s="101">
        <v>45792.313587962963</v>
      </c>
      <c r="B205" s="101">
        <v>45792</v>
      </c>
      <c r="C205" s="102">
        <v>1000</v>
      </c>
      <c r="D205" s="102">
        <v>0</v>
      </c>
      <c r="E205" s="102"/>
      <c r="F205" s="102" t="s">
        <v>976</v>
      </c>
      <c r="G205" s="24">
        <v>0.85</v>
      </c>
      <c r="H205" s="102" t="s">
        <v>1028</v>
      </c>
      <c r="I205" s="102" t="s">
        <v>1019</v>
      </c>
      <c r="J205" s="102"/>
      <c r="K205" s="102" t="s">
        <v>1955</v>
      </c>
      <c r="L205" s="102" t="s">
        <v>2483</v>
      </c>
      <c r="M205" s="102"/>
    </row>
    <row r="206" spans="1:13" x14ac:dyDescent="0.3">
      <c r="A206" s="25">
        <v>45793</v>
      </c>
      <c r="B206" s="25">
        <v>45793</v>
      </c>
      <c r="C206" s="26">
        <v>0</v>
      </c>
      <c r="D206" s="26">
        <v>1447.99</v>
      </c>
      <c r="E206" s="26"/>
      <c r="F206" s="26" t="s">
        <v>3</v>
      </c>
      <c r="G206" s="24">
        <v>0.93</v>
      </c>
      <c r="H206" s="26" t="s">
        <v>49</v>
      </c>
      <c r="I206" s="26" t="s">
        <v>1779</v>
      </c>
      <c r="J206" s="26"/>
      <c r="K206" s="26" t="s">
        <v>173</v>
      </c>
      <c r="L206" s="26" t="s">
        <v>2482</v>
      </c>
      <c r="M206" s="26"/>
    </row>
    <row r="207" spans="1:13" x14ac:dyDescent="0.3">
      <c r="A207" s="49">
        <v>45793</v>
      </c>
      <c r="B207" s="49">
        <v>45793</v>
      </c>
      <c r="C207" s="50">
        <v>0</v>
      </c>
      <c r="D207" s="50">
        <v>795</v>
      </c>
      <c r="E207" s="50"/>
      <c r="F207" s="50" t="s">
        <v>17</v>
      </c>
      <c r="G207" s="24">
        <v>0.88</v>
      </c>
      <c r="H207" s="50" t="s">
        <v>17</v>
      </c>
      <c r="I207" s="50" t="s">
        <v>1779</v>
      </c>
      <c r="J207" s="50"/>
      <c r="K207" s="50" t="s">
        <v>175</v>
      </c>
      <c r="L207" s="50" t="s">
        <v>2482</v>
      </c>
      <c r="M207" s="50"/>
    </row>
    <row r="208" spans="1:13" x14ac:dyDescent="0.3">
      <c r="A208" s="27">
        <v>45793</v>
      </c>
      <c r="B208" s="27">
        <v>45793</v>
      </c>
      <c r="C208" s="28">
        <v>20096.54</v>
      </c>
      <c r="D208" s="28">
        <v>0</v>
      </c>
      <c r="E208" s="28"/>
      <c r="F208" s="28" t="s">
        <v>4</v>
      </c>
      <c r="G208" s="24">
        <v>0.97</v>
      </c>
      <c r="H208" s="28" t="s">
        <v>49</v>
      </c>
      <c r="I208" s="28" t="s">
        <v>1779</v>
      </c>
      <c r="J208" s="28"/>
      <c r="K208" s="28" t="s">
        <v>50</v>
      </c>
      <c r="L208" s="28" t="s">
        <v>2482</v>
      </c>
      <c r="M208" s="28"/>
    </row>
    <row r="209" spans="1:13" x14ac:dyDescent="0.3">
      <c r="A209" s="27">
        <v>45793</v>
      </c>
      <c r="B209" s="27">
        <v>45793</v>
      </c>
      <c r="C209" s="28">
        <v>32.700000000000003</v>
      </c>
      <c r="D209" s="28">
        <v>0</v>
      </c>
      <c r="E209" s="28"/>
      <c r="F209" s="28" t="s">
        <v>4</v>
      </c>
      <c r="G209" s="24">
        <v>0.97</v>
      </c>
      <c r="H209" s="28" t="s">
        <v>49</v>
      </c>
      <c r="I209" s="28" t="s">
        <v>1779</v>
      </c>
      <c r="J209" s="28"/>
      <c r="K209" s="28" t="s">
        <v>50</v>
      </c>
      <c r="L209" s="28" t="s">
        <v>2482</v>
      </c>
      <c r="M209" s="28"/>
    </row>
    <row r="210" spans="1:13" x14ac:dyDescent="0.3">
      <c r="A210" s="83">
        <v>45794.417337962957</v>
      </c>
      <c r="B210" s="83">
        <v>45794</v>
      </c>
      <c r="C210" s="84">
        <v>5014.5</v>
      </c>
      <c r="D210" s="84">
        <v>0</v>
      </c>
      <c r="E210" s="84"/>
      <c r="F210" s="84" t="s">
        <v>973</v>
      </c>
      <c r="G210" s="40">
        <v>0.68</v>
      </c>
      <c r="H210" s="84" t="s">
        <v>1014</v>
      </c>
      <c r="I210" s="84" t="s">
        <v>1019</v>
      </c>
      <c r="J210" s="84"/>
      <c r="K210" s="84" t="s">
        <v>1957</v>
      </c>
      <c r="L210" s="84" t="s">
        <v>2483</v>
      </c>
      <c r="M210" s="84"/>
    </row>
    <row r="211" spans="1:13" x14ac:dyDescent="0.3">
      <c r="A211" s="83">
        <v>45794.694398148153</v>
      </c>
      <c r="B211" s="83">
        <v>45794</v>
      </c>
      <c r="C211" s="84">
        <v>0</v>
      </c>
      <c r="D211" s="84">
        <v>2610</v>
      </c>
      <c r="E211" s="84"/>
      <c r="F211" s="84" t="s">
        <v>973</v>
      </c>
      <c r="G211" s="24">
        <v>0.92</v>
      </c>
      <c r="H211" s="84" t="s">
        <v>1014</v>
      </c>
      <c r="I211" s="84" t="s">
        <v>1019</v>
      </c>
      <c r="J211" s="84"/>
      <c r="K211" s="84" t="s">
        <v>1959</v>
      </c>
      <c r="L211" s="84" t="s">
        <v>2483</v>
      </c>
      <c r="M211" s="84"/>
    </row>
    <row r="212" spans="1:13" x14ac:dyDescent="0.3">
      <c r="A212" s="101">
        <v>45795.356215277781</v>
      </c>
      <c r="B212" s="101">
        <v>45795</v>
      </c>
      <c r="C212" s="102">
        <v>430</v>
      </c>
      <c r="D212" s="102">
        <v>0</v>
      </c>
      <c r="E212" s="102"/>
      <c r="F212" s="102" t="s">
        <v>985</v>
      </c>
      <c r="G212" s="40">
        <v>0.68</v>
      </c>
      <c r="H212" s="102" t="s">
        <v>91</v>
      </c>
      <c r="I212" s="102" t="s">
        <v>1019</v>
      </c>
      <c r="J212" s="102"/>
      <c r="K212" s="102" t="s">
        <v>1961</v>
      </c>
      <c r="L212" s="102" t="s">
        <v>2483</v>
      </c>
      <c r="M212" s="102"/>
    </row>
    <row r="213" spans="1:13" x14ac:dyDescent="0.3">
      <c r="A213" s="89">
        <v>45795.375648148147</v>
      </c>
      <c r="B213" s="89">
        <v>45795</v>
      </c>
      <c r="C213" s="90">
        <v>20</v>
      </c>
      <c r="D213" s="90">
        <v>0</v>
      </c>
      <c r="E213" s="90" t="s">
        <v>1965</v>
      </c>
      <c r="F213" s="90" t="s">
        <v>975</v>
      </c>
      <c r="G213" s="39">
        <v>0.55000000000000004</v>
      </c>
      <c r="H213" s="90" t="s">
        <v>91</v>
      </c>
      <c r="I213" s="90" t="s">
        <v>1019</v>
      </c>
      <c r="J213" s="90"/>
      <c r="K213" s="90" t="s">
        <v>1963</v>
      </c>
      <c r="L213" s="90" t="s">
        <v>2483</v>
      </c>
      <c r="M213" s="90"/>
    </row>
    <row r="214" spans="1:13" x14ac:dyDescent="0.3">
      <c r="A214" s="27">
        <v>45796</v>
      </c>
      <c r="B214" s="27">
        <v>45796</v>
      </c>
      <c r="C214" s="28">
        <v>396.51</v>
      </c>
      <c r="D214" s="28">
        <v>0</v>
      </c>
      <c r="E214" s="28"/>
      <c r="F214" s="28" t="s">
        <v>4</v>
      </c>
      <c r="G214" s="24">
        <v>0.97</v>
      </c>
      <c r="H214" s="28" t="s">
        <v>49</v>
      </c>
      <c r="I214" s="28" t="s">
        <v>1779</v>
      </c>
      <c r="J214" s="28"/>
      <c r="K214" s="28" t="s">
        <v>50</v>
      </c>
      <c r="L214" s="28" t="s">
        <v>2482</v>
      </c>
      <c r="M214" s="28"/>
    </row>
    <row r="215" spans="1:13" x14ac:dyDescent="0.3">
      <c r="A215" s="51">
        <v>45796</v>
      </c>
      <c r="B215" s="51">
        <v>45796</v>
      </c>
      <c r="C215" s="52">
        <v>50000</v>
      </c>
      <c r="D215" s="52">
        <v>0</v>
      </c>
      <c r="E215" s="52"/>
      <c r="F215" s="52" t="s">
        <v>18</v>
      </c>
      <c r="G215" s="24">
        <v>0.85</v>
      </c>
      <c r="H215" s="52" t="s">
        <v>181</v>
      </c>
      <c r="I215" s="52" t="s">
        <v>1779</v>
      </c>
      <c r="J215" s="52"/>
      <c r="K215" s="52" t="s">
        <v>179</v>
      </c>
      <c r="L215" s="52" t="s">
        <v>2482</v>
      </c>
      <c r="M215" s="52"/>
    </row>
    <row r="216" spans="1:13" x14ac:dyDescent="0.3">
      <c r="A216" s="27">
        <v>45796</v>
      </c>
      <c r="B216" s="27">
        <v>45796</v>
      </c>
      <c r="C216" s="28">
        <v>29.64</v>
      </c>
      <c r="D216" s="28">
        <v>0</v>
      </c>
      <c r="E216" s="28"/>
      <c r="F216" s="28" t="s">
        <v>4</v>
      </c>
      <c r="G216" s="24">
        <v>0.97</v>
      </c>
      <c r="H216" s="28" t="s">
        <v>49</v>
      </c>
      <c r="I216" s="28" t="s">
        <v>1779</v>
      </c>
      <c r="J216" s="28"/>
      <c r="K216" s="28" t="s">
        <v>50</v>
      </c>
      <c r="L216" s="28" t="s">
        <v>2482</v>
      </c>
      <c r="M216" s="28"/>
    </row>
    <row r="217" spans="1:13" x14ac:dyDescent="0.3">
      <c r="A217" s="35">
        <v>45796</v>
      </c>
      <c r="B217" s="35">
        <v>45796</v>
      </c>
      <c r="C217" s="36">
        <v>1062</v>
      </c>
      <c r="D217" s="36">
        <v>0</v>
      </c>
      <c r="E217" s="36"/>
      <c r="F217" s="36" t="s">
        <v>9</v>
      </c>
      <c r="G217" s="24">
        <v>0.93</v>
      </c>
      <c r="H217" s="36" t="s">
        <v>9</v>
      </c>
      <c r="I217" s="36" t="s">
        <v>1779</v>
      </c>
      <c r="J217" s="36"/>
      <c r="K217" s="36" t="s">
        <v>183</v>
      </c>
      <c r="L217" s="36" t="s">
        <v>2482</v>
      </c>
      <c r="M217" s="36"/>
    </row>
    <row r="218" spans="1:13" x14ac:dyDescent="0.3">
      <c r="A218" s="101">
        <v>45796.321261574078</v>
      </c>
      <c r="B218" s="101">
        <v>45796</v>
      </c>
      <c r="C218" s="102">
        <v>250</v>
      </c>
      <c r="D218" s="102">
        <v>0</v>
      </c>
      <c r="E218" s="102"/>
      <c r="F218" s="102" t="s">
        <v>985</v>
      </c>
      <c r="G218" s="40">
        <v>0.68</v>
      </c>
      <c r="H218" s="102" t="s">
        <v>91</v>
      </c>
      <c r="I218" s="102" t="s">
        <v>1019</v>
      </c>
      <c r="J218" s="102"/>
      <c r="K218" s="102" t="s">
        <v>1966</v>
      </c>
      <c r="L218" s="102" t="s">
        <v>2483</v>
      </c>
      <c r="M218" s="102"/>
    </row>
    <row r="219" spans="1:13" x14ac:dyDescent="0.3">
      <c r="A219" s="89">
        <v>45796.781666666669</v>
      </c>
      <c r="B219" s="89">
        <v>45796</v>
      </c>
      <c r="C219" s="90">
        <v>45</v>
      </c>
      <c r="D219" s="90">
        <v>0</v>
      </c>
      <c r="E219" s="90" t="s">
        <v>1970</v>
      </c>
      <c r="F219" s="90" t="s">
        <v>975</v>
      </c>
      <c r="G219" s="39">
        <v>0.55000000000000004</v>
      </c>
      <c r="H219" s="90" t="s">
        <v>91</v>
      </c>
      <c r="I219" s="90" t="s">
        <v>1019</v>
      </c>
      <c r="J219" s="90"/>
      <c r="K219" s="90" t="s">
        <v>1968</v>
      </c>
      <c r="L219" s="90" t="s">
        <v>2483</v>
      </c>
      <c r="M219" s="90"/>
    </row>
    <row r="220" spans="1:13" x14ac:dyDescent="0.3">
      <c r="A220" s="27">
        <v>45797</v>
      </c>
      <c r="B220" s="27">
        <v>45797</v>
      </c>
      <c r="C220" s="28">
        <v>28.39</v>
      </c>
      <c r="D220" s="28">
        <v>0</v>
      </c>
      <c r="E220" s="28"/>
      <c r="F220" s="28" t="s">
        <v>4</v>
      </c>
      <c r="G220" s="24">
        <v>0.97</v>
      </c>
      <c r="H220" s="28" t="s">
        <v>49</v>
      </c>
      <c r="I220" s="28" t="s">
        <v>1779</v>
      </c>
      <c r="J220" s="28"/>
      <c r="K220" s="28" t="s">
        <v>50</v>
      </c>
      <c r="L220" s="28" t="s">
        <v>2482</v>
      </c>
      <c r="M220" s="28"/>
    </row>
    <row r="221" spans="1:13" x14ac:dyDescent="0.3">
      <c r="A221" s="27">
        <v>45797</v>
      </c>
      <c r="B221" s="27">
        <v>45797</v>
      </c>
      <c r="C221" s="28">
        <v>557.52</v>
      </c>
      <c r="D221" s="28">
        <v>0</v>
      </c>
      <c r="E221" s="28"/>
      <c r="F221" s="28" t="s">
        <v>4</v>
      </c>
      <c r="G221" s="24">
        <v>0.97</v>
      </c>
      <c r="H221" s="28" t="s">
        <v>49</v>
      </c>
      <c r="I221" s="28" t="s">
        <v>1779</v>
      </c>
      <c r="J221" s="28"/>
      <c r="K221" s="28" t="s">
        <v>50</v>
      </c>
      <c r="L221" s="28" t="s">
        <v>2482</v>
      </c>
      <c r="M221" s="28"/>
    </row>
    <row r="222" spans="1:13" x14ac:dyDescent="0.3">
      <c r="A222" s="89">
        <v>45797.512025462973</v>
      </c>
      <c r="B222" s="89">
        <v>45797</v>
      </c>
      <c r="C222" s="90">
        <v>100</v>
      </c>
      <c r="D222" s="90">
        <v>0</v>
      </c>
      <c r="E222" s="90" t="s">
        <v>1973</v>
      </c>
      <c r="F222" s="90" t="s">
        <v>975</v>
      </c>
      <c r="G222" s="39">
        <v>0.55000000000000004</v>
      </c>
      <c r="H222" s="90" t="s">
        <v>91</v>
      </c>
      <c r="I222" s="90" t="s">
        <v>1019</v>
      </c>
      <c r="J222" s="90"/>
      <c r="K222" s="90" t="s">
        <v>1971</v>
      </c>
      <c r="L222" s="90" t="s">
        <v>2483</v>
      </c>
      <c r="M222" s="90"/>
    </row>
    <row r="223" spans="1:13" x14ac:dyDescent="0.3">
      <c r="A223" s="27">
        <v>45798</v>
      </c>
      <c r="B223" s="27">
        <v>45798</v>
      </c>
      <c r="C223" s="28">
        <v>28.19</v>
      </c>
      <c r="D223" s="28">
        <v>0</v>
      </c>
      <c r="E223" s="28"/>
      <c r="F223" s="28" t="s">
        <v>4</v>
      </c>
      <c r="G223" s="24">
        <v>0.97</v>
      </c>
      <c r="H223" s="28" t="s">
        <v>49</v>
      </c>
      <c r="I223" s="28" t="s">
        <v>1779</v>
      </c>
      <c r="J223" s="28"/>
      <c r="K223" s="28" t="s">
        <v>50</v>
      </c>
      <c r="L223" s="28" t="s">
        <v>2482</v>
      </c>
      <c r="M223" s="28"/>
    </row>
    <row r="224" spans="1:13" x14ac:dyDescent="0.3">
      <c r="A224" s="101">
        <v>45798</v>
      </c>
      <c r="B224" s="101">
        <v>45798</v>
      </c>
      <c r="C224" s="102">
        <v>1000</v>
      </c>
      <c r="D224" s="102">
        <v>0</v>
      </c>
      <c r="E224" s="102"/>
      <c r="F224" s="102" t="s">
        <v>976</v>
      </c>
      <c r="G224" s="24">
        <v>0.85</v>
      </c>
      <c r="H224" s="102" t="s">
        <v>1028</v>
      </c>
      <c r="I224" s="102" t="s">
        <v>1680</v>
      </c>
      <c r="J224" s="102" t="s">
        <v>1008</v>
      </c>
      <c r="K224" s="102" t="s">
        <v>1027</v>
      </c>
      <c r="L224" s="102" t="s">
        <v>2484</v>
      </c>
      <c r="M224" s="102"/>
    </row>
    <row r="225" spans="1:13" x14ac:dyDescent="0.3">
      <c r="A225" s="115">
        <v>45798.811168981483</v>
      </c>
      <c r="B225" s="115">
        <v>45798</v>
      </c>
      <c r="C225" s="116">
        <v>74</v>
      </c>
      <c r="D225" s="116">
        <v>0</v>
      </c>
      <c r="E225" s="116"/>
      <c r="F225" s="116" t="s">
        <v>999</v>
      </c>
      <c r="G225" s="40">
        <v>0.65</v>
      </c>
      <c r="H225" s="116" t="s">
        <v>91</v>
      </c>
      <c r="I225" s="116" t="s">
        <v>1019</v>
      </c>
      <c r="J225" s="116"/>
      <c r="K225" s="116" t="s">
        <v>1974</v>
      </c>
      <c r="L225" s="116" t="s">
        <v>2483</v>
      </c>
      <c r="M225" s="116"/>
    </row>
    <row r="226" spans="1:13" x14ac:dyDescent="0.3">
      <c r="A226" s="51">
        <v>45799</v>
      </c>
      <c r="B226" s="51">
        <v>45799</v>
      </c>
      <c r="C226" s="52">
        <v>50000</v>
      </c>
      <c r="D226" s="52">
        <v>0</v>
      </c>
      <c r="E226" s="52"/>
      <c r="F226" s="52" t="s">
        <v>18</v>
      </c>
      <c r="G226" s="24">
        <v>0.85</v>
      </c>
      <c r="H226" s="52" t="s">
        <v>181</v>
      </c>
      <c r="I226" s="52" t="s">
        <v>1779</v>
      </c>
      <c r="J226" s="52"/>
      <c r="K226" s="52" t="s">
        <v>192</v>
      </c>
      <c r="L226" s="52" t="s">
        <v>2482</v>
      </c>
      <c r="M226" s="52"/>
    </row>
    <row r="227" spans="1:13" x14ac:dyDescent="0.3">
      <c r="A227" s="27">
        <v>45799</v>
      </c>
      <c r="B227" s="27">
        <v>45799</v>
      </c>
      <c r="C227" s="28">
        <v>515.35</v>
      </c>
      <c r="D227" s="28">
        <v>0</v>
      </c>
      <c r="E227" s="28"/>
      <c r="F227" s="28" t="s">
        <v>4</v>
      </c>
      <c r="G227" s="24">
        <v>0.97</v>
      </c>
      <c r="H227" s="28" t="s">
        <v>49</v>
      </c>
      <c r="I227" s="28" t="s">
        <v>1779</v>
      </c>
      <c r="J227" s="28"/>
      <c r="K227" s="28" t="s">
        <v>50</v>
      </c>
      <c r="L227" s="28" t="s">
        <v>2482</v>
      </c>
      <c r="M227" s="28"/>
    </row>
    <row r="228" spans="1:13" x14ac:dyDescent="0.3">
      <c r="A228" s="25">
        <v>45799</v>
      </c>
      <c r="B228" s="25">
        <v>45799</v>
      </c>
      <c r="C228" s="26">
        <v>0</v>
      </c>
      <c r="D228" s="26">
        <v>223.8</v>
      </c>
      <c r="E228" s="26"/>
      <c r="F228" s="26" t="s">
        <v>3</v>
      </c>
      <c r="G228" s="24">
        <v>0.93</v>
      </c>
      <c r="H228" s="26" t="s">
        <v>49</v>
      </c>
      <c r="I228" s="26" t="s">
        <v>1779</v>
      </c>
      <c r="J228" s="26"/>
      <c r="K228" s="26" t="s">
        <v>188</v>
      </c>
      <c r="L228" s="26" t="s">
        <v>2482</v>
      </c>
      <c r="M228" s="26"/>
    </row>
    <row r="229" spans="1:13" x14ac:dyDescent="0.3">
      <c r="A229" s="45">
        <v>45799</v>
      </c>
      <c r="B229" s="45">
        <v>45799</v>
      </c>
      <c r="C229" s="46">
        <v>0</v>
      </c>
      <c r="D229" s="46">
        <v>50000</v>
      </c>
      <c r="E229" s="46"/>
      <c r="F229" s="46" t="s">
        <v>19</v>
      </c>
      <c r="G229" s="24">
        <v>0.88</v>
      </c>
      <c r="H229" s="46" t="s">
        <v>149</v>
      </c>
      <c r="I229" s="46" t="s">
        <v>1779</v>
      </c>
      <c r="J229" s="46"/>
      <c r="K229" s="46" t="s">
        <v>190</v>
      </c>
      <c r="L229" s="46" t="s">
        <v>2482</v>
      </c>
      <c r="M229" s="46"/>
    </row>
    <row r="230" spans="1:13" x14ac:dyDescent="0.3">
      <c r="A230" s="27">
        <v>45799</v>
      </c>
      <c r="B230" s="27">
        <v>45799</v>
      </c>
      <c r="C230" s="28">
        <v>28.19</v>
      </c>
      <c r="D230" s="28">
        <v>0</v>
      </c>
      <c r="E230" s="28"/>
      <c r="F230" s="28" t="s">
        <v>4</v>
      </c>
      <c r="G230" s="24">
        <v>0.97</v>
      </c>
      <c r="H230" s="28" t="s">
        <v>49</v>
      </c>
      <c r="I230" s="28" t="s">
        <v>1779</v>
      </c>
      <c r="J230" s="28"/>
      <c r="K230" s="28" t="s">
        <v>50</v>
      </c>
      <c r="L230" s="28" t="s">
        <v>2482</v>
      </c>
      <c r="M230" s="28"/>
    </row>
    <row r="231" spans="1:13" x14ac:dyDescent="0.3">
      <c r="A231" s="101">
        <v>45799</v>
      </c>
      <c r="B231" s="101">
        <v>45799</v>
      </c>
      <c r="C231" s="102">
        <v>1240.6600000000001</v>
      </c>
      <c r="D231" s="102">
        <v>0</v>
      </c>
      <c r="E231" s="102"/>
      <c r="F231" s="102" t="s">
        <v>976</v>
      </c>
      <c r="G231" s="24">
        <v>0.85</v>
      </c>
      <c r="H231" s="102" t="s">
        <v>1028</v>
      </c>
      <c r="I231" s="102" t="s">
        <v>1680</v>
      </c>
      <c r="J231" s="102" t="s">
        <v>1008</v>
      </c>
      <c r="K231" s="102" t="s">
        <v>1029</v>
      </c>
      <c r="L231" s="102" t="s">
        <v>2484</v>
      </c>
      <c r="M231" s="102"/>
    </row>
    <row r="232" spans="1:13" x14ac:dyDescent="0.3">
      <c r="A232" s="157">
        <v>45799.675752314812</v>
      </c>
      <c r="B232" s="157">
        <v>45799</v>
      </c>
      <c r="C232" s="158">
        <v>0</v>
      </c>
      <c r="D232" s="158">
        <v>9220</v>
      </c>
      <c r="E232" s="158"/>
      <c r="F232" s="158" t="s">
        <v>1810</v>
      </c>
      <c r="G232" s="24">
        <v>0.9</v>
      </c>
      <c r="H232" s="158" t="s">
        <v>112</v>
      </c>
      <c r="I232" s="158" t="s">
        <v>1019</v>
      </c>
      <c r="J232" s="158"/>
      <c r="K232" s="158" t="s">
        <v>1976</v>
      </c>
      <c r="L232" s="158" t="s">
        <v>2483</v>
      </c>
      <c r="M232" s="158"/>
    </row>
    <row r="233" spans="1:13" x14ac:dyDescent="0.3">
      <c r="A233" s="97">
        <v>45799.876909722218</v>
      </c>
      <c r="B233" s="97">
        <v>45799</v>
      </c>
      <c r="C233" s="98">
        <v>10000</v>
      </c>
      <c r="D233" s="98">
        <v>0</v>
      </c>
      <c r="E233" s="98"/>
      <c r="F233" s="98" t="s">
        <v>978</v>
      </c>
      <c r="G233" s="24">
        <v>0.85</v>
      </c>
      <c r="H233" s="98" t="s">
        <v>1031</v>
      </c>
      <c r="I233" s="98" t="s">
        <v>1019</v>
      </c>
      <c r="J233" s="98"/>
      <c r="K233" s="98" t="s">
        <v>1978</v>
      </c>
      <c r="L233" s="98" t="s">
        <v>2483</v>
      </c>
      <c r="M233" s="98"/>
    </row>
    <row r="234" spans="1:13" x14ac:dyDescent="0.3">
      <c r="A234" s="27">
        <v>45800</v>
      </c>
      <c r="B234" s="27">
        <v>45800</v>
      </c>
      <c r="C234" s="28">
        <v>28.09</v>
      </c>
      <c r="D234" s="28">
        <v>0</v>
      </c>
      <c r="E234" s="28"/>
      <c r="F234" s="28" t="s">
        <v>4</v>
      </c>
      <c r="G234" s="24">
        <v>0.97</v>
      </c>
      <c r="H234" s="28" t="s">
        <v>49</v>
      </c>
      <c r="I234" s="28" t="s">
        <v>1779</v>
      </c>
      <c r="J234" s="28"/>
      <c r="K234" s="28" t="s">
        <v>50</v>
      </c>
      <c r="L234" s="28" t="s">
        <v>2482</v>
      </c>
      <c r="M234" s="28"/>
    </row>
    <row r="235" spans="1:13" x14ac:dyDescent="0.3">
      <c r="A235" s="101">
        <v>45800.718622685177</v>
      </c>
      <c r="B235" s="101">
        <v>45800</v>
      </c>
      <c r="C235" s="102">
        <v>88</v>
      </c>
      <c r="D235" s="102">
        <v>0</v>
      </c>
      <c r="E235" s="102"/>
      <c r="F235" s="102" t="s">
        <v>985</v>
      </c>
      <c r="G235" s="40">
        <v>0.68</v>
      </c>
      <c r="H235" s="102" t="s">
        <v>91</v>
      </c>
      <c r="I235" s="102" t="s">
        <v>1019</v>
      </c>
      <c r="J235" s="102"/>
      <c r="K235" s="102" t="s">
        <v>1980</v>
      </c>
      <c r="L235" s="102" t="s">
        <v>2483</v>
      </c>
      <c r="M235" s="102"/>
    </row>
    <row r="236" spans="1:13" x14ac:dyDescent="0.3">
      <c r="A236" s="25">
        <v>45803</v>
      </c>
      <c r="B236" s="25">
        <v>45803</v>
      </c>
      <c r="C236" s="26">
        <v>0</v>
      </c>
      <c r="D236" s="26">
        <v>422.3</v>
      </c>
      <c r="E236" s="26"/>
      <c r="F236" s="26" t="s">
        <v>3</v>
      </c>
      <c r="G236" s="24">
        <v>0.93</v>
      </c>
      <c r="H236" s="26" t="s">
        <v>49</v>
      </c>
      <c r="I236" s="26" t="s">
        <v>1779</v>
      </c>
      <c r="J236" s="26"/>
      <c r="K236" s="26" t="s">
        <v>197</v>
      </c>
      <c r="L236" s="26" t="s">
        <v>2482</v>
      </c>
      <c r="M236" s="26"/>
    </row>
    <row r="237" spans="1:13" x14ac:dyDescent="0.3">
      <c r="A237" s="27">
        <v>45803</v>
      </c>
      <c r="B237" s="27">
        <v>45803</v>
      </c>
      <c r="C237" s="28">
        <v>84.27</v>
      </c>
      <c r="D237" s="28">
        <v>0</v>
      </c>
      <c r="E237" s="28"/>
      <c r="F237" s="28" t="s">
        <v>4</v>
      </c>
      <c r="G237" s="24">
        <v>0.97</v>
      </c>
      <c r="H237" s="28" t="s">
        <v>49</v>
      </c>
      <c r="I237" s="28" t="s">
        <v>1779</v>
      </c>
      <c r="J237" s="28"/>
      <c r="K237" s="28" t="s">
        <v>50</v>
      </c>
      <c r="L237" s="28" t="s">
        <v>2482</v>
      </c>
      <c r="M237" s="28"/>
    </row>
    <row r="238" spans="1:13" x14ac:dyDescent="0.3">
      <c r="A238" s="27">
        <v>45803</v>
      </c>
      <c r="B238" s="27">
        <v>45803</v>
      </c>
      <c r="C238" s="28">
        <v>6503.99</v>
      </c>
      <c r="D238" s="28">
        <v>0</v>
      </c>
      <c r="E238" s="28"/>
      <c r="F238" s="28" t="s">
        <v>4</v>
      </c>
      <c r="G238" s="24">
        <v>0.97</v>
      </c>
      <c r="H238" s="28" t="s">
        <v>49</v>
      </c>
      <c r="I238" s="28" t="s">
        <v>1779</v>
      </c>
      <c r="J238" s="28"/>
      <c r="K238" s="28" t="s">
        <v>50</v>
      </c>
      <c r="L238" s="28" t="s">
        <v>2482</v>
      </c>
      <c r="M238" s="28"/>
    </row>
    <row r="239" spans="1:13" x14ac:dyDescent="0.3">
      <c r="A239" s="103">
        <v>45803.359699074077</v>
      </c>
      <c r="B239" s="103">
        <v>45803</v>
      </c>
      <c r="C239" s="104">
        <v>90</v>
      </c>
      <c r="D239" s="104">
        <v>0</v>
      </c>
      <c r="E239" s="104"/>
      <c r="F239" s="104" t="s">
        <v>983</v>
      </c>
      <c r="G239" s="40">
        <v>0.82</v>
      </c>
      <c r="H239" s="104" t="s">
        <v>131</v>
      </c>
      <c r="I239" s="104" t="s">
        <v>1019</v>
      </c>
      <c r="J239" s="104"/>
      <c r="K239" s="104" t="s">
        <v>1982</v>
      </c>
      <c r="L239" s="104" t="s">
        <v>2483</v>
      </c>
      <c r="M239" s="104"/>
    </row>
    <row r="240" spans="1:13" x14ac:dyDescent="0.3">
      <c r="A240" s="115">
        <v>45803.368622685193</v>
      </c>
      <c r="B240" s="115">
        <v>45803</v>
      </c>
      <c r="C240" s="116">
        <v>405</v>
      </c>
      <c r="D240" s="116">
        <v>0</v>
      </c>
      <c r="E240" s="116"/>
      <c r="F240" s="116" t="s">
        <v>999</v>
      </c>
      <c r="G240" s="40">
        <v>0.65</v>
      </c>
      <c r="H240" s="116" t="s">
        <v>91</v>
      </c>
      <c r="I240" s="116" t="s">
        <v>1019</v>
      </c>
      <c r="J240" s="116"/>
      <c r="K240" s="116" t="s">
        <v>1984</v>
      </c>
      <c r="L240" s="116" t="s">
        <v>2483</v>
      </c>
      <c r="M240" s="116"/>
    </row>
    <row r="241" spans="1:13" x14ac:dyDescent="0.3">
      <c r="A241" s="101">
        <v>45803.371099537027</v>
      </c>
      <c r="B241" s="101">
        <v>45803</v>
      </c>
      <c r="C241" s="102">
        <v>20</v>
      </c>
      <c r="D241" s="102">
        <v>0</v>
      </c>
      <c r="E241" s="102"/>
      <c r="F241" s="102" t="s">
        <v>985</v>
      </c>
      <c r="G241" s="40">
        <v>0.68</v>
      </c>
      <c r="H241" s="102" t="s">
        <v>91</v>
      </c>
      <c r="I241" s="102" t="s">
        <v>1019</v>
      </c>
      <c r="J241" s="102"/>
      <c r="K241" s="102" t="s">
        <v>1986</v>
      </c>
      <c r="L241" s="102" t="s">
        <v>2483</v>
      </c>
      <c r="M241" s="102"/>
    </row>
    <row r="242" spans="1:13" x14ac:dyDescent="0.3">
      <c r="A242" s="49">
        <v>45803.711770833332</v>
      </c>
      <c r="B242" s="49">
        <v>45803</v>
      </c>
      <c r="C242" s="50">
        <v>0</v>
      </c>
      <c r="D242" s="50">
        <v>24</v>
      </c>
      <c r="E242" s="50"/>
      <c r="F242" s="50" t="s">
        <v>17</v>
      </c>
      <c r="G242" s="24">
        <v>0.93</v>
      </c>
      <c r="H242" s="50" t="s">
        <v>17</v>
      </c>
      <c r="I242" s="50" t="s">
        <v>1019</v>
      </c>
      <c r="J242" s="50"/>
      <c r="K242" s="50" t="s">
        <v>1988</v>
      </c>
      <c r="L242" s="50" t="s">
        <v>2483</v>
      </c>
      <c r="M242" s="50"/>
    </row>
    <row r="243" spans="1:13" x14ac:dyDescent="0.3">
      <c r="A243" s="27">
        <v>45804</v>
      </c>
      <c r="B243" s="27">
        <v>45804</v>
      </c>
      <c r="C243" s="28">
        <v>25.92</v>
      </c>
      <c r="D243" s="28">
        <v>0</v>
      </c>
      <c r="E243" s="28"/>
      <c r="F243" s="28" t="s">
        <v>4</v>
      </c>
      <c r="G243" s="24">
        <v>0.97</v>
      </c>
      <c r="H243" s="28" t="s">
        <v>49</v>
      </c>
      <c r="I243" s="28" t="s">
        <v>1779</v>
      </c>
      <c r="J243" s="28"/>
      <c r="K243" s="28" t="s">
        <v>50</v>
      </c>
      <c r="L243" s="28" t="s">
        <v>2482</v>
      </c>
      <c r="M243" s="28"/>
    </row>
    <row r="244" spans="1:13" x14ac:dyDescent="0.3">
      <c r="A244" s="27">
        <v>45804</v>
      </c>
      <c r="B244" s="27">
        <v>45804</v>
      </c>
      <c r="C244" s="28">
        <v>344.54</v>
      </c>
      <c r="D244" s="28">
        <v>0</v>
      </c>
      <c r="E244" s="28"/>
      <c r="F244" s="28" t="s">
        <v>4</v>
      </c>
      <c r="G244" s="24">
        <v>0.97</v>
      </c>
      <c r="H244" s="28" t="s">
        <v>49</v>
      </c>
      <c r="I244" s="28" t="s">
        <v>1779</v>
      </c>
      <c r="J244" s="28"/>
      <c r="K244" s="28" t="s">
        <v>50</v>
      </c>
      <c r="L244" s="28" t="s">
        <v>2482</v>
      </c>
      <c r="M244" s="28"/>
    </row>
    <row r="245" spans="1:13" x14ac:dyDescent="0.3">
      <c r="A245" s="101">
        <v>45804.433449074073</v>
      </c>
      <c r="B245" s="101">
        <v>45804</v>
      </c>
      <c r="C245" s="102">
        <v>127</v>
      </c>
      <c r="D245" s="102">
        <v>0</v>
      </c>
      <c r="E245" s="102"/>
      <c r="F245" s="102" t="s">
        <v>985</v>
      </c>
      <c r="G245" s="40">
        <v>0.68</v>
      </c>
      <c r="H245" s="102" t="s">
        <v>91</v>
      </c>
      <c r="I245" s="102" t="s">
        <v>1019</v>
      </c>
      <c r="J245" s="102"/>
      <c r="K245" s="102" t="s">
        <v>1990</v>
      </c>
      <c r="L245" s="102" t="s">
        <v>2483</v>
      </c>
      <c r="M245" s="102"/>
    </row>
    <row r="246" spans="1:13" x14ac:dyDescent="0.3">
      <c r="A246" s="22">
        <v>45805</v>
      </c>
      <c r="B246" s="22">
        <v>45805</v>
      </c>
      <c r="C246" s="23">
        <v>5000</v>
      </c>
      <c r="D246" s="23">
        <v>0</v>
      </c>
      <c r="E246" s="23"/>
      <c r="F246" s="23" t="s">
        <v>2</v>
      </c>
      <c r="G246" s="24">
        <v>0.95</v>
      </c>
      <c r="H246" s="23" t="s">
        <v>2</v>
      </c>
      <c r="I246" s="23" t="s">
        <v>1779</v>
      </c>
      <c r="J246" s="23"/>
      <c r="K246" s="23" t="s">
        <v>203</v>
      </c>
      <c r="L246" s="23" t="s">
        <v>2482</v>
      </c>
      <c r="M246" s="23"/>
    </row>
    <row r="247" spans="1:13" x14ac:dyDescent="0.3">
      <c r="A247" s="27">
        <v>45805</v>
      </c>
      <c r="B247" s="27">
        <v>45805</v>
      </c>
      <c r="C247" s="28">
        <v>31.84</v>
      </c>
      <c r="D247" s="28">
        <v>0</v>
      </c>
      <c r="E247" s="28"/>
      <c r="F247" s="28" t="s">
        <v>4</v>
      </c>
      <c r="G247" s="24">
        <v>0.97</v>
      </c>
      <c r="H247" s="28" t="s">
        <v>49</v>
      </c>
      <c r="I247" s="28" t="s">
        <v>1779</v>
      </c>
      <c r="J247" s="28"/>
      <c r="K247" s="28" t="s">
        <v>50</v>
      </c>
      <c r="L247" s="28" t="s">
        <v>2482</v>
      </c>
      <c r="M247" s="28"/>
    </row>
    <row r="248" spans="1:13" x14ac:dyDescent="0.3">
      <c r="A248" s="22">
        <v>45805.283750000002</v>
      </c>
      <c r="B248" s="22">
        <v>45805</v>
      </c>
      <c r="C248" s="23">
        <v>7000</v>
      </c>
      <c r="D248" s="23">
        <v>0</v>
      </c>
      <c r="E248" s="23"/>
      <c r="F248" s="23" t="s">
        <v>2</v>
      </c>
      <c r="G248" s="24">
        <v>0.96</v>
      </c>
      <c r="H248" s="23" t="s">
        <v>2</v>
      </c>
      <c r="I248" s="23" t="s">
        <v>1019</v>
      </c>
      <c r="J248" s="23"/>
      <c r="K248" s="23" t="s">
        <v>1992</v>
      </c>
      <c r="L248" s="23" t="s">
        <v>2483</v>
      </c>
      <c r="M248" s="23"/>
    </row>
    <row r="249" spans="1:13" x14ac:dyDescent="0.3">
      <c r="A249" s="97">
        <v>45806</v>
      </c>
      <c r="B249" s="97">
        <v>45806</v>
      </c>
      <c r="C249" s="98">
        <v>1001</v>
      </c>
      <c r="D249" s="98">
        <v>0</v>
      </c>
      <c r="E249" s="98"/>
      <c r="F249" s="98" t="s">
        <v>978</v>
      </c>
      <c r="G249" s="24">
        <v>0.85</v>
      </c>
      <c r="H249" s="98" t="s">
        <v>1031</v>
      </c>
      <c r="I249" s="98" t="s">
        <v>837</v>
      </c>
      <c r="J249" s="98"/>
      <c r="K249" s="98" t="s">
        <v>1713</v>
      </c>
      <c r="L249" s="98" t="s">
        <v>2486</v>
      </c>
      <c r="M249" s="98"/>
    </row>
    <row r="250" spans="1:13" x14ac:dyDescent="0.3">
      <c r="A250" s="97">
        <v>45806</v>
      </c>
      <c r="B250" s="97">
        <v>45806</v>
      </c>
      <c r="C250" s="98">
        <v>0</v>
      </c>
      <c r="D250" s="98">
        <v>1001</v>
      </c>
      <c r="E250" s="98"/>
      <c r="F250" s="98" t="s">
        <v>977</v>
      </c>
      <c r="G250" s="24">
        <v>0.85</v>
      </c>
      <c r="H250" s="98" t="s">
        <v>1031</v>
      </c>
      <c r="I250" s="98" t="s">
        <v>837</v>
      </c>
      <c r="J250" s="98"/>
      <c r="K250" s="98" t="s">
        <v>1712</v>
      </c>
      <c r="L250" s="98" t="s">
        <v>2486</v>
      </c>
      <c r="M250" s="98"/>
    </row>
    <row r="251" spans="1:13" x14ac:dyDescent="0.3">
      <c r="A251" s="97">
        <v>45806</v>
      </c>
      <c r="B251" s="97">
        <v>45806</v>
      </c>
      <c r="C251" s="98">
        <v>0</v>
      </c>
      <c r="D251" s="98">
        <v>1001</v>
      </c>
      <c r="E251" s="98"/>
      <c r="F251" s="98" t="s">
        <v>977</v>
      </c>
      <c r="G251" s="24">
        <v>0.85</v>
      </c>
      <c r="H251" s="98" t="s">
        <v>1031</v>
      </c>
      <c r="I251" s="98" t="s">
        <v>1680</v>
      </c>
      <c r="J251" s="98" t="s">
        <v>1008</v>
      </c>
      <c r="K251" s="98" t="s">
        <v>1030</v>
      </c>
      <c r="L251" s="98" t="s">
        <v>2484</v>
      </c>
      <c r="M251" s="98"/>
    </row>
    <row r="252" spans="1:13" x14ac:dyDescent="0.3">
      <c r="A252" s="97">
        <v>45806</v>
      </c>
      <c r="B252" s="97">
        <v>45806</v>
      </c>
      <c r="C252" s="98">
        <v>1001</v>
      </c>
      <c r="D252" s="98">
        <v>0</v>
      </c>
      <c r="E252" s="98"/>
      <c r="F252" s="98" t="s">
        <v>978</v>
      </c>
      <c r="G252" s="24">
        <v>0.85</v>
      </c>
      <c r="H252" s="98" t="s">
        <v>1031</v>
      </c>
      <c r="I252" s="98" t="s">
        <v>1680</v>
      </c>
      <c r="J252" s="98" t="s">
        <v>1008</v>
      </c>
      <c r="K252" s="98" t="s">
        <v>1032</v>
      </c>
      <c r="L252" s="98" t="s">
        <v>2484</v>
      </c>
      <c r="M252" s="98"/>
    </row>
    <row r="253" spans="1:13" x14ac:dyDescent="0.3">
      <c r="A253" s="27">
        <v>45806</v>
      </c>
      <c r="B253" s="27">
        <v>45806</v>
      </c>
      <c r="C253" s="28">
        <v>31.84</v>
      </c>
      <c r="D253" s="28">
        <v>0</v>
      </c>
      <c r="E253" s="28"/>
      <c r="F253" s="28" t="s">
        <v>4</v>
      </c>
      <c r="G253" s="24">
        <v>0.97</v>
      </c>
      <c r="H253" s="28" t="s">
        <v>49</v>
      </c>
      <c r="I253" s="28" t="s">
        <v>1779</v>
      </c>
      <c r="J253" s="28"/>
      <c r="K253" s="28" t="s">
        <v>50</v>
      </c>
      <c r="L253" s="28" t="s">
        <v>2482</v>
      </c>
      <c r="M253" s="28"/>
    </row>
    <row r="254" spans="1:13" x14ac:dyDescent="0.3">
      <c r="A254" s="25">
        <v>45806</v>
      </c>
      <c r="B254" s="25">
        <v>45806</v>
      </c>
      <c r="C254" s="26">
        <v>0</v>
      </c>
      <c r="D254" s="26">
        <v>331.56</v>
      </c>
      <c r="E254" s="26"/>
      <c r="F254" s="26" t="s">
        <v>3</v>
      </c>
      <c r="G254" s="24">
        <v>0.93</v>
      </c>
      <c r="H254" s="26" t="s">
        <v>49</v>
      </c>
      <c r="I254" s="26" t="s">
        <v>1779</v>
      </c>
      <c r="J254" s="26"/>
      <c r="K254" s="26" t="s">
        <v>206</v>
      </c>
      <c r="L254" s="26" t="s">
        <v>2482</v>
      </c>
      <c r="M254" s="26"/>
    </row>
    <row r="255" spans="1:13" x14ac:dyDescent="0.3">
      <c r="A255" s="22">
        <v>45807</v>
      </c>
      <c r="B255" s="22">
        <v>45807</v>
      </c>
      <c r="C255" s="23">
        <v>5000</v>
      </c>
      <c r="D255" s="23">
        <v>0</v>
      </c>
      <c r="E255" s="23"/>
      <c r="F255" s="23" t="s">
        <v>2</v>
      </c>
      <c r="G255" s="24">
        <v>0.95</v>
      </c>
      <c r="H255" s="23" t="s">
        <v>2</v>
      </c>
      <c r="I255" s="23" t="s">
        <v>1779</v>
      </c>
      <c r="J255" s="23"/>
      <c r="K255" s="23" t="s">
        <v>211</v>
      </c>
      <c r="L255" s="23" t="s">
        <v>2482</v>
      </c>
      <c r="M255" s="23"/>
    </row>
    <row r="256" spans="1:13" x14ac:dyDescent="0.3">
      <c r="A256" s="25">
        <v>45807</v>
      </c>
      <c r="B256" s="25">
        <v>45807</v>
      </c>
      <c r="C256" s="26">
        <v>0</v>
      </c>
      <c r="D256" s="26">
        <v>36.81</v>
      </c>
      <c r="E256" s="26"/>
      <c r="F256" s="26" t="s">
        <v>3</v>
      </c>
      <c r="G256" s="24">
        <v>0.93</v>
      </c>
      <c r="H256" s="26" t="s">
        <v>49</v>
      </c>
      <c r="I256" s="26" t="s">
        <v>1779</v>
      </c>
      <c r="J256" s="26"/>
      <c r="K256" s="26" t="s">
        <v>209</v>
      </c>
      <c r="L256" s="26" t="s">
        <v>2482</v>
      </c>
      <c r="M256" s="26"/>
    </row>
    <row r="257" spans="1:13" x14ac:dyDescent="0.3">
      <c r="A257" s="27">
        <v>45807</v>
      </c>
      <c r="B257" s="27">
        <v>45807</v>
      </c>
      <c r="C257" s="28">
        <v>3389.73</v>
      </c>
      <c r="D257" s="28">
        <v>0</v>
      </c>
      <c r="E257" s="28"/>
      <c r="F257" s="28" t="s">
        <v>4</v>
      </c>
      <c r="G257" s="24">
        <v>0.97</v>
      </c>
      <c r="H257" s="28" t="s">
        <v>49</v>
      </c>
      <c r="I257" s="28" t="s">
        <v>1779</v>
      </c>
      <c r="J257" s="28"/>
      <c r="K257" s="28" t="s">
        <v>50</v>
      </c>
      <c r="L257" s="28" t="s">
        <v>2482</v>
      </c>
      <c r="M257" s="28"/>
    </row>
    <row r="258" spans="1:13" x14ac:dyDescent="0.3">
      <c r="A258" s="27">
        <v>45807</v>
      </c>
      <c r="B258" s="27">
        <v>45807</v>
      </c>
      <c r="C258" s="28">
        <v>31.96</v>
      </c>
      <c r="D258" s="28">
        <v>0</v>
      </c>
      <c r="E258" s="28"/>
      <c r="F258" s="28" t="s">
        <v>4</v>
      </c>
      <c r="G258" s="24">
        <v>0.97</v>
      </c>
      <c r="H258" s="28" t="s">
        <v>49</v>
      </c>
      <c r="I258" s="28" t="s">
        <v>1779</v>
      </c>
      <c r="J258" s="28"/>
      <c r="K258" s="28" t="s">
        <v>50</v>
      </c>
      <c r="L258" s="28" t="s">
        <v>2482</v>
      </c>
      <c r="M258" s="28"/>
    </row>
    <row r="259" spans="1:13" x14ac:dyDescent="0.3">
      <c r="A259" s="49">
        <v>45807</v>
      </c>
      <c r="B259" s="49">
        <v>45807</v>
      </c>
      <c r="C259" s="50">
        <v>0</v>
      </c>
      <c r="D259" s="50">
        <v>2146.5</v>
      </c>
      <c r="E259" s="50"/>
      <c r="F259" s="50" t="s">
        <v>17</v>
      </c>
      <c r="G259" s="24">
        <v>0.88</v>
      </c>
      <c r="H259" s="50" t="s">
        <v>17</v>
      </c>
      <c r="I259" s="50" t="s">
        <v>1779</v>
      </c>
      <c r="J259" s="50"/>
      <c r="K259" s="50" t="s">
        <v>213</v>
      </c>
      <c r="L259" s="50" t="s">
        <v>2482</v>
      </c>
      <c r="M259" s="50"/>
    </row>
    <row r="260" spans="1:13" x14ac:dyDescent="0.3">
      <c r="A260" s="83">
        <v>45807</v>
      </c>
      <c r="B260" s="83">
        <v>45807</v>
      </c>
      <c r="C260" s="84">
        <v>437.25</v>
      </c>
      <c r="D260" s="84">
        <v>0</v>
      </c>
      <c r="E260" s="84"/>
      <c r="F260" s="84" t="s">
        <v>973</v>
      </c>
      <c r="G260" s="40">
        <v>0.68</v>
      </c>
      <c r="H260" s="84" t="s">
        <v>1014</v>
      </c>
      <c r="I260" s="84" t="s">
        <v>837</v>
      </c>
      <c r="J260" s="84"/>
      <c r="K260" s="84" t="s">
        <v>1714</v>
      </c>
      <c r="L260" s="84" t="s">
        <v>2486</v>
      </c>
      <c r="M260" s="84"/>
    </row>
    <row r="261" spans="1:13" x14ac:dyDescent="0.3">
      <c r="A261" s="83">
        <v>45807.438715277778</v>
      </c>
      <c r="B261" s="83">
        <v>45807</v>
      </c>
      <c r="C261" s="84">
        <v>272.25</v>
      </c>
      <c r="D261" s="84">
        <v>0</v>
      </c>
      <c r="E261" s="84"/>
      <c r="F261" s="84" t="s">
        <v>973</v>
      </c>
      <c r="G261" s="40">
        <v>0.68</v>
      </c>
      <c r="H261" s="84" t="s">
        <v>1014</v>
      </c>
      <c r="I261" s="84" t="s">
        <v>1019</v>
      </c>
      <c r="J261" s="84"/>
      <c r="K261" s="84" t="s">
        <v>1994</v>
      </c>
      <c r="L261" s="84" t="s">
        <v>2483</v>
      </c>
      <c r="M261" s="84"/>
    </row>
    <row r="262" spans="1:13" x14ac:dyDescent="0.3">
      <c r="A262" s="89">
        <v>45807.744988425933</v>
      </c>
      <c r="B262" s="89">
        <v>45807</v>
      </c>
      <c r="C262" s="90">
        <v>70</v>
      </c>
      <c r="D262" s="90">
        <v>0</v>
      </c>
      <c r="E262" s="90" t="s">
        <v>1998</v>
      </c>
      <c r="F262" s="90" t="s">
        <v>975</v>
      </c>
      <c r="G262" s="39">
        <v>0.55000000000000004</v>
      </c>
      <c r="H262" s="90" t="s">
        <v>91</v>
      </c>
      <c r="I262" s="90" t="s">
        <v>1019</v>
      </c>
      <c r="J262" s="90"/>
      <c r="K262" s="90" t="s">
        <v>1996</v>
      </c>
      <c r="L262" s="90" t="s">
        <v>2483</v>
      </c>
      <c r="M262" s="90"/>
    </row>
    <row r="263" spans="1:13" x14ac:dyDescent="0.3">
      <c r="A263" s="103">
        <v>45807.761956018519</v>
      </c>
      <c r="B263" s="103">
        <v>45807</v>
      </c>
      <c r="C263" s="104">
        <v>84</v>
      </c>
      <c r="D263" s="104">
        <v>0</v>
      </c>
      <c r="E263" s="104"/>
      <c r="F263" s="104" t="s">
        <v>983</v>
      </c>
      <c r="G263" s="40">
        <v>0.82</v>
      </c>
      <c r="H263" s="104" t="s">
        <v>131</v>
      </c>
      <c r="I263" s="104" t="s">
        <v>1019</v>
      </c>
      <c r="J263" s="104"/>
      <c r="K263" s="104" t="s">
        <v>1999</v>
      </c>
      <c r="L263" s="104" t="s">
        <v>2483</v>
      </c>
      <c r="M263" s="104"/>
    </row>
    <row r="264" spans="1:13" x14ac:dyDescent="0.3">
      <c r="A264" s="83">
        <v>45807.968576388892</v>
      </c>
      <c r="B264" s="83">
        <v>45807</v>
      </c>
      <c r="C264" s="84">
        <v>192.7</v>
      </c>
      <c r="D264" s="84">
        <v>0</v>
      </c>
      <c r="E264" s="84"/>
      <c r="F264" s="84" t="s">
        <v>973</v>
      </c>
      <c r="G264" s="40">
        <v>0.68</v>
      </c>
      <c r="H264" s="84" t="s">
        <v>1014</v>
      </c>
      <c r="I264" s="84" t="s">
        <v>1019</v>
      </c>
      <c r="J264" s="84"/>
      <c r="K264" s="84" t="s">
        <v>2001</v>
      </c>
      <c r="L264" s="84" t="s">
        <v>2483</v>
      </c>
      <c r="M264" s="84"/>
    </row>
    <row r="265" spans="1:13" x14ac:dyDescent="0.3">
      <c r="A265" s="51">
        <v>45808.816689814812</v>
      </c>
      <c r="B265" s="51">
        <v>45808</v>
      </c>
      <c r="C265" s="52">
        <v>0</v>
      </c>
      <c r="D265" s="52">
        <v>799</v>
      </c>
      <c r="E265" s="52"/>
      <c r="F265" s="52" t="s">
        <v>20</v>
      </c>
      <c r="G265" s="24">
        <v>0.85</v>
      </c>
      <c r="H265" s="52" t="s">
        <v>181</v>
      </c>
      <c r="I265" s="52" t="s">
        <v>1019</v>
      </c>
      <c r="J265" s="52"/>
      <c r="K265" s="52" t="s">
        <v>2003</v>
      </c>
      <c r="L265" s="52" t="s">
        <v>2483</v>
      </c>
      <c r="M265" s="52"/>
    </row>
    <row r="266" spans="1:13" x14ac:dyDescent="0.3">
      <c r="A266" s="51">
        <v>45808.845590277779</v>
      </c>
      <c r="B266" s="51">
        <v>45808</v>
      </c>
      <c r="C266" s="52">
        <v>0</v>
      </c>
      <c r="D266" s="52">
        <v>1000</v>
      </c>
      <c r="E266" s="52"/>
      <c r="F266" s="52" t="s">
        <v>20</v>
      </c>
      <c r="G266" s="24">
        <v>0.85</v>
      </c>
      <c r="H266" s="52" t="s">
        <v>181</v>
      </c>
      <c r="I266" s="52" t="s">
        <v>1019</v>
      </c>
      <c r="J266" s="52"/>
      <c r="K266" s="52" t="s">
        <v>2005</v>
      </c>
      <c r="L266" s="52" t="s">
        <v>2483</v>
      </c>
      <c r="M266" s="52"/>
    </row>
    <row r="267" spans="1:13" x14ac:dyDescent="0.3">
      <c r="A267" s="51">
        <v>45808.925555555557</v>
      </c>
      <c r="B267" s="51">
        <v>45808</v>
      </c>
      <c r="C267" s="52">
        <v>1800</v>
      </c>
      <c r="D267" s="52">
        <v>0</v>
      </c>
      <c r="E267" s="52"/>
      <c r="F267" s="52" t="s">
        <v>18</v>
      </c>
      <c r="G267" s="24">
        <v>0.85</v>
      </c>
      <c r="H267" s="52" t="s">
        <v>181</v>
      </c>
      <c r="I267" s="52" t="s">
        <v>1019</v>
      </c>
      <c r="J267" s="52"/>
      <c r="K267" s="52" t="s">
        <v>2007</v>
      </c>
      <c r="L267" s="52" t="s">
        <v>2483</v>
      </c>
      <c r="M267" s="52"/>
    </row>
    <row r="268" spans="1:13" x14ac:dyDescent="0.3">
      <c r="A268" s="55">
        <v>45809</v>
      </c>
      <c r="B268" s="55">
        <v>45809</v>
      </c>
      <c r="C268" s="56">
        <v>0</v>
      </c>
      <c r="D268" s="56">
        <v>1</v>
      </c>
      <c r="E268" s="56"/>
      <c r="F268" s="56" t="s">
        <v>22</v>
      </c>
      <c r="G268" s="24">
        <v>0.97</v>
      </c>
      <c r="H268" s="56" t="s">
        <v>22</v>
      </c>
      <c r="I268" s="56" t="s">
        <v>2224</v>
      </c>
      <c r="J268" s="56" t="s">
        <v>22</v>
      </c>
      <c r="K268" s="56" t="s">
        <v>2469</v>
      </c>
      <c r="L268" s="56" t="s">
        <v>2487</v>
      </c>
      <c r="M268" s="56"/>
    </row>
    <row r="269" spans="1:13" x14ac:dyDescent="0.3">
      <c r="A269" s="101">
        <v>45809.755925925929</v>
      </c>
      <c r="B269" s="101">
        <v>45809</v>
      </c>
      <c r="C269" s="102">
        <v>66</v>
      </c>
      <c r="D269" s="102">
        <v>0</v>
      </c>
      <c r="E269" s="102"/>
      <c r="F269" s="102" t="s">
        <v>985</v>
      </c>
      <c r="G269" s="40">
        <v>0.68</v>
      </c>
      <c r="H269" s="102" t="s">
        <v>91</v>
      </c>
      <c r="I269" s="102" t="s">
        <v>1019</v>
      </c>
      <c r="J269" s="102"/>
      <c r="K269" s="102" t="s">
        <v>2009</v>
      </c>
      <c r="L269" s="102" t="s">
        <v>2483</v>
      </c>
      <c r="M269" s="102"/>
    </row>
    <row r="270" spans="1:13" x14ac:dyDescent="0.3">
      <c r="A270" s="103">
        <v>45809.756689814807</v>
      </c>
      <c r="B270" s="103">
        <v>45809</v>
      </c>
      <c r="C270" s="104">
        <v>24</v>
      </c>
      <c r="D270" s="104">
        <v>0</v>
      </c>
      <c r="E270" s="104"/>
      <c r="F270" s="104" t="s">
        <v>983</v>
      </c>
      <c r="G270" s="40">
        <v>0.82</v>
      </c>
      <c r="H270" s="104" t="s">
        <v>131</v>
      </c>
      <c r="I270" s="104" t="s">
        <v>1019</v>
      </c>
      <c r="J270" s="104"/>
      <c r="K270" s="104" t="s">
        <v>2011</v>
      </c>
      <c r="L270" s="104" t="s">
        <v>2483</v>
      </c>
      <c r="M270" s="104"/>
    </row>
    <row r="271" spans="1:13" x14ac:dyDescent="0.3">
      <c r="A271" s="95">
        <v>45810</v>
      </c>
      <c r="B271" s="95">
        <v>45810</v>
      </c>
      <c r="C271" s="96">
        <v>23000</v>
      </c>
      <c r="D271" s="96">
        <v>0</v>
      </c>
      <c r="E271" s="96"/>
      <c r="F271" s="96" t="s">
        <v>979</v>
      </c>
      <c r="G271" s="24">
        <v>0.88</v>
      </c>
      <c r="H271" s="96" t="s">
        <v>990</v>
      </c>
      <c r="I271" s="96" t="s">
        <v>1680</v>
      </c>
      <c r="J271" s="96"/>
      <c r="K271" s="96" t="s">
        <v>1034</v>
      </c>
      <c r="L271" s="96" t="s">
        <v>2484</v>
      </c>
      <c r="M271" s="96"/>
    </row>
    <row r="272" spans="1:13" x14ac:dyDescent="0.3">
      <c r="A272" s="22">
        <v>45810</v>
      </c>
      <c r="B272" s="22">
        <v>45810</v>
      </c>
      <c r="C272" s="23">
        <v>0</v>
      </c>
      <c r="D272" s="23">
        <v>1</v>
      </c>
      <c r="E272" s="23"/>
      <c r="F272" s="23" t="s">
        <v>980</v>
      </c>
      <c r="G272" s="40">
        <v>0.7</v>
      </c>
      <c r="H272" s="23" t="s">
        <v>1046</v>
      </c>
      <c r="I272" s="23" t="s">
        <v>837</v>
      </c>
      <c r="J272" s="23"/>
      <c r="K272" s="23" t="s">
        <v>1716</v>
      </c>
      <c r="L272" s="23" t="s">
        <v>2486</v>
      </c>
      <c r="M272" s="23" t="s">
        <v>2485</v>
      </c>
    </row>
    <row r="273" spans="1:13" x14ac:dyDescent="0.3">
      <c r="A273" s="78">
        <v>45810</v>
      </c>
      <c r="B273" s="78">
        <v>45810</v>
      </c>
      <c r="C273" s="79">
        <v>0</v>
      </c>
      <c r="D273" s="79">
        <v>102548</v>
      </c>
      <c r="E273" s="79"/>
      <c r="F273" s="79" t="s">
        <v>972</v>
      </c>
      <c r="G273" s="24">
        <v>0.97</v>
      </c>
      <c r="H273" s="79" t="s">
        <v>972</v>
      </c>
      <c r="I273" s="79" t="s">
        <v>1680</v>
      </c>
      <c r="J273" s="79" t="s">
        <v>972</v>
      </c>
      <c r="K273" s="79" t="s">
        <v>1033</v>
      </c>
      <c r="L273" s="79" t="s">
        <v>2484</v>
      </c>
      <c r="M273" s="79"/>
    </row>
    <row r="274" spans="1:13" x14ac:dyDescent="0.3">
      <c r="A274" s="22">
        <v>45810</v>
      </c>
      <c r="B274" s="22">
        <v>45810</v>
      </c>
      <c r="C274" s="23">
        <v>0</v>
      </c>
      <c r="D274" s="23">
        <v>1</v>
      </c>
      <c r="E274" s="23"/>
      <c r="F274" s="23" t="s">
        <v>980</v>
      </c>
      <c r="G274" s="40">
        <v>0.7</v>
      </c>
      <c r="H274" s="23" t="s">
        <v>1046</v>
      </c>
      <c r="I274" s="23" t="s">
        <v>837</v>
      </c>
      <c r="J274" s="23"/>
      <c r="K274" s="23" t="s">
        <v>1715</v>
      </c>
      <c r="L274" s="23" t="s">
        <v>2486</v>
      </c>
      <c r="M274" s="23" t="s">
        <v>2485</v>
      </c>
    </row>
    <row r="275" spans="1:13" x14ac:dyDescent="0.3">
      <c r="A275" s="27">
        <v>45810</v>
      </c>
      <c r="B275" s="27">
        <v>45810</v>
      </c>
      <c r="C275" s="28">
        <v>208.43</v>
      </c>
      <c r="D275" s="28">
        <v>0</v>
      </c>
      <c r="E275" s="28"/>
      <c r="F275" s="28" t="s">
        <v>4</v>
      </c>
      <c r="G275" s="24">
        <v>0.97</v>
      </c>
      <c r="H275" s="28" t="s">
        <v>49</v>
      </c>
      <c r="I275" s="28" t="s">
        <v>1779</v>
      </c>
      <c r="J275" s="28"/>
      <c r="K275" s="28" t="s">
        <v>50</v>
      </c>
      <c r="L275" s="28" t="s">
        <v>2482</v>
      </c>
      <c r="M275" s="28"/>
    </row>
    <row r="276" spans="1:13" x14ac:dyDescent="0.3">
      <c r="A276" s="85">
        <v>45810</v>
      </c>
      <c r="B276" s="85">
        <v>45810</v>
      </c>
      <c r="C276" s="86">
        <v>40000</v>
      </c>
      <c r="D276" s="86">
        <v>0</v>
      </c>
      <c r="E276" s="86"/>
      <c r="F276" s="86" t="s">
        <v>974</v>
      </c>
      <c r="G276" s="24">
        <v>0.9</v>
      </c>
      <c r="H276" s="86" t="s">
        <v>1019</v>
      </c>
      <c r="I276" s="86" t="s">
        <v>1680</v>
      </c>
      <c r="J276" s="86"/>
      <c r="K276" s="86" t="s">
        <v>1036</v>
      </c>
      <c r="L276" s="86" t="s">
        <v>2484</v>
      </c>
      <c r="M276" s="86"/>
    </row>
    <row r="277" spans="1:13" x14ac:dyDescent="0.3">
      <c r="A277" s="85">
        <v>45810</v>
      </c>
      <c r="B277" s="85">
        <v>45810</v>
      </c>
      <c r="C277" s="86">
        <v>5000</v>
      </c>
      <c r="D277" s="86">
        <v>0</v>
      </c>
      <c r="E277" s="86"/>
      <c r="F277" s="86" t="s">
        <v>974</v>
      </c>
      <c r="G277" s="24">
        <v>0.9</v>
      </c>
      <c r="H277" s="86" t="s">
        <v>1019</v>
      </c>
      <c r="I277" s="86" t="s">
        <v>1680</v>
      </c>
      <c r="J277" s="86"/>
      <c r="K277" s="86" t="s">
        <v>1035</v>
      </c>
      <c r="L277" s="86" t="s">
        <v>2484</v>
      </c>
      <c r="M277" s="86"/>
    </row>
    <row r="278" spans="1:13" x14ac:dyDescent="0.3">
      <c r="A278" s="27">
        <v>45810</v>
      </c>
      <c r="B278" s="27">
        <v>45810</v>
      </c>
      <c r="C278" s="28">
        <v>92.28</v>
      </c>
      <c r="D278" s="28">
        <v>0</v>
      </c>
      <c r="E278" s="28"/>
      <c r="F278" s="28" t="s">
        <v>4</v>
      </c>
      <c r="G278" s="24">
        <v>0.97</v>
      </c>
      <c r="H278" s="28" t="s">
        <v>49</v>
      </c>
      <c r="I278" s="28" t="s">
        <v>1779</v>
      </c>
      <c r="J278" s="28"/>
      <c r="K278" s="28" t="s">
        <v>50</v>
      </c>
      <c r="L278" s="28" t="s">
        <v>2482</v>
      </c>
      <c r="M278" s="28"/>
    </row>
    <row r="279" spans="1:13" x14ac:dyDescent="0.3">
      <c r="A279" s="27">
        <v>45810.543657407397</v>
      </c>
      <c r="B279" s="27">
        <v>45810</v>
      </c>
      <c r="C279" s="28">
        <v>0</v>
      </c>
      <c r="D279" s="28">
        <v>5000</v>
      </c>
      <c r="E279" s="28"/>
      <c r="F279" s="28" t="s">
        <v>1656</v>
      </c>
      <c r="G279" s="24">
        <v>0.95</v>
      </c>
      <c r="H279" s="28" t="s">
        <v>1680</v>
      </c>
      <c r="I279" s="28" t="s">
        <v>1019</v>
      </c>
      <c r="J279" s="28"/>
      <c r="K279" s="28" t="s">
        <v>2013</v>
      </c>
      <c r="L279" s="28" t="s">
        <v>2483</v>
      </c>
      <c r="M279" s="28"/>
    </row>
    <row r="280" spans="1:13" x14ac:dyDescent="0.3">
      <c r="A280" s="27">
        <v>45810.545717592591</v>
      </c>
      <c r="B280" s="27">
        <v>45810</v>
      </c>
      <c r="C280" s="28">
        <v>0</v>
      </c>
      <c r="D280" s="28">
        <v>40000</v>
      </c>
      <c r="E280" s="28"/>
      <c r="F280" s="28" t="s">
        <v>1656</v>
      </c>
      <c r="G280" s="24">
        <v>0.95</v>
      </c>
      <c r="H280" s="28" t="s">
        <v>1680</v>
      </c>
      <c r="I280" s="28" t="s">
        <v>1019</v>
      </c>
      <c r="J280" s="28"/>
      <c r="K280" s="28" t="s">
        <v>2015</v>
      </c>
      <c r="L280" s="28" t="s">
        <v>2483</v>
      </c>
      <c r="M280" s="28"/>
    </row>
    <row r="281" spans="1:13" x14ac:dyDescent="0.3">
      <c r="A281" s="27">
        <v>45811</v>
      </c>
      <c r="B281" s="27">
        <v>45811</v>
      </c>
      <c r="C281" s="28">
        <v>370.41</v>
      </c>
      <c r="D281" s="28">
        <v>0</v>
      </c>
      <c r="E281" s="28"/>
      <c r="F281" s="28" t="s">
        <v>4</v>
      </c>
      <c r="G281" s="24">
        <v>0.97</v>
      </c>
      <c r="H281" s="28" t="s">
        <v>49</v>
      </c>
      <c r="I281" s="28" t="s">
        <v>1779</v>
      </c>
      <c r="J281" s="28"/>
      <c r="K281" s="28" t="s">
        <v>50</v>
      </c>
      <c r="L281" s="28" t="s">
        <v>2482</v>
      </c>
      <c r="M281" s="28"/>
    </row>
    <row r="282" spans="1:13" x14ac:dyDescent="0.3">
      <c r="A282" s="49">
        <v>45811</v>
      </c>
      <c r="B282" s="49">
        <v>45811</v>
      </c>
      <c r="C282" s="50">
        <v>0</v>
      </c>
      <c r="D282" s="50">
        <v>1215</v>
      </c>
      <c r="E282" s="50"/>
      <c r="F282" s="50" t="s">
        <v>17</v>
      </c>
      <c r="G282" s="24">
        <v>0.88</v>
      </c>
      <c r="H282" s="50" t="s">
        <v>17</v>
      </c>
      <c r="I282" s="50" t="s">
        <v>1779</v>
      </c>
      <c r="J282" s="50"/>
      <c r="K282" s="50" t="s">
        <v>222</v>
      </c>
      <c r="L282" s="50" t="s">
        <v>2482</v>
      </c>
      <c r="M282" s="50"/>
    </row>
    <row r="283" spans="1:13" x14ac:dyDescent="0.3">
      <c r="A283" s="25">
        <v>45811</v>
      </c>
      <c r="B283" s="25">
        <v>45811</v>
      </c>
      <c r="C283" s="26">
        <v>0</v>
      </c>
      <c r="D283" s="26">
        <v>25427.919999999998</v>
      </c>
      <c r="E283" s="26"/>
      <c r="F283" s="26" t="s">
        <v>3</v>
      </c>
      <c r="G283" s="24">
        <v>0.93</v>
      </c>
      <c r="H283" s="26" t="s">
        <v>49</v>
      </c>
      <c r="I283" s="26" t="s">
        <v>1779</v>
      </c>
      <c r="J283" s="26"/>
      <c r="K283" s="26" t="s">
        <v>219</v>
      </c>
      <c r="L283" s="26" t="s">
        <v>2482</v>
      </c>
      <c r="M283" s="26"/>
    </row>
    <row r="284" spans="1:13" x14ac:dyDescent="0.3">
      <c r="A284" s="27">
        <v>45811</v>
      </c>
      <c r="B284" s="27">
        <v>45811</v>
      </c>
      <c r="C284" s="28">
        <v>33.78</v>
      </c>
      <c r="D284" s="28">
        <v>0</v>
      </c>
      <c r="E284" s="28"/>
      <c r="F284" s="28" t="s">
        <v>4</v>
      </c>
      <c r="G284" s="24">
        <v>0.97</v>
      </c>
      <c r="H284" s="28" t="s">
        <v>49</v>
      </c>
      <c r="I284" s="28" t="s">
        <v>1779</v>
      </c>
      <c r="J284" s="28"/>
      <c r="K284" s="28" t="s">
        <v>50</v>
      </c>
      <c r="L284" s="28" t="s">
        <v>2482</v>
      </c>
      <c r="M284" s="28"/>
    </row>
    <row r="285" spans="1:13" x14ac:dyDescent="0.3">
      <c r="A285" s="146">
        <v>45811.019166666672</v>
      </c>
      <c r="B285" s="146">
        <v>45811</v>
      </c>
      <c r="C285" s="147">
        <v>0</v>
      </c>
      <c r="D285" s="147">
        <v>49.36</v>
      </c>
      <c r="E285" s="147"/>
      <c r="F285" s="147" t="s">
        <v>1678</v>
      </c>
      <c r="G285" s="24">
        <v>0.88</v>
      </c>
      <c r="H285" s="147" t="s">
        <v>1658</v>
      </c>
      <c r="I285" s="147" t="s">
        <v>1019</v>
      </c>
      <c r="J285" s="147"/>
      <c r="K285" s="147" t="s">
        <v>2017</v>
      </c>
      <c r="L285" s="147" t="s">
        <v>2483</v>
      </c>
      <c r="M285" s="147"/>
    </row>
    <row r="286" spans="1:13" x14ac:dyDescent="0.3">
      <c r="A286" s="89">
        <v>45811.437858796293</v>
      </c>
      <c r="B286" s="89">
        <v>45811</v>
      </c>
      <c r="C286" s="90">
        <v>72</v>
      </c>
      <c r="D286" s="90">
        <v>0</v>
      </c>
      <c r="E286" s="90" t="s">
        <v>2021</v>
      </c>
      <c r="F286" s="90" t="s">
        <v>975</v>
      </c>
      <c r="G286" s="39">
        <v>0.55000000000000004</v>
      </c>
      <c r="H286" s="90" t="s">
        <v>91</v>
      </c>
      <c r="I286" s="90" t="s">
        <v>1019</v>
      </c>
      <c r="J286" s="90"/>
      <c r="K286" s="90" t="s">
        <v>2019</v>
      </c>
      <c r="L286" s="90" t="s">
        <v>2483</v>
      </c>
      <c r="M286" s="90"/>
    </row>
    <row r="287" spans="1:13" x14ac:dyDescent="0.3">
      <c r="A287" s="89">
        <v>45811.712777777779</v>
      </c>
      <c r="B287" s="89">
        <v>45811</v>
      </c>
      <c r="C287" s="90">
        <v>47</v>
      </c>
      <c r="D287" s="90">
        <v>0</v>
      </c>
      <c r="E287" s="90" t="s">
        <v>2024</v>
      </c>
      <c r="F287" s="90" t="s">
        <v>975</v>
      </c>
      <c r="G287" s="39">
        <v>0.55000000000000004</v>
      </c>
      <c r="H287" s="90" t="s">
        <v>91</v>
      </c>
      <c r="I287" s="90" t="s">
        <v>1019</v>
      </c>
      <c r="J287" s="90"/>
      <c r="K287" s="90" t="s">
        <v>2022</v>
      </c>
      <c r="L287" s="90" t="s">
        <v>2483</v>
      </c>
      <c r="M287" s="90"/>
    </row>
    <row r="288" spans="1:13" x14ac:dyDescent="0.3">
      <c r="A288" s="99">
        <v>45811.831724537027</v>
      </c>
      <c r="B288" s="99">
        <v>45811</v>
      </c>
      <c r="C288" s="100">
        <v>260</v>
      </c>
      <c r="D288" s="100">
        <v>0</v>
      </c>
      <c r="E288" s="100"/>
      <c r="F288" s="100" t="s">
        <v>989</v>
      </c>
      <c r="G288" s="40">
        <v>0.75</v>
      </c>
      <c r="H288" s="100" t="s">
        <v>1053</v>
      </c>
      <c r="I288" s="100" t="s">
        <v>1019</v>
      </c>
      <c r="J288" s="100"/>
      <c r="K288" s="100" t="s">
        <v>2025</v>
      </c>
      <c r="L288" s="100" t="s">
        <v>2483</v>
      </c>
      <c r="M288" s="100"/>
    </row>
    <row r="289" spans="1:13" x14ac:dyDescent="0.3">
      <c r="A289" s="27">
        <v>45812</v>
      </c>
      <c r="B289" s="27">
        <v>45812</v>
      </c>
      <c r="C289" s="28">
        <v>21648.28</v>
      </c>
      <c r="D289" s="28">
        <v>0</v>
      </c>
      <c r="E289" s="28"/>
      <c r="F289" s="28" t="s">
        <v>4</v>
      </c>
      <c r="G289" s="24">
        <v>0.97</v>
      </c>
      <c r="H289" s="28" t="s">
        <v>49</v>
      </c>
      <c r="I289" s="28" t="s">
        <v>1779</v>
      </c>
      <c r="J289" s="28"/>
      <c r="K289" s="28" t="s">
        <v>50</v>
      </c>
      <c r="L289" s="28" t="s">
        <v>2482</v>
      </c>
      <c r="M289" s="28"/>
    </row>
    <row r="290" spans="1:13" x14ac:dyDescent="0.3">
      <c r="A290" s="37">
        <v>45812</v>
      </c>
      <c r="B290" s="37">
        <v>45812</v>
      </c>
      <c r="C290" s="38">
        <v>0</v>
      </c>
      <c r="D290" s="38">
        <v>28</v>
      </c>
      <c r="E290" s="38"/>
      <c r="F290" s="38" t="s">
        <v>1660</v>
      </c>
      <c r="G290" s="39">
        <v>0.55000000000000004</v>
      </c>
      <c r="H290" s="38" t="s">
        <v>91</v>
      </c>
      <c r="I290" s="38" t="s">
        <v>837</v>
      </c>
      <c r="J290" s="38"/>
      <c r="K290" s="38" t="s">
        <v>1717</v>
      </c>
      <c r="L290" s="38" t="s">
        <v>2486</v>
      </c>
      <c r="M290" s="38"/>
    </row>
    <row r="291" spans="1:13" x14ac:dyDescent="0.3">
      <c r="A291" s="33">
        <v>45812</v>
      </c>
      <c r="B291" s="33">
        <v>45812</v>
      </c>
      <c r="C291" s="34">
        <v>8.9600000000000009</v>
      </c>
      <c r="D291" s="34">
        <v>0</v>
      </c>
      <c r="E291" s="34"/>
      <c r="F291" s="34" t="s">
        <v>7</v>
      </c>
      <c r="G291" s="24">
        <v>0.9</v>
      </c>
      <c r="H291" s="34" t="s">
        <v>7</v>
      </c>
      <c r="I291" s="34" t="s">
        <v>1779</v>
      </c>
      <c r="J291" s="34"/>
      <c r="K291" s="34" t="s">
        <v>225</v>
      </c>
      <c r="L291" s="34" t="s">
        <v>2482</v>
      </c>
      <c r="M291" s="34"/>
    </row>
    <row r="292" spans="1:13" x14ac:dyDescent="0.3">
      <c r="A292" s="27">
        <v>45812</v>
      </c>
      <c r="B292" s="27">
        <v>45812</v>
      </c>
      <c r="C292" s="28">
        <v>33.65</v>
      </c>
      <c r="D292" s="28">
        <v>0</v>
      </c>
      <c r="E292" s="28"/>
      <c r="F292" s="28" t="s">
        <v>4</v>
      </c>
      <c r="G292" s="24">
        <v>0.97</v>
      </c>
      <c r="H292" s="28" t="s">
        <v>49</v>
      </c>
      <c r="I292" s="28" t="s">
        <v>1779</v>
      </c>
      <c r="J292" s="28"/>
      <c r="K292" s="28" t="s">
        <v>50</v>
      </c>
      <c r="L292" s="28" t="s">
        <v>2482</v>
      </c>
      <c r="M292" s="28"/>
    </row>
    <row r="293" spans="1:13" x14ac:dyDescent="0.3">
      <c r="A293" s="146">
        <v>45812.100405092591</v>
      </c>
      <c r="B293" s="146">
        <v>45812</v>
      </c>
      <c r="C293" s="147">
        <v>0</v>
      </c>
      <c r="D293" s="147">
        <v>8</v>
      </c>
      <c r="E293" s="147"/>
      <c r="F293" s="147" t="s">
        <v>1811</v>
      </c>
      <c r="G293" s="24">
        <v>0.88</v>
      </c>
      <c r="H293" s="147" t="s">
        <v>1658</v>
      </c>
      <c r="I293" s="147" t="s">
        <v>1019</v>
      </c>
      <c r="J293" s="147"/>
      <c r="K293" s="147" t="s">
        <v>2027</v>
      </c>
      <c r="L293" s="147" t="s">
        <v>2483</v>
      </c>
      <c r="M293" s="147"/>
    </row>
    <row r="294" spans="1:13" x14ac:dyDescent="0.3">
      <c r="A294" s="22">
        <v>45812.801701388889</v>
      </c>
      <c r="B294" s="22">
        <v>45812</v>
      </c>
      <c r="C294" s="23">
        <v>20000</v>
      </c>
      <c r="D294" s="23">
        <v>0</v>
      </c>
      <c r="E294" s="23"/>
      <c r="F294" s="23" t="s">
        <v>1812</v>
      </c>
      <c r="G294" s="24">
        <v>0.88</v>
      </c>
      <c r="H294" s="23" t="s">
        <v>1701</v>
      </c>
      <c r="I294" s="23" t="s">
        <v>1019</v>
      </c>
      <c r="J294" s="23"/>
      <c r="K294" s="23" t="s">
        <v>2029</v>
      </c>
      <c r="L294" s="23" t="s">
        <v>2483</v>
      </c>
      <c r="M294" s="23"/>
    </row>
    <row r="295" spans="1:13" x14ac:dyDescent="0.3">
      <c r="A295" s="89">
        <v>45812.81821759259</v>
      </c>
      <c r="B295" s="89">
        <v>45812</v>
      </c>
      <c r="C295" s="90">
        <v>789</v>
      </c>
      <c r="D295" s="90">
        <v>0</v>
      </c>
      <c r="E295" s="90" t="s">
        <v>2033</v>
      </c>
      <c r="F295" s="90" t="s">
        <v>975</v>
      </c>
      <c r="G295" s="39">
        <v>0.55000000000000004</v>
      </c>
      <c r="H295" s="90" t="s">
        <v>91</v>
      </c>
      <c r="I295" s="90" t="s">
        <v>1019</v>
      </c>
      <c r="J295" s="90"/>
      <c r="K295" s="90" t="s">
        <v>2031</v>
      </c>
      <c r="L295" s="90" t="s">
        <v>2483</v>
      </c>
      <c r="M295" s="90"/>
    </row>
    <row r="296" spans="1:13" x14ac:dyDescent="0.3">
      <c r="A296" s="27">
        <v>45812.820069444453</v>
      </c>
      <c r="B296" s="27">
        <v>45812</v>
      </c>
      <c r="C296" s="28">
        <v>1001</v>
      </c>
      <c r="D296" s="28">
        <v>0</v>
      </c>
      <c r="E296" s="28"/>
      <c r="F296" s="28" t="s">
        <v>11</v>
      </c>
      <c r="G296" s="40">
        <v>0.68</v>
      </c>
      <c r="H296" s="28" t="s">
        <v>112</v>
      </c>
      <c r="I296" s="28" t="s">
        <v>1019</v>
      </c>
      <c r="J296" s="28"/>
      <c r="K296" s="28" t="s">
        <v>2034</v>
      </c>
      <c r="L296" s="28" t="s">
        <v>2483</v>
      </c>
      <c r="M296" s="28"/>
    </row>
    <row r="297" spans="1:13" x14ac:dyDescent="0.3">
      <c r="A297" s="27">
        <v>45813</v>
      </c>
      <c r="B297" s="27">
        <v>45813</v>
      </c>
      <c r="C297" s="28">
        <v>25.94</v>
      </c>
      <c r="D297" s="28">
        <v>0</v>
      </c>
      <c r="E297" s="28"/>
      <c r="F297" s="28" t="s">
        <v>4</v>
      </c>
      <c r="G297" s="24">
        <v>0.97</v>
      </c>
      <c r="H297" s="28" t="s">
        <v>49</v>
      </c>
      <c r="I297" s="28" t="s">
        <v>1779</v>
      </c>
      <c r="J297" s="28"/>
      <c r="K297" s="28" t="s">
        <v>50</v>
      </c>
      <c r="L297" s="28" t="s">
        <v>2482</v>
      </c>
      <c r="M297" s="28"/>
    </row>
    <row r="298" spans="1:13" x14ac:dyDescent="0.3">
      <c r="A298" s="29">
        <v>45814</v>
      </c>
      <c r="B298" s="29">
        <v>45814</v>
      </c>
      <c r="C298" s="30">
        <v>0</v>
      </c>
      <c r="D298" s="30">
        <v>144.61000000000001</v>
      </c>
      <c r="E298" s="30"/>
      <c r="F298" s="30" t="s">
        <v>5</v>
      </c>
      <c r="G298" s="24">
        <v>0.97</v>
      </c>
      <c r="H298" s="30" t="s">
        <v>49</v>
      </c>
      <c r="I298" s="30" t="s">
        <v>1779</v>
      </c>
      <c r="J298" s="30"/>
      <c r="K298" s="30" t="s">
        <v>59</v>
      </c>
      <c r="L298" s="30" t="s">
        <v>2482</v>
      </c>
      <c r="M298" s="30"/>
    </row>
    <row r="299" spans="1:13" x14ac:dyDescent="0.3">
      <c r="A299" s="27">
        <v>45814</v>
      </c>
      <c r="B299" s="27">
        <v>45814</v>
      </c>
      <c r="C299" s="28">
        <v>45.07</v>
      </c>
      <c r="D299" s="28">
        <v>0</v>
      </c>
      <c r="E299" s="28"/>
      <c r="F299" s="28" t="s">
        <v>4</v>
      </c>
      <c r="G299" s="24">
        <v>0.97</v>
      </c>
      <c r="H299" s="28" t="s">
        <v>49</v>
      </c>
      <c r="I299" s="28" t="s">
        <v>1779</v>
      </c>
      <c r="J299" s="28"/>
      <c r="K299" s="28" t="s">
        <v>50</v>
      </c>
      <c r="L299" s="28" t="s">
        <v>2482</v>
      </c>
      <c r="M299" s="28"/>
    </row>
    <row r="300" spans="1:13" x14ac:dyDescent="0.3">
      <c r="A300" s="25">
        <v>45814</v>
      </c>
      <c r="B300" s="25">
        <v>45814</v>
      </c>
      <c r="C300" s="26">
        <v>0</v>
      </c>
      <c r="D300" s="26">
        <v>273.06</v>
      </c>
      <c r="E300" s="26"/>
      <c r="F300" s="26" t="s">
        <v>3</v>
      </c>
      <c r="G300" s="24">
        <v>0.93</v>
      </c>
      <c r="H300" s="26" t="s">
        <v>49</v>
      </c>
      <c r="I300" s="26" t="s">
        <v>1779</v>
      </c>
      <c r="J300" s="26"/>
      <c r="K300" s="26" t="s">
        <v>230</v>
      </c>
      <c r="L300" s="26" t="s">
        <v>2482</v>
      </c>
      <c r="M300" s="26"/>
    </row>
    <row r="301" spans="1:13" x14ac:dyDescent="0.3">
      <c r="A301" s="103">
        <v>45814.822766203702</v>
      </c>
      <c r="B301" s="103">
        <v>45814</v>
      </c>
      <c r="C301" s="104">
        <v>48</v>
      </c>
      <c r="D301" s="104">
        <v>0</v>
      </c>
      <c r="E301" s="104"/>
      <c r="F301" s="104" t="s">
        <v>983</v>
      </c>
      <c r="G301" s="40">
        <v>0.82</v>
      </c>
      <c r="H301" s="104" t="s">
        <v>131</v>
      </c>
      <c r="I301" s="104" t="s">
        <v>1019</v>
      </c>
      <c r="J301" s="104"/>
      <c r="K301" s="104" t="s">
        <v>2036</v>
      </c>
      <c r="L301" s="104" t="s">
        <v>2483</v>
      </c>
      <c r="M301" s="104"/>
    </row>
    <row r="302" spans="1:13" x14ac:dyDescent="0.3">
      <c r="A302" s="31">
        <v>45815</v>
      </c>
      <c r="B302" s="31">
        <v>45815</v>
      </c>
      <c r="C302" s="32">
        <v>0</v>
      </c>
      <c r="D302" s="32">
        <v>1880</v>
      </c>
      <c r="E302" s="32"/>
      <c r="F302" s="32" t="s">
        <v>6</v>
      </c>
      <c r="G302" s="24">
        <v>0.95</v>
      </c>
      <c r="H302" s="32" t="s">
        <v>63</v>
      </c>
      <c r="I302" s="32" t="s">
        <v>1779</v>
      </c>
      <c r="J302" s="32"/>
      <c r="K302" s="32" t="s">
        <v>234</v>
      </c>
      <c r="L302" s="32" t="s">
        <v>2482</v>
      </c>
      <c r="M302" s="32"/>
    </row>
    <row r="303" spans="1:13" x14ac:dyDescent="0.3">
      <c r="A303" s="101">
        <v>45815.895567129628</v>
      </c>
      <c r="B303" s="101">
        <v>45815</v>
      </c>
      <c r="C303" s="102">
        <v>25</v>
      </c>
      <c r="D303" s="102">
        <v>0</v>
      </c>
      <c r="E303" s="102"/>
      <c r="F303" s="102" t="s">
        <v>985</v>
      </c>
      <c r="G303" s="40">
        <v>0.68</v>
      </c>
      <c r="H303" s="102" t="s">
        <v>91</v>
      </c>
      <c r="I303" s="102" t="s">
        <v>1019</v>
      </c>
      <c r="J303" s="102"/>
      <c r="K303" s="102" t="s">
        <v>2038</v>
      </c>
      <c r="L303" s="102" t="s">
        <v>2483</v>
      </c>
      <c r="M303" s="102" t="s">
        <v>2485</v>
      </c>
    </row>
    <row r="304" spans="1:13" x14ac:dyDescent="0.3">
      <c r="A304" s="101">
        <v>45815.897685185177</v>
      </c>
      <c r="B304" s="101">
        <v>45815</v>
      </c>
      <c r="C304" s="102">
        <v>25</v>
      </c>
      <c r="D304" s="102">
        <v>0</v>
      </c>
      <c r="E304" s="102"/>
      <c r="F304" s="102" t="s">
        <v>985</v>
      </c>
      <c r="G304" s="40">
        <v>0.68</v>
      </c>
      <c r="H304" s="102" t="s">
        <v>91</v>
      </c>
      <c r="I304" s="102" t="s">
        <v>1019</v>
      </c>
      <c r="J304" s="102"/>
      <c r="K304" s="102" t="s">
        <v>2040</v>
      </c>
      <c r="L304" s="102" t="s">
        <v>2483</v>
      </c>
      <c r="M304" s="102" t="s">
        <v>2485</v>
      </c>
    </row>
    <row r="305" spans="1:13" x14ac:dyDescent="0.3">
      <c r="A305" s="103">
        <v>45816.434652777767</v>
      </c>
      <c r="B305" s="103">
        <v>45816</v>
      </c>
      <c r="C305" s="104">
        <v>46</v>
      </c>
      <c r="D305" s="104">
        <v>0</v>
      </c>
      <c r="E305" s="104"/>
      <c r="F305" s="104" t="s">
        <v>983</v>
      </c>
      <c r="G305" s="40">
        <v>0.82</v>
      </c>
      <c r="H305" s="104" t="s">
        <v>131</v>
      </c>
      <c r="I305" s="104" t="s">
        <v>1019</v>
      </c>
      <c r="J305" s="104"/>
      <c r="K305" s="104" t="s">
        <v>2042</v>
      </c>
      <c r="L305" s="104" t="s">
        <v>2483</v>
      </c>
      <c r="M305" s="104"/>
    </row>
    <row r="306" spans="1:13" x14ac:dyDescent="0.3">
      <c r="A306" s="101">
        <v>45816.722858796304</v>
      </c>
      <c r="B306" s="101">
        <v>45816</v>
      </c>
      <c r="C306" s="102">
        <v>120</v>
      </c>
      <c r="D306" s="102">
        <v>0</v>
      </c>
      <c r="E306" s="102"/>
      <c r="F306" s="102" t="s">
        <v>985</v>
      </c>
      <c r="G306" s="40">
        <v>0.68</v>
      </c>
      <c r="H306" s="102" t="s">
        <v>91</v>
      </c>
      <c r="I306" s="102" t="s">
        <v>1019</v>
      </c>
      <c r="J306" s="102"/>
      <c r="K306" s="102" t="s">
        <v>2044</v>
      </c>
      <c r="L306" s="102" t="s">
        <v>2483</v>
      </c>
      <c r="M306" s="102"/>
    </row>
    <row r="307" spans="1:13" x14ac:dyDescent="0.3">
      <c r="A307" s="27">
        <v>45817</v>
      </c>
      <c r="B307" s="27">
        <v>45817</v>
      </c>
      <c r="C307" s="28">
        <v>135.63</v>
      </c>
      <c r="D307" s="28">
        <v>0</v>
      </c>
      <c r="E307" s="28"/>
      <c r="F307" s="28" t="s">
        <v>4</v>
      </c>
      <c r="G307" s="24">
        <v>0.97</v>
      </c>
      <c r="H307" s="28" t="s">
        <v>49</v>
      </c>
      <c r="I307" s="28" t="s">
        <v>1779</v>
      </c>
      <c r="J307" s="28"/>
      <c r="K307" s="28" t="s">
        <v>50</v>
      </c>
      <c r="L307" s="28" t="s">
        <v>2482</v>
      </c>
      <c r="M307" s="28"/>
    </row>
    <row r="308" spans="1:13" x14ac:dyDescent="0.3">
      <c r="A308" s="31">
        <v>45817.651921296303</v>
      </c>
      <c r="B308" s="31">
        <v>45817</v>
      </c>
      <c r="C308" s="32">
        <v>0</v>
      </c>
      <c r="D308" s="32">
        <v>122.22</v>
      </c>
      <c r="E308" s="32"/>
      <c r="F308" s="32" t="s">
        <v>1813</v>
      </c>
      <c r="G308" s="24">
        <v>0.9</v>
      </c>
      <c r="H308" s="32" t="s">
        <v>2048</v>
      </c>
      <c r="I308" s="32" t="s">
        <v>1019</v>
      </c>
      <c r="J308" s="32"/>
      <c r="K308" s="32" t="s">
        <v>2046</v>
      </c>
      <c r="L308" s="32" t="s">
        <v>2483</v>
      </c>
      <c r="M308" s="32"/>
    </row>
    <row r="309" spans="1:13" x14ac:dyDescent="0.3">
      <c r="A309" s="27">
        <v>45818</v>
      </c>
      <c r="B309" s="27">
        <v>45818</v>
      </c>
      <c r="C309" s="28">
        <v>45.21</v>
      </c>
      <c r="D309" s="28">
        <v>0</v>
      </c>
      <c r="E309" s="28"/>
      <c r="F309" s="28" t="s">
        <v>4</v>
      </c>
      <c r="G309" s="24">
        <v>0.97</v>
      </c>
      <c r="H309" s="28" t="s">
        <v>49</v>
      </c>
      <c r="I309" s="28" t="s">
        <v>1779</v>
      </c>
      <c r="J309" s="28"/>
      <c r="K309" s="28" t="s">
        <v>50</v>
      </c>
      <c r="L309" s="28" t="s">
        <v>2482</v>
      </c>
      <c r="M309" s="28"/>
    </row>
    <row r="310" spans="1:13" x14ac:dyDescent="0.3">
      <c r="A310" s="25">
        <v>45818</v>
      </c>
      <c r="B310" s="25">
        <v>45818</v>
      </c>
      <c r="C310" s="26">
        <v>0</v>
      </c>
      <c r="D310" s="26">
        <v>207.13</v>
      </c>
      <c r="E310" s="26"/>
      <c r="F310" s="26" t="s">
        <v>3</v>
      </c>
      <c r="G310" s="24">
        <v>0.93</v>
      </c>
      <c r="H310" s="26" t="s">
        <v>49</v>
      </c>
      <c r="I310" s="26" t="s">
        <v>1779</v>
      </c>
      <c r="J310" s="26"/>
      <c r="K310" s="26" t="s">
        <v>237</v>
      </c>
      <c r="L310" s="26" t="s">
        <v>2482</v>
      </c>
      <c r="M310" s="26"/>
    </row>
    <row r="311" spans="1:13" x14ac:dyDescent="0.3">
      <c r="A311" s="103">
        <v>45818.827615740738</v>
      </c>
      <c r="B311" s="103">
        <v>45818</v>
      </c>
      <c r="C311" s="104">
        <v>24</v>
      </c>
      <c r="D311" s="104">
        <v>0</v>
      </c>
      <c r="E311" s="104"/>
      <c r="F311" s="104" t="s">
        <v>983</v>
      </c>
      <c r="G311" s="40">
        <v>0.82</v>
      </c>
      <c r="H311" s="104" t="s">
        <v>131</v>
      </c>
      <c r="I311" s="104" t="s">
        <v>1019</v>
      </c>
      <c r="J311" s="104"/>
      <c r="K311" s="104" t="s">
        <v>2049</v>
      </c>
      <c r="L311" s="104" t="s">
        <v>2483</v>
      </c>
      <c r="M311" s="104"/>
    </row>
    <row r="312" spans="1:13" x14ac:dyDescent="0.3">
      <c r="A312" s="101">
        <v>45818.96266203704</v>
      </c>
      <c r="B312" s="101">
        <v>45818</v>
      </c>
      <c r="C312" s="102">
        <v>1010</v>
      </c>
      <c r="D312" s="102">
        <v>0</v>
      </c>
      <c r="E312" s="102"/>
      <c r="F312" s="102" t="s">
        <v>976</v>
      </c>
      <c r="G312" s="24">
        <v>0.85</v>
      </c>
      <c r="H312" s="102" t="s">
        <v>1028</v>
      </c>
      <c r="I312" s="102" t="s">
        <v>1019</v>
      </c>
      <c r="J312" s="102"/>
      <c r="K312" s="102" t="s">
        <v>2051</v>
      </c>
      <c r="L312" s="102" t="s">
        <v>2483</v>
      </c>
      <c r="M312" s="102"/>
    </row>
    <row r="313" spans="1:13" x14ac:dyDescent="0.3">
      <c r="A313" s="27">
        <v>45819</v>
      </c>
      <c r="B313" s="27">
        <v>45819</v>
      </c>
      <c r="C313" s="28">
        <v>45.29</v>
      </c>
      <c r="D313" s="28">
        <v>0</v>
      </c>
      <c r="E313" s="28"/>
      <c r="F313" s="28" t="s">
        <v>4</v>
      </c>
      <c r="G313" s="24">
        <v>0.97</v>
      </c>
      <c r="H313" s="28" t="s">
        <v>49</v>
      </c>
      <c r="I313" s="28" t="s">
        <v>1779</v>
      </c>
      <c r="J313" s="28"/>
      <c r="K313" s="28" t="s">
        <v>50</v>
      </c>
      <c r="L313" s="28" t="s">
        <v>2482</v>
      </c>
      <c r="M313" s="28"/>
    </row>
    <row r="314" spans="1:13" x14ac:dyDescent="0.3">
      <c r="A314" s="25">
        <v>45819</v>
      </c>
      <c r="B314" s="25">
        <v>45819</v>
      </c>
      <c r="C314" s="26">
        <v>0</v>
      </c>
      <c r="D314" s="26">
        <v>364.34</v>
      </c>
      <c r="E314" s="26"/>
      <c r="F314" s="26" t="s">
        <v>3</v>
      </c>
      <c r="G314" s="24">
        <v>0.93</v>
      </c>
      <c r="H314" s="26" t="s">
        <v>49</v>
      </c>
      <c r="I314" s="26" t="s">
        <v>1779</v>
      </c>
      <c r="J314" s="26"/>
      <c r="K314" s="26" t="s">
        <v>240</v>
      </c>
      <c r="L314" s="26" t="s">
        <v>2482</v>
      </c>
      <c r="M314" s="26"/>
    </row>
    <row r="315" spans="1:13" x14ac:dyDescent="0.3">
      <c r="A315" s="101">
        <v>45819.008379629631</v>
      </c>
      <c r="B315" s="101">
        <v>45819</v>
      </c>
      <c r="C315" s="102">
        <v>1000</v>
      </c>
      <c r="D315" s="102">
        <v>0</v>
      </c>
      <c r="E315" s="102"/>
      <c r="F315" s="102" t="s">
        <v>976</v>
      </c>
      <c r="G315" s="24">
        <v>0.85</v>
      </c>
      <c r="H315" s="102" t="s">
        <v>1028</v>
      </c>
      <c r="I315" s="102" t="s">
        <v>1019</v>
      </c>
      <c r="J315" s="102"/>
      <c r="K315" s="102" t="s">
        <v>2053</v>
      </c>
      <c r="L315" s="102" t="s">
        <v>2483</v>
      </c>
      <c r="M315" s="102" t="s">
        <v>2485</v>
      </c>
    </row>
    <row r="316" spans="1:13" x14ac:dyDescent="0.3">
      <c r="A316" s="59">
        <v>45819.358506944453</v>
      </c>
      <c r="B316" s="59">
        <v>45819</v>
      </c>
      <c r="C316" s="60">
        <v>0</v>
      </c>
      <c r="D316" s="60">
        <v>501</v>
      </c>
      <c r="E316" s="60"/>
      <c r="F316" s="60" t="s">
        <v>29</v>
      </c>
      <c r="G316" s="24">
        <v>0.85</v>
      </c>
      <c r="H316" s="60" t="s">
        <v>606</v>
      </c>
      <c r="I316" s="60" t="s">
        <v>1019</v>
      </c>
      <c r="J316" s="60"/>
      <c r="K316" s="60" t="s">
        <v>2055</v>
      </c>
      <c r="L316" s="60" t="s">
        <v>2483</v>
      </c>
      <c r="M316" s="60"/>
    </row>
    <row r="317" spans="1:13" x14ac:dyDescent="0.3">
      <c r="A317" s="101">
        <v>45819.576354166667</v>
      </c>
      <c r="B317" s="101">
        <v>45819</v>
      </c>
      <c r="C317" s="102">
        <v>1000</v>
      </c>
      <c r="D317" s="102">
        <v>0</v>
      </c>
      <c r="E317" s="102"/>
      <c r="F317" s="102" t="s">
        <v>976</v>
      </c>
      <c r="G317" s="24">
        <v>0.85</v>
      </c>
      <c r="H317" s="102" t="s">
        <v>1028</v>
      </c>
      <c r="I317" s="102" t="s">
        <v>1019</v>
      </c>
      <c r="J317" s="102"/>
      <c r="K317" s="102" t="s">
        <v>2057</v>
      </c>
      <c r="L317" s="102" t="s">
        <v>2483</v>
      </c>
      <c r="M317" s="102" t="s">
        <v>2485</v>
      </c>
    </row>
    <row r="318" spans="1:13" x14ac:dyDescent="0.3">
      <c r="A318" s="101">
        <v>45819.579594907409</v>
      </c>
      <c r="B318" s="101">
        <v>45819</v>
      </c>
      <c r="C318" s="102">
        <v>1000</v>
      </c>
      <c r="D318" s="102">
        <v>0</v>
      </c>
      <c r="E318" s="102"/>
      <c r="F318" s="102" t="s">
        <v>976</v>
      </c>
      <c r="G318" s="24">
        <v>0.85</v>
      </c>
      <c r="H318" s="102" t="s">
        <v>1028</v>
      </c>
      <c r="I318" s="102" t="s">
        <v>1019</v>
      </c>
      <c r="J318" s="102"/>
      <c r="K318" s="102" t="s">
        <v>2059</v>
      </c>
      <c r="L318" s="102" t="s">
        <v>2483</v>
      </c>
      <c r="M318" s="102" t="s">
        <v>2485</v>
      </c>
    </row>
    <row r="319" spans="1:13" x14ac:dyDescent="0.3">
      <c r="A319" s="83">
        <v>45819.625787037039</v>
      </c>
      <c r="B319" s="83">
        <v>45819</v>
      </c>
      <c r="C319" s="84">
        <v>1574.5</v>
      </c>
      <c r="D319" s="84">
        <v>0</v>
      </c>
      <c r="E319" s="84"/>
      <c r="F319" s="84" t="s">
        <v>973</v>
      </c>
      <c r="G319" s="40">
        <v>0.68</v>
      </c>
      <c r="H319" s="84" t="s">
        <v>1014</v>
      </c>
      <c r="I319" s="84" t="s">
        <v>1019</v>
      </c>
      <c r="J319" s="84"/>
      <c r="K319" s="84" t="s">
        <v>2061</v>
      </c>
      <c r="L319" s="84" t="s">
        <v>2483</v>
      </c>
      <c r="M319" s="84"/>
    </row>
    <row r="320" spans="1:13" x14ac:dyDescent="0.3">
      <c r="A320" s="83">
        <v>45819.651076388887</v>
      </c>
      <c r="B320" s="83">
        <v>45819</v>
      </c>
      <c r="C320" s="84">
        <v>1874.5</v>
      </c>
      <c r="D320" s="84">
        <v>0</v>
      </c>
      <c r="E320" s="84"/>
      <c r="F320" s="84" t="s">
        <v>973</v>
      </c>
      <c r="G320" s="40">
        <v>0.68</v>
      </c>
      <c r="H320" s="84" t="s">
        <v>1014</v>
      </c>
      <c r="I320" s="84" t="s">
        <v>1019</v>
      </c>
      <c r="J320" s="84"/>
      <c r="K320" s="84" t="s">
        <v>2063</v>
      </c>
      <c r="L320" s="84" t="s">
        <v>2483</v>
      </c>
      <c r="M320" s="84"/>
    </row>
    <row r="321" spans="1:13" x14ac:dyDescent="0.3">
      <c r="A321" s="103">
        <v>45819.908773148149</v>
      </c>
      <c r="B321" s="103">
        <v>45819</v>
      </c>
      <c r="C321" s="104">
        <v>48</v>
      </c>
      <c r="D321" s="104">
        <v>0</v>
      </c>
      <c r="E321" s="104"/>
      <c r="F321" s="104" t="s">
        <v>983</v>
      </c>
      <c r="G321" s="40">
        <v>0.82</v>
      </c>
      <c r="H321" s="104" t="s">
        <v>131</v>
      </c>
      <c r="I321" s="104" t="s">
        <v>1019</v>
      </c>
      <c r="J321" s="104"/>
      <c r="K321" s="104" t="s">
        <v>2065</v>
      </c>
      <c r="L321" s="104" t="s">
        <v>2483</v>
      </c>
      <c r="M321" s="104"/>
    </row>
    <row r="322" spans="1:13" x14ac:dyDescent="0.3">
      <c r="A322" s="27">
        <v>45820</v>
      </c>
      <c r="B322" s="27">
        <v>45820</v>
      </c>
      <c r="C322" s="28">
        <v>672.11</v>
      </c>
      <c r="D322" s="28">
        <v>0</v>
      </c>
      <c r="E322" s="28"/>
      <c r="F322" s="28" t="s">
        <v>4</v>
      </c>
      <c r="G322" s="24">
        <v>0.97</v>
      </c>
      <c r="H322" s="28" t="s">
        <v>49</v>
      </c>
      <c r="I322" s="28" t="s">
        <v>1779</v>
      </c>
      <c r="J322" s="28"/>
      <c r="K322" s="28" t="s">
        <v>50</v>
      </c>
      <c r="L322" s="28" t="s">
        <v>2482</v>
      </c>
      <c r="M322" s="28"/>
    </row>
    <row r="323" spans="1:13" x14ac:dyDescent="0.3">
      <c r="A323" s="25">
        <v>45820</v>
      </c>
      <c r="B323" s="25">
        <v>45820</v>
      </c>
      <c r="C323" s="26">
        <v>0</v>
      </c>
      <c r="D323" s="26">
        <v>108.36</v>
      </c>
      <c r="E323" s="26"/>
      <c r="F323" s="26" t="s">
        <v>3</v>
      </c>
      <c r="G323" s="24">
        <v>0.93</v>
      </c>
      <c r="H323" s="26" t="s">
        <v>49</v>
      </c>
      <c r="I323" s="26" t="s">
        <v>1779</v>
      </c>
      <c r="J323" s="26"/>
      <c r="K323" s="26" t="s">
        <v>243</v>
      </c>
      <c r="L323" s="26" t="s">
        <v>2482</v>
      </c>
      <c r="M323" s="26"/>
    </row>
    <row r="324" spans="1:13" x14ac:dyDescent="0.3">
      <c r="A324" s="27">
        <v>45820</v>
      </c>
      <c r="B324" s="27">
        <v>45820</v>
      </c>
      <c r="C324" s="28">
        <v>45.42</v>
      </c>
      <c r="D324" s="28">
        <v>0</v>
      </c>
      <c r="E324" s="28"/>
      <c r="F324" s="28" t="s">
        <v>4</v>
      </c>
      <c r="G324" s="24">
        <v>0.97</v>
      </c>
      <c r="H324" s="28" t="s">
        <v>49</v>
      </c>
      <c r="I324" s="28" t="s">
        <v>1779</v>
      </c>
      <c r="J324" s="28"/>
      <c r="K324" s="28" t="s">
        <v>50</v>
      </c>
      <c r="L324" s="28" t="s">
        <v>2482</v>
      </c>
      <c r="M324" s="28"/>
    </row>
    <row r="325" spans="1:13" x14ac:dyDescent="0.3">
      <c r="A325" s="33">
        <v>45820</v>
      </c>
      <c r="B325" s="33">
        <v>45820</v>
      </c>
      <c r="C325" s="34">
        <v>295</v>
      </c>
      <c r="D325" s="34">
        <v>0</v>
      </c>
      <c r="E325" s="34"/>
      <c r="F325" s="34" t="s">
        <v>7</v>
      </c>
      <c r="G325" s="24">
        <v>0.9</v>
      </c>
      <c r="H325" s="34" t="s">
        <v>7</v>
      </c>
      <c r="I325" s="34" t="s">
        <v>1779</v>
      </c>
      <c r="J325" s="34"/>
      <c r="K325" s="34" t="s">
        <v>245</v>
      </c>
      <c r="L325" s="34" t="s">
        <v>2482</v>
      </c>
      <c r="M325" s="34"/>
    </row>
    <row r="326" spans="1:13" x14ac:dyDescent="0.3">
      <c r="A326" s="101">
        <v>45820.35733796296</v>
      </c>
      <c r="B326" s="101">
        <v>45820</v>
      </c>
      <c r="C326" s="102">
        <v>1001</v>
      </c>
      <c r="D326" s="102">
        <v>0</v>
      </c>
      <c r="E326" s="102"/>
      <c r="F326" s="102" t="s">
        <v>976</v>
      </c>
      <c r="G326" s="24">
        <v>0.85</v>
      </c>
      <c r="H326" s="102" t="s">
        <v>1028</v>
      </c>
      <c r="I326" s="102" t="s">
        <v>1019</v>
      </c>
      <c r="J326" s="102"/>
      <c r="K326" s="102" t="s">
        <v>2067</v>
      </c>
      <c r="L326" s="102" t="s">
        <v>2483</v>
      </c>
      <c r="M326" s="102"/>
    </row>
    <row r="327" spans="1:13" x14ac:dyDescent="0.3">
      <c r="A327" s="101">
        <v>45820.912361111114</v>
      </c>
      <c r="B327" s="101">
        <v>45820</v>
      </c>
      <c r="C327" s="102">
        <v>1000</v>
      </c>
      <c r="D327" s="102">
        <v>0</v>
      </c>
      <c r="E327" s="102"/>
      <c r="F327" s="102" t="s">
        <v>976</v>
      </c>
      <c r="G327" s="24">
        <v>0.85</v>
      </c>
      <c r="H327" s="102" t="s">
        <v>1028</v>
      </c>
      <c r="I327" s="102" t="s">
        <v>1019</v>
      </c>
      <c r="J327" s="102"/>
      <c r="K327" s="102" t="s">
        <v>2069</v>
      </c>
      <c r="L327" s="102" t="s">
        <v>2483</v>
      </c>
      <c r="M327" s="102" t="s">
        <v>2485</v>
      </c>
    </row>
    <row r="328" spans="1:13" x14ac:dyDescent="0.3">
      <c r="A328" s="101">
        <v>45820.957083333327</v>
      </c>
      <c r="B328" s="101">
        <v>45820</v>
      </c>
      <c r="C328" s="102">
        <v>1000</v>
      </c>
      <c r="D328" s="102">
        <v>0</v>
      </c>
      <c r="E328" s="102"/>
      <c r="F328" s="102" t="s">
        <v>976</v>
      </c>
      <c r="G328" s="24">
        <v>0.85</v>
      </c>
      <c r="H328" s="102" t="s">
        <v>1028</v>
      </c>
      <c r="I328" s="102" t="s">
        <v>1019</v>
      </c>
      <c r="J328" s="102"/>
      <c r="K328" s="102" t="s">
        <v>2071</v>
      </c>
      <c r="L328" s="102" t="s">
        <v>2483</v>
      </c>
      <c r="M328" s="102" t="s">
        <v>2485</v>
      </c>
    </row>
    <row r="329" spans="1:13" x14ac:dyDescent="0.3">
      <c r="A329" s="27">
        <v>45821</v>
      </c>
      <c r="B329" s="27">
        <v>45821</v>
      </c>
      <c r="C329" s="28">
        <v>45.22</v>
      </c>
      <c r="D329" s="28">
        <v>0</v>
      </c>
      <c r="E329" s="28"/>
      <c r="F329" s="28" t="s">
        <v>4</v>
      </c>
      <c r="G329" s="24">
        <v>0.97</v>
      </c>
      <c r="H329" s="28" t="s">
        <v>49</v>
      </c>
      <c r="I329" s="28" t="s">
        <v>1779</v>
      </c>
      <c r="J329" s="28"/>
      <c r="K329" s="28" t="s">
        <v>50</v>
      </c>
      <c r="L329" s="28" t="s">
        <v>2482</v>
      </c>
      <c r="M329" s="28"/>
    </row>
    <row r="330" spans="1:13" x14ac:dyDescent="0.3">
      <c r="A330" s="85">
        <v>45821</v>
      </c>
      <c r="B330" s="85">
        <v>45821</v>
      </c>
      <c r="C330" s="86">
        <v>15000</v>
      </c>
      <c r="D330" s="86">
        <v>0</v>
      </c>
      <c r="E330" s="86"/>
      <c r="F330" s="86" t="s">
        <v>974</v>
      </c>
      <c r="G330" s="24">
        <v>0.9</v>
      </c>
      <c r="H330" s="86" t="s">
        <v>1019</v>
      </c>
      <c r="I330" s="86" t="s">
        <v>1680</v>
      </c>
      <c r="J330" s="86"/>
      <c r="K330" s="86" t="s">
        <v>1037</v>
      </c>
      <c r="L330" s="86" t="s">
        <v>2484</v>
      </c>
      <c r="M330" s="86"/>
    </row>
    <row r="331" spans="1:13" x14ac:dyDescent="0.3">
      <c r="A331" s="83">
        <v>45821.349756944437</v>
      </c>
      <c r="B331" s="83">
        <v>45821</v>
      </c>
      <c r="C331" s="84">
        <v>0</v>
      </c>
      <c r="D331" s="84">
        <v>1470.72</v>
      </c>
      <c r="E331" s="84"/>
      <c r="F331" s="84" t="s">
        <v>973</v>
      </c>
      <c r="G331" s="24">
        <v>0.92</v>
      </c>
      <c r="H331" s="84" t="s">
        <v>1014</v>
      </c>
      <c r="I331" s="84" t="s">
        <v>1019</v>
      </c>
      <c r="J331" s="84"/>
      <c r="K331" s="84" t="s">
        <v>2073</v>
      </c>
      <c r="L331" s="84" t="s">
        <v>2483</v>
      </c>
      <c r="M331" s="84"/>
    </row>
    <row r="332" spans="1:13" x14ac:dyDescent="0.3">
      <c r="A332" s="101">
        <v>45821.427210648151</v>
      </c>
      <c r="B332" s="101">
        <v>45821</v>
      </c>
      <c r="C332" s="102">
        <v>1000</v>
      </c>
      <c r="D332" s="102">
        <v>0</v>
      </c>
      <c r="E332" s="102"/>
      <c r="F332" s="102" t="s">
        <v>976</v>
      </c>
      <c r="G332" s="24">
        <v>0.85</v>
      </c>
      <c r="H332" s="102" t="s">
        <v>1028</v>
      </c>
      <c r="I332" s="102" t="s">
        <v>1019</v>
      </c>
      <c r="J332" s="102"/>
      <c r="K332" s="102" t="s">
        <v>2075</v>
      </c>
      <c r="L332" s="102" t="s">
        <v>2483</v>
      </c>
      <c r="M332" s="102" t="s">
        <v>2485</v>
      </c>
    </row>
    <row r="333" spans="1:13" x14ac:dyDescent="0.3">
      <c r="A333" s="101">
        <v>45821.428148148138</v>
      </c>
      <c r="B333" s="101">
        <v>45821</v>
      </c>
      <c r="C333" s="102">
        <v>1000</v>
      </c>
      <c r="D333" s="102">
        <v>0</v>
      </c>
      <c r="E333" s="102"/>
      <c r="F333" s="102" t="s">
        <v>976</v>
      </c>
      <c r="G333" s="24">
        <v>0.85</v>
      </c>
      <c r="H333" s="102" t="s">
        <v>1028</v>
      </c>
      <c r="I333" s="102" t="s">
        <v>1019</v>
      </c>
      <c r="J333" s="102"/>
      <c r="K333" s="102" t="s">
        <v>2077</v>
      </c>
      <c r="L333" s="102" t="s">
        <v>2483</v>
      </c>
      <c r="M333" s="102" t="s">
        <v>2485</v>
      </c>
    </row>
    <row r="334" spans="1:13" x14ac:dyDescent="0.3">
      <c r="A334" s="27">
        <v>45821.590300925927</v>
      </c>
      <c r="B334" s="27">
        <v>45821</v>
      </c>
      <c r="C334" s="28">
        <v>0</v>
      </c>
      <c r="D334" s="28">
        <v>15000</v>
      </c>
      <c r="E334" s="28"/>
      <c r="F334" s="28" t="s">
        <v>1656</v>
      </c>
      <c r="G334" s="24">
        <v>0.95</v>
      </c>
      <c r="H334" s="28" t="s">
        <v>1680</v>
      </c>
      <c r="I334" s="28" t="s">
        <v>1019</v>
      </c>
      <c r="J334" s="28"/>
      <c r="K334" s="28" t="s">
        <v>2079</v>
      </c>
      <c r="L334" s="28" t="s">
        <v>2483</v>
      </c>
      <c r="M334" s="28"/>
    </row>
    <row r="335" spans="1:13" x14ac:dyDescent="0.3">
      <c r="A335" s="101">
        <v>45822.04928240741</v>
      </c>
      <c r="B335" s="101">
        <v>45822</v>
      </c>
      <c r="C335" s="102">
        <v>1000</v>
      </c>
      <c r="D335" s="102">
        <v>0</v>
      </c>
      <c r="E335" s="102"/>
      <c r="F335" s="102" t="s">
        <v>976</v>
      </c>
      <c r="G335" s="24">
        <v>0.85</v>
      </c>
      <c r="H335" s="102" t="s">
        <v>1028</v>
      </c>
      <c r="I335" s="102" t="s">
        <v>1019</v>
      </c>
      <c r="J335" s="102"/>
      <c r="K335" s="102" t="s">
        <v>2081</v>
      </c>
      <c r="L335" s="102" t="s">
        <v>2483</v>
      </c>
      <c r="M335" s="102" t="s">
        <v>2485</v>
      </c>
    </row>
    <row r="336" spans="1:13" x14ac:dyDescent="0.3">
      <c r="A336" s="101">
        <v>45822.490069444437</v>
      </c>
      <c r="B336" s="101">
        <v>45822</v>
      </c>
      <c r="C336" s="102">
        <v>1000</v>
      </c>
      <c r="D336" s="102">
        <v>0</v>
      </c>
      <c r="E336" s="102"/>
      <c r="F336" s="102" t="s">
        <v>976</v>
      </c>
      <c r="G336" s="24">
        <v>0.85</v>
      </c>
      <c r="H336" s="102" t="s">
        <v>1028</v>
      </c>
      <c r="I336" s="102" t="s">
        <v>1019</v>
      </c>
      <c r="J336" s="102"/>
      <c r="K336" s="102" t="s">
        <v>2083</v>
      </c>
      <c r="L336" s="102" t="s">
        <v>2483</v>
      </c>
      <c r="M336" s="102" t="s">
        <v>2485</v>
      </c>
    </row>
    <row r="337" spans="1:13" x14ac:dyDescent="0.3">
      <c r="A337" s="103">
        <v>45822.574374999997</v>
      </c>
      <c r="B337" s="103">
        <v>45822</v>
      </c>
      <c r="C337" s="104">
        <v>52</v>
      </c>
      <c r="D337" s="104">
        <v>0</v>
      </c>
      <c r="E337" s="104"/>
      <c r="F337" s="104" t="s">
        <v>983</v>
      </c>
      <c r="G337" s="40">
        <v>0.82</v>
      </c>
      <c r="H337" s="104" t="s">
        <v>131</v>
      </c>
      <c r="I337" s="104" t="s">
        <v>1019</v>
      </c>
      <c r="J337" s="104"/>
      <c r="K337" s="104" t="s">
        <v>2085</v>
      </c>
      <c r="L337" s="104" t="s">
        <v>2483</v>
      </c>
      <c r="M337" s="104"/>
    </row>
    <row r="338" spans="1:13" x14ac:dyDescent="0.3">
      <c r="A338" s="101">
        <v>45822.742268518523</v>
      </c>
      <c r="B338" s="101">
        <v>45822</v>
      </c>
      <c r="C338" s="102">
        <v>1000</v>
      </c>
      <c r="D338" s="102">
        <v>0</v>
      </c>
      <c r="E338" s="102"/>
      <c r="F338" s="102" t="s">
        <v>976</v>
      </c>
      <c r="G338" s="24">
        <v>0.85</v>
      </c>
      <c r="H338" s="102" t="s">
        <v>1028</v>
      </c>
      <c r="I338" s="102" t="s">
        <v>1019</v>
      </c>
      <c r="J338" s="102"/>
      <c r="K338" s="102" t="s">
        <v>2087</v>
      </c>
      <c r="L338" s="102" t="s">
        <v>2483</v>
      </c>
      <c r="M338" s="102" t="s">
        <v>2485</v>
      </c>
    </row>
    <row r="339" spans="1:13" x14ac:dyDescent="0.3">
      <c r="A339" s="101">
        <v>45823.02480324074</v>
      </c>
      <c r="B339" s="101">
        <v>45823</v>
      </c>
      <c r="C339" s="102">
        <v>1000</v>
      </c>
      <c r="D339" s="102">
        <v>0</v>
      </c>
      <c r="E339" s="102"/>
      <c r="F339" s="102" t="s">
        <v>976</v>
      </c>
      <c r="G339" s="24">
        <v>0.85</v>
      </c>
      <c r="H339" s="102" t="s">
        <v>1028</v>
      </c>
      <c r="I339" s="102" t="s">
        <v>1019</v>
      </c>
      <c r="J339" s="102"/>
      <c r="K339" s="102" t="s">
        <v>2089</v>
      </c>
      <c r="L339" s="102" t="s">
        <v>2483</v>
      </c>
      <c r="M339" s="102" t="s">
        <v>2485</v>
      </c>
    </row>
    <row r="340" spans="1:13" x14ac:dyDescent="0.3">
      <c r="A340" s="101">
        <v>45823.404120370367</v>
      </c>
      <c r="B340" s="101">
        <v>45823</v>
      </c>
      <c r="C340" s="102">
        <v>1000</v>
      </c>
      <c r="D340" s="102">
        <v>0</v>
      </c>
      <c r="E340" s="102"/>
      <c r="F340" s="102" t="s">
        <v>976</v>
      </c>
      <c r="G340" s="24">
        <v>0.85</v>
      </c>
      <c r="H340" s="102" t="s">
        <v>1028</v>
      </c>
      <c r="I340" s="102" t="s">
        <v>1019</v>
      </c>
      <c r="J340" s="102"/>
      <c r="K340" s="102" t="s">
        <v>2091</v>
      </c>
      <c r="L340" s="102" t="s">
        <v>2483</v>
      </c>
      <c r="M340" s="102" t="s">
        <v>2485</v>
      </c>
    </row>
    <row r="341" spans="1:13" x14ac:dyDescent="0.3">
      <c r="A341" s="101">
        <v>45823.628657407397</v>
      </c>
      <c r="B341" s="101">
        <v>45823</v>
      </c>
      <c r="C341" s="102">
        <v>1000</v>
      </c>
      <c r="D341" s="102">
        <v>0</v>
      </c>
      <c r="E341" s="102"/>
      <c r="F341" s="102" t="s">
        <v>976</v>
      </c>
      <c r="G341" s="24">
        <v>0.85</v>
      </c>
      <c r="H341" s="102" t="s">
        <v>1028</v>
      </c>
      <c r="I341" s="102" t="s">
        <v>1019</v>
      </c>
      <c r="J341" s="102"/>
      <c r="K341" s="102" t="s">
        <v>2093</v>
      </c>
      <c r="L341" s="102" t="s">
        <v>2483</v>
      </c>
      <c r="M341" s="102" t="s">
        <v>2485</v>
      </c>
    </row>
    <row r="342" spans="1:13" x14ac:dyDescent="0.3">
      <c r="A342" s="89">
        <v>45823.925532407397</v>
      </c>
      <c r="B342" s="89">
        <v>45823</v>
      </c>
      <c r="C342" s="90">
        <v>2720</v>
      </c>
      <c r="D342" s="90">
        <v>0</v>
      </c>
      <c r="E342" s="90" t="s">
        <v>2097</v>
      </c>
      <c r="F342" s="90" t="s">
        <v>975</v>
      </c>
      <c r="G342" s="39">
        <v>0.55000000000000004</v>
      </c>
      <c r="H342" s="90" t="s">
        <v>91</v>
      </c>
      <c r="I342" s="90" t="s">
        <v>1019</v>
      </c>
      <c r="J342" s="90"/>
      <c r="K342" s="90" t="s">
        <v>2095</v>
      </c>
      <c r="L342" s="90" t="s">
        <v>2483</v>
      </c>
      <c r="M342" s="90"/>
    </row>
    <row r="343" spans="1:13" x14ac:dyDescent="0.3">
      <c r="A343" s="27">
        <v>45824</v>
      </c>
      <c r="B343" s="27">
        <v>45824</v>
      </c>
      <c r="C343" s="28">
        <v>135.66</v>
      </c>
      <c r="D343" s="28">
        <v>0</v>
      </c>
      <c r="E343" s="28"/>
      <c r="F343" s="28" t="s">
        <v>4</v>
      </c>
      <c r="G343" s="24">
        <v>0.97</v>
      </c>
      <c r="H343" s="28" t="s">
        <v>49</v>
      </c>
      <c r="I343" s="28" t="s">
        <v>1779</v>
      </c>
      <c r="J343" s="28"/>
      <c r="K343" s="28" t="s">
        <v>50</v>
      </c>
      <c r="L343" s="28" t="s">
        <v>2482</v>
      </c>
      <c r="M343" s="28"/>
    </row>
    <row r="344" spans="1:13" x14ac:dyDescent="0.3">
      <c r="A344" s="25">
        <v>45824</v>
      </c>
      <c r="B344" s="25">
        <v>45824</v>
      </c>
      <c r="C344" s="26">
        <v>0</v>
      </c>
      <c r="D344" s="26">
        <v>17.45</v>
      </c>
      <c r="E344" s="26"/>
      <c r="F344" s="26" t="s">
        <v>3</v>
      </c>
      <c r="G344" s="24">
        <v>0.93</v>
      </c>
      <c r="H344" s="26" t="s">
        <v>49</v>
      </c>
      <c r="I344" s="26" t="s">
        <v>1779</v>
      </c>
      <c r="J344" s="26"/>
      <c r="K344" s="26" t="s">
        <v>250</v>
      </c>
      <c r="L344" s="26" t="s">
        <v>2482</v>
      </c>
      <c r="M344" s="26"/>
    </row>
    <row r="345" spans="1:13" x14ac:dyDescent="0.3">
      <c r="A345" s="101">
        <v>45824.375613425917</v>
      </c>
      <c r="B345" s="101">
        <v>45824</v>
      </c>
      <c r="C345" s="102">
        <v>1000</v>
      </c>
      <c r="D345" s="102">
        <v>0</v>
      </c>
      <c r="E345" s="102"/>
      <c r="F345" s="102" t="s">
        <v>976</v>
      </c>
      <c r="G345" s="24">
        <v>0.85</v>
      </c>
      <c r="H345" s="102" t="s">
        <v>1028</v>
      </c>
      <c r="I345" s="102" t="s">
        <v>1019</v>
      </c>
      <c r="J345" s="102"/>
      <c r="K345" s="102" t="s">
        <v>2098</v>
      </c>
      <c r="L345" s="102" t="s">
        <v>2483</v>
      </c>
      <c r="M345" s="102"/>
    </row>
    <row r="346" spans="1:13" x14ac:dyDescent="0.3">
      <c r="A346" s="103">
        <v>45824.393206018518</v>
      </c>
      <c r="B346" s="103">
        <v>45824</v>
      </c>
      <c r="C346" s="104">
        <v>74</v>
      </c>
      <c r="D346" s="104">
        <v>0</v>
      </c>
      <c r="E346" s="104"/>
      <c r="F346" s="104" t="s">
        <v>983</v>
      </c>
      <c r="G346" s="40">
        <v>0.82</v>
      </c>
      <c r="H346" s="104" t="s">
        <v>131</v>
      </c>
      <c r="I346" s="104" t="s">
        <v>1019</v>
      </c>
      <c r="J346" s="104"/>
      <c r="K346" s="104" t="s">
        <v>2100</v>
      </c>
      <c r="L346" s="104" t="s">
        <v>2483</v>
      </c>
      <c r="M346" s="104"/>
    </row>
    <row r="347" spans="1:13" x14ac:dyDescent="0.3">
      <c r="A347" s="101">
        <v>45824.508055555547</v>
      </c>
      <c r="B347" s="101">
        <v>45824</v>
      </c>
      <c r="C347" s="102">
        <v>500</v>
      </c>
      <c r="D347" s="102">
        <v>0</v>
      </c>
      <c r="E347" s="102"/>
      <c r="F347" s="102" t="s">
        <v>985</v>
      </c>
      <c r="G347" s="40">
        <v>0.68</v>
      </c>
      <c r="H347" s="102" t="s">
        <v>91</v>
      </c>
      <c r="I347" s="102" t="s">
        <v>1019</v>
      </c>
      <c r="J347" s="102"/>
      <c r="K347" s="102" t="s">
        <v>2102</v>
      </c>
      <c r="L347" s="102" t="s">
        <v>2483</v>
      </c>
      <c r="M347" s="102"/>
    </row>
    <row r="348" spans="1:13" x14ac:dyDescent="0.3">
      <c r="A348" s="27">
        <v>45825</v>
      </c>
      <c r="B348" s="27">
        <v>45825</v>
      </c>
      <c r="C348" s="28">
        <v>45.22</v>
      </c>
      <c r="D348" s="28">
        <v>0</v>
      </c>
      <c r="E348" s="28"/>
      <c r="F348" s="28" t="s">
        <v>4</v>
      </c>
      <c r="G348" s="24">
        <v>0.97</v>
      </c>
      <c r="H348" s="28" t="s">
        <v>49</v>
      </c>
      <c r="I348" s="28" t="s">
        <v>1779</v>
      </c>
      <c r="J348" s="28"/>
      <c r="K348" s="28" t="s">
        <v>50</v>
      </c>
      <c r="L348" s="28" t="s">
        <v>2482</v>
      </c>
      <c r="M348" s="28"/>
    </row>
    <row r="349" spans="1:13" x14ac:dyDescent="0.3">
      <c r="A349" s="25">
        <v>45825</v>
      </c>
      <c r="B349" s="25">
        <v>45825</v>
      </c>
      <c r="C349" s="26">
        <v>0</v>
      </c>
      <c r="D349" s="26">
        <v>307.55</v>
      </c>
      <c r="E349" s="26"/>
      <c r="F349" s="26" t="s">
        <v>3</v>
      </c>
      <c r="G349" s="24">
        <v>0.93</v>
      </c>
      <c r="H349" s="26" t="s">
        <v>49</v>
      </c>
      <c r="I349" s="26" t="s">
        <v>1779</v>
      </c>
      <c r="J349" s="26"/>
      <c r="K349" s="26" t="s">
        <v>253</v>
      </c>
      <c r="L349" s="26" t="s">
        <v>2482</v>
      </c>
      <c r="M349" s="26"/>
    </row>
    <row r="350" spans="1:13" x14ac:dyDescent="0.3">
      <c r="A350" s="101">
        <v>45825.382939814823</v>
      </c>
      <c r="B350" s="101">
        <v>45825</v>
      </c>
      <c r="C350" s="102">
        <v>1000</v>
      </c>
      <c r="D350" s="102">
        <v>0</v>
      </c>
      <c r="E350" s="102"/>
      <c r="F350" s="102" t="s">
        <v>976</v>
      </c>
      <c r="G350" s="24">
        <v>0.85</v>
      </c>
      <c r="H350" s="102" t="s">
        <v>1028</v>
      </c>
      <c r="I350" s="102" t="s">
        <v>1019</v>
      </c>
      <c r="J350" s="102"/>
      <c r="K350" s="102" t="s">
        <v>2104</v>
      </c>
      <c r="L350" s="102" t="s">
        <v>2483</v>
      </c>
      <c r="M350" s="102" t="s">
        <v>2485</v>
      </c>
    </row>
    <row r="351" spans="1:13" x14ac:dyDescent="0.3">
      <c r="A351" s="101">
        <v>45825.701041666667</v>
      </c>
      <c r="B351" s="101">
        <v>45825</v>
      </c>
      <c r="C351" s="102">
        <v>1000</v>
      </c>
      <c r="D351" s="102">
        <v>0</v>
      </c>
      <c r="E351" s="102"/>
      <c r="F351" s="102" t="s">
        <v>976</v>
      </c>
      <c r="G351" s="24">
        <v>0.85</v>
      </c>
      <c r="H351" s="102" t="s">
        <v>1028</v>
      </c>
      <c r="I351" s="102" t="s">
        <v>1019</v>
      </c>
      <c r="J351" s="102"/>
      <c r="K351" s="102" t="s">
        <v>2106</v>
      </c>
      <c r="L351" s="102" t="s">
        <v>2483</v>
      </c>
      <c r="M351" s="102" t="s">
        <v>2485</v>
      </c>
    </row>
    <row r="352" spans="1:13" x14ac:dyDescent="0.3">
      <c r="A352" s="103">
        <v>45825.934756944444</v>
      </c>
      <c r="B352" s="103">
        <v>45825</v>
      </c>
      <c r="C352" s="104">
        <v>46</v>
      </c>
      <c r="D352" s="104">
        <v>0</v>
      </c>
      <c r="E352" s="104"/>
      <c r="F352" s="104" t="s">
        <v>983</v>
      </c>
      <c r="G352" s="40">
        <v>0.82</v>
      </c>
      <c r="H352" s="104" t="s">
        <v>131</v>
      </c>
      <c r="I352" s="104" t="s">
        <v>1019</v>
      </c>
      <c r="J352" s="104"/>
      <c r="K352" s="104" t="s">
        <v>2108</v>
      </c>
      <c r="L352" s="104" t="s">
        <v>2483</v>
      </c>
      <c r="M352" s="104"/>
    </row>
    <row r="353" spans="1:13" x14ac:dyDescent="0.3">
      <c r="A353" s="27">
        <v>45826</v>
      </c>
      <c r="B353" s="27">
        <v>45826</v>
      </c>
      <c r="C353" s="28">
        <v>438.99</v>
      </c>
      <c r="D353" s="28">
        <v>0</v>
      </c>
      <c r="E353" s="28"/>
      <c r="F353" s="28" t="s">
        <v>4</v>
      </c>
      <c r="G353" s="24">
        <v>0.97</v>
      </c>
      <c r="H353" s="28" t="s">
        <v>49</v>
      </c>
      <c r="I353" s="28" t="s">
        <v>1779</v>
      </c>
      <c r="J353" s="28"/>
      <c r="K353" s="28" t="s">
        <v>50</v>
      </c>
      <c r="L353" s="28" t="s">
        <v>2482</v>
      </c>
      <c r="M353" s="28"/>
    </row>
    <row r="354" spans="1:13" x14ac:dyDescent="0.3">
      <c r="A354" s="27">
        <v>45826</v>
      </c>
      <c r="B354" s="27">
        <v>45826</v>
      </c>
      <c r="C354" s="28">
        <v>45.22</v>
      </c>
      <c r="D354" s="28">
        <v>0</v>
      </c>
      <c r="E354" s="28"/>
      <c r="F354" s="28" t="s">
        <v>4</v>
      </c>
      <c r="G354" s="24">
        <v>0.97</v>
      </c>
      <c r="H354" s="28" t="s">
        <v>49</v>
      </c>
      <c r="I354" s="28" t="s">
        <v>1779</v>
      </c>
      <c r="J354" s="28"/>
      <c r="K354" s="28" t="s">
        <v>50</v>
      </c>
      <c r="L354" s="28" t="s">
        <v>2482</v>
      </c>
      <c r="M354" s="28"/>
    </row>
    <row r="355" spans="1:13" x14ac:dyDescent="0.3">
      <c r="A355" s="27">
        <v>45826</v>
      </c>
      <c r="B355" s="27">
        <v>45826</v>
      </c>
      <c r="C355" s="28">
        <v>325.67</v>
      </c>
      <c r="D355" s="28">
        <v>0</v>
      </c>
      <c r="E355" s="28"/>
      <c r="F355" s="28" t="s">
        <v>4</v>
      </c>
      <c r="G355" s="24">
        <v>0.97</v>
      </c>
      <c r="H355" s="28" t="s">
        <v>49</v>
      </c>
      <c r="I355" s="28" t="s">
        <v>1779</v>
      </c>
      <c r="J355" s="28"/>
      <c r="K355" s="28" t="s">
        <v>50</v>
      </c>
      <c r="L355" s="28" t="s">
        <v>2482</v>
      </c>
      <c r="M355" s="28"/>
    </row>
    <row r="356" spans="1:13" x14ac:dyDescent="0.3">
      <c r="A356" s="101">
        <v>45826.073981481481</v>
      </c>
      <c r="B356" s="101">
        <v>45826</v>
      </c>
      <c r="C356" s="102">
        <v>1000</v>
      </c>
      <c r="D356" s="102">
        <v>0</v>
      </c>
      <c r="E356" s="102"/>
      <c r="F356" s="102" t="s">
        <v>976</v>
      </c>
      <c r="G356" s="24">
        <v>0.85</v>
      </c>
      <c r="H356" s="102" t="s">
        <v>1028</v>
      </c>
      <c r="I356" s="102" t="s">
        <v>1019</v>
      </c>
      <c r="J356" s="102"/>
      <c r="K356" s="102" t="s">
        <v>2110</v>
      </c>
      <c r="L356" s="102" t="s">
        <v>2483</v>
      </c>
      <c r="M356" s="102"/>
    </row>
    <row r="357" spans="1:13" x14ac:dyDescent="0.3">
      <c r="A357" s="103">
        <v>45826.46125</v>
      </c>
      <c r="B357" s="103">
        <v>45826</v>
      </c>
      <c r="C357" s="104">
        <v>28</v>
      </c>
      <c r="D357" s="104">
        <v>0</v>
      </c>
      <c r="E357" s="104"/>
      <c r="F357" s="104" t="s">
        <v>983</v>
      </c>
      <c r="G357" s="40">
        <v>0.82</v>
      </c>
      <c r="H357" s="104" t="s">
        <v>131</v>
      </c>
      <c r="I357" s="104" t="s">
        <v>1019</v>
      </c>
      <c r="J357" s="104"/>
      <c r="K357" s="104" t="s">
        <v>2112</v>
      </c>
      <c r="L357" s="104" t="s">
        <v>2483</v>
      </c>
      <c r="M357" s="104"/>
    </row>
    <row r="358" spans="1:13" x14ac:dyDescent="0.3">
      <c r="A358" s="27">
        <v>45827</v>
      </c>
      <c r="B358" s="27">
        <v>45827</v>
      </c>
      <c r="C358" s="28">
        <v>45.06</v>
      </c>
      <c r="D358" s="28">
        <v>0</v>
      </c>
      <c r="E358" s="28"/>
      <c r="F358" s="28" t="s">
        <v>4</v>
      </c>
      <c r="G358" s="24">
        <v>0.97</v>
      </c>
      <c r="H358" s="28" t="s">
        <v>49</v>
      </c>
      <c r="I358" s="28" t="s">
        <v>1779</v>
      </c>
      <c r="J358" s="28"/>
      <c r="K358" s="28" t="s">
        <v>50</v>
      </c>
      <c r="L358" s="28" t="s">
        <v>2482</v>
      </c>
      <c r="M358" s="28"/>
    </row>
    <row r="359" spans="1:13" x14ac:dyDescent="0.3">
      <c r="A359" s="35">
        <v>45827</v>
      </c>
      <c r="B359" s="35">
        <v>45827</v>
      </c>
      <c r="C359" s="36">
        <v>719.8</v>
      </c>
      <c r="D359" s="36">
        <v>0</v>
      </c>
      <c r="E359" s="36"/>
      <c r="F359" s="36" t="s">
        <v>9</v>
      </c>
      <c r="G359" s="24">
        <v>0.93</v>
      </c>
      <c r="H359" s="36" t="s">
        <v>9</v>
      </c>
      <c r="I359" s="36" t="s">
        <v>1779</v>
      </c>
      <c r="J359" s="36"/>
      <c r="K359" s="36" t="s">
        <v>259</v>
      </c>
      <c r="L359" s="36" t="s">
        <v>2482</v>
      </c>
      <c r="M359" s="36"/>
    </row>
    <row r="360" spans="1:13" x14ac:dyDescent="0.3">
      <c r="A360" s="27">
        <v>45827</v>
      </c>
      <c r="B360" s="27">
        <v>45827</v>
      </c>
      <c r="C360" s="28">
        <v>772.7</v>
      </c>
      <c r="D360" s="28">
        <v>0</v>
      </c>
      <c r="E360" s="28"/>
      <c r="F360" s="28" t="s">
        <v>4</v>
      </c>
      <c r="G360" s="24">
        <v>0.97</v>
      </c>
      <c r="H360" s="28" t="s">
        <v>49</v>
      </c>
      <c r="I360" s="28" t="s">
        <v>1779</v>
      </c>
      <c r="J360" s="28"/>
      <c r="K360" s="28" t="s">
        <v>50</v>
      </c>
      <c r="L360" s="28" t="s">
        <v>2482</v>
      </c>
      <c r="M360" s="28"/>
    </row>
    <row r="361" spans="1:13" x14ac:dyDescent="0.3">
      <c r="A361" s="101">
        <v>45827.364814814813</v>
      </c>
      <c r="B361" s="101">
        <v>45827</v>
      </c>
      <c r="C361" s="102">
        <v>1000</v>
      </c>
      <c r="D361" s="102">
        <v>0</v>
      </c>
      <c r="E361" s="102"/>
      <c r="F361" s="102" t="s">
        <v>976</v>
      </c>
      <c r="G361" s="24">
        <v>0.85</v>
      </c>
      <c r="H361" s="102" t="s">
        <v>1028</v>
      </c>
      <c r="I361" s="102" t="s">
        <v>1019</v>
      </c>
      <c r="J361" s="102"/>
      <c r="K361" s="102" t="s">
        <v>2114</v>
      </c>
      <c r="L361" s="102" t="s">
        <v>2483</v>
      </c>
      <c r="M361" s="102"/>
    </row>
    <row r="362" spans="1:13" x14ac:dyDescent="0.3">
      <c r="A362" s="101">
        <v>45827.907696759263</v>
      </c>
      <c r="B362" s="101">
        <v>45827</v>
      </c>
      <c r="C362" s="102">
        <v>349.07</v>
      </c>
      <c r="D362" s="102">
        <v>0</v>
      </c>
      <c r="E362" s="102"/>
      <c r="F362" s="102" t="s">
        <v>985</v>
      </c>
      <c r="G362" s="40">
        <v>0.68</v>
      </c>
      <c r="H362" s="102" t="s">
        <v>91</v>
      </c>
      <c r="I362" s="102" t="s">
        <v>1019</v>
      </c>
      <c r="J362" s="102"/>
      <c r="K362" s="102" t="s">
        <v>2116</v>
      </c>
      <c r="L362" s="102" t="s">
        <v>2483</v>
      </c>
      <c r="M362" s="102"/>
    </row>
    <row r="363" spans="1:13" x14ac:dyDescent="0.3">
      <c r="A363" s="103">
        <v>45827.913877314822</v>
      </c>
      <c r="B363" s="103">
        <v>45827</v>
      </c>
      <c r="C363" s="104">
        <v>40</v>
      </c>
      <c r="D363" s="104">
        <v>0</v>
      </c>
      <c r="E363" s="104"/>
      <c r="F363" s="104" t="s">
        <v>983</v>
      </c>
      <c r="G363" s="40">
        <v>0.82</v>
      </c>
      <c r="H363" s="104" t="s">
        <v>131</v>
      </c>
      <c r="I363" s="104" t="s">
        <v>1019</v>
      </c>
      <c r="J363" s="104"/>
      <c r="K363" s="104" t="s">
        <v>2118</v>
      </c>
      <c r="L363" s="104" t="s">
        <v>2483</v>
      </c>
      <c r="M363" s="104"/>
    </row>
    <row r="364" spans="1:13" x14ac:dyDescent="0.3">
      <c r="A364" s="27">
        <v>45828</v>
      </c>
      <c r="B364" s="27">
        <v>45828</v>
      </c>
      <c r="C364" s="28">
        <v>44.79</v>
      </c>
      <c r="D364" s="28">
        <v>0</v>
      </c>
      <c r="E364" s="28"/>
      <c r="F364" s="28" t="s">
        <v>4</v>
      </c>
      <c r="G364" s="24">
        <v>0.97</v>
      </c>
      <c r="H364" s="28" t="s">
        <v>49</v>
      </c>
      <c r="I364" s="28" t="s">
        <v>1779</v>
      </c>
      <c r="J364" s="28"/>
      <c r="K364" s="28" t="s">
        <v>50</v>
      </c>
      <c r="L364" s="28" t="s">
        <v>2482</v>
      </c>
      <c r="M364" s="28"/>
    </row>
    <row r="365" spans="1:13" x14ac:dyDescent="0.3">
      <c r="A365" s="101">
        <v>45828.443310185183</v>
      </c>
      <c r="B365" s="101">
        <v>45828</v>
      </c>
      <c r="C365" s="102">
        <v>1000</v>
      </c>
      <c r="D365" s="102">
        <v>0</v>
      </c>
      <c r="E365" s="102"/>
      <c r="F365" s="102" t="s">
        <v>976</v>
      </c>
      <c r="G365" s="24">
        <v>0.85</v>
      </c>
      <c r="H365" s="102" t="s">
        <v>1028</v>
      </c>
      <c r="I365" s="102" t="s">
        <v>1019</v>
      </c>
      <c r="J365" s="102"/>
      <c r="K365" s="102" t="s">
        <v>2120</v>
      </c>
      <c r="L365" s="102" t="s">
        <v>2483</v>
      </c>
      <c r="M365" s="102"/>
    </row>
    <row r="366" spans="1:13" x14ac:dyDescent="0.3">
      <c r="A366" s="101">
        <v>45829.400347222218</v>
      </c>
      <c r="B366" s="101">
        <v>45829</v>
      </c>
      <c r="C366" s="102">
        <v>1000</v>
      </c>
      <c r="D366" s="102">
        <v>0</v>
      </c>
      <c r="E366" s="102"/>
      <c r="F366" s="102" t="s">
        <v>976</v>
      </c>
      <c r="G366" s="24">
        <v>0.85</v>
      </c>
      <c r="H366" s="102" t="s">
        <v>1028</v>
      </c>
      <c r="I366" s="102" t="s">
        <v>1019</v>
      </c>
      <c r="J366" s="102"/>
      <c r="K366" s="102" t="s">
        <v>2122</v>
      </c>
      <c r="L366" s="102" t="s">
        <v>2483</v>
      </c>
      <c r="M366" s="102"/>
    </row>
    <row r="367" spans="1:13" x14ac:dyDescent="0.3">
      <c r="A367" s="101">
        <v>45830.392824074072</v>
      </c>
      <c r="B367" s="101">
        <v>45830</v>
      </c>
      <c r="C367" s="102">
        <v>1000</v>
      </c>
      <c r="D367" s="102">
        <v>0</v>
      </c>
      <c r="E367" s="102"/>
      <c r="F367" s="102" t="s">
        <v>976</v>
      </c>
      <c r="G367" s="24">
        <v>0.85</v>
      </c>
      <c r="H367" s="102" t="s">
        <v>1028</v>
      </c>
      <c r="I367" s="102" t="s">
        <v>1019</v>
      </c>
      <c r="J367" s="102"/>
      <c r="K367" s="102" t="s">
        <v>2124</v>
      </c>
      <c r="L367" s="102" t="s">
        <v>2483</v>
      </c>
      <c r="M367" s="102"/>
    </row>
    <row r="368" spans="1:13" x14ac:dyDescent="0.3">
      <c r="A368" s="27">
        <v>45831</v>
      </c>
      <c r="B368" s="27">
        <v>45831</v>
      </c>
      <c r="C368" s="28">
        <v>134.37</v>
      </c>
      <c r="D368" s="28">
        <v>0</v>
      </c>
      <c r="E368" s="28"/>
      <c r="F368" s="28" t="s">
        <v>4</v>
      </c>
      <c r="G368" s="24">
        <v>0.97</v>
      </c>
      <c r="H368" s="28" t="s">
        <v>49</v>
      </c>
      <c r="I368" s="28" t="s">
        <v>1779</v>
      </c>
      <c r="J368" s="28"/>
      <c r="K368" s="28" t="s">
        <v>50</v>
      </c>
      <c r="L368" s="28" t="s">
        <v>2482</v>
      </c>
      <c r="M368" s="28"/>
    </row>
    <row r="369" spans="1:13" x14ac:dyDescent="0.3">
      <c r="A369" s="25">
        <v>45831</v>
      </c>
      <c r="B369" s="25">
        <v>45831</v>
      </c>
      <c r="C369" s="26">
        <v>0</v>
      </c>
      <c r="D369" s="26">
        <v>135.97</v>
      </c>
      <c r="E369" s="26"/>
      <c r="F369" s="26" t="s">
        <v>3</v>
      </c>
      <c r="G369" s="24">
        <v>0.93</v>
      </c>
      <c r="H369" s="26" t="s">
        <v>49</v>
      </c>
      <c r="I369" s="26" t="s">
        <v>1779</v>
      </c>
      <c r="J369" s="26"/>
      <c r="K369" s="26" t="s">
        <v>263</v>
      </c>
      <c r="L369" s="26" t="s">
        <v>2482</v>
      </c>
      <c r="M369" s="26"/>
    </row>
    <row r="370" spans="1:13" x14ac:dyDescent="0.3">
      <c r="A370" s="101">
        <v>45831.387511574067</v>
      </c>
      <c r="B370" s="101">
        <v>45831</v>
      </c>
      <c r="C370" s="102">
        <v>1000</v>
      </c>
      <c r="D370" s="102">
        <v>0</v>
      </c>
      <c r="E370" s="102"/>
      <c r="F370" s="102" t="s">
        <v>976</v>
      </c>
      <c r="G370" s="24">
        <v>0.85</v>
      </c>
      <c r="H370" s="102" t="s">
        <v>1028</v>
      </c>
      <c r="I370" s="102" t="s">
        <v>1019</v>
      </c>
      <c r="J370" s="102"/>
      <c r="K370" s="102" t="s">
        <v>2126</v>
      </c>
      <c r="L370" s="102" t="s">
        <v>2483</v>
      </c>
      <c r="M370" s="102"/>
    </row>
    <row r="371" spans="1:13" x14ac:dyDescent="0.3">
      <c r="A371" s="27">
        <v>45832</v>
      </c>
      <c r="B371" s="27">
        <v>45832</v>
      </c>
      <c r="C371" s="28">
        <v>44.72</v>
      </c>
      <c r="D371" s="28">
        <v>0</v>
      </c>
      <c r="E371" s="28"/>
      <c r="F371" s="28" t="s">
        <v>4</v>
      </c>
      <c r="G371" s="24">
        <v>0.97</v>
      </c>
      <c r="H371" s="28" t="s">
        <v>49</v>
      </c>
      <c r="I371" s="28" t="s">
        <v>1779</v>
      </c>
      <c r="J371" s="28"/>
      <c r="K371" s="28" t="s">
        <v>50</v>
      </c>
      <c r="L371" s="28" t="s">
        <v>2482</v>
      </c>
      <c r="M371" s="28"/>
    </row>
    <row r="372" spans="1:13" x14ac:dyDescent="0.3">
      <c r="A372" s="49">
        <v>45832</v>
      </c>
      <c r="B372" s="49">
        <v>45832</v>
      </c>
      <c r="C372" s="50">
        <v>0</v>
      </c>
      <c r="D372" s="50">
        <v>450</v>
      </c>
      <c r="E372" s="50"/>
      <c r="F372" s="50" t="s">
        <v>17</v>
      </c>
      <c r="G372" s="24">
        <v>0.88</v>
      </c>
      <c r="H372" s="50" t="s">
        <v>17</v>
      </c>
      <c r="I372" s="50" t="s">
        <v>1779</v>
      </c>
      <c r="J372" s="50"/>
      <c r="K372" s="50" t="s">
        <v>267</v>
      </c>
      <c r="L372" s="50" t="s">
        <v>2482</v>
      </c>
      <c r="M372" s="50"/>
    </row>
    <row r="373" spans="1:13" x14ac:dyDescent="0.3">
      <c r="A373" s="27">
        <v>45832</v>
      </c>
      <c r="B373" s="27">
        <v>45832</v>
      </c>
      <c r="C373" s="28">
        <v>325.24</v>
      </c>
      <c r="D373" s="28">
        <v>0</v>
      </c>
      <c r="E373" s="28"/>
      <c r="F373" s="28" t="s">
        <v>4</v>
      </c>
      <c r="G373" s="24">
        <v>0.97</v>
      </c>
      <c r="H373" s="28" t="s">
        <v>49</v>
      </c>
      <c r="I373" s="28" t="s">
        <v>1779</v>
      </c>
      <c r="J373" s="28"/>
      <c r="K373" s="28" t="s">
        <v>50</v>
      </c>
      <c r="L373" s="28" t="s">
        <v>2482</v>
      </c>
      <c r="M373" s="28"/>
    </row>
    <row r="374" spans="1:13" x14ac:dyDescent="0.3">
      <c r="A374" s="27">
        <v>45832</v>
      </c>
      <c r="B374" s="27">
        <v>45832</v>
      </c>
      <c r="C374" s="28">
        <v>193.58</v>
      </c>
      <c r="D374" s="28">
        <v>0</v>
      </c>
      <c r="E374" s="28"/>
      <c r="F374" s="28" t="s">
        <v>4</v>
      </c>
      <c r="G374" s="24">
        <v>0.97</v>
      </c>
      <c r="H374" s="28" t="s">
        <v>49</v>
      </c>
      <c r="I374" s="28" t="s">
        <v>1779</v>
      </c>
      <c r="J374" s="28"/>
      <c r="K374" s="28" t="s">
        <v>50</v>
      </c>
      <c r="L374" s="28" t="s">
        <v>2482</v>
      </c>
      <c r="M374" s="28"/>
    </row>
    <row r="375" spans="1:13" x14ac:dyDescent="0.3">
      <c r="A375" s="101">
        <v>45832.380300925928</v>
      </c>
      <c r="B375" s="101">
        <v>45832</v>
      </c>
      <c r="C375" s="102">
        <v>1891.75</v>
      </c>
      <c r="D375" s="102">
        <v>0</v>
      </c>
      <c r="E375" s="102"/>
      <c r="F375" s="102" t="s">
        <v>976</v>
      </c>
      <c r="G375" s="24">
        <v>0.85</v>
      </c>
      <c r="H375" s="102" t="s">
        <v>1028</v>
      </c>
      <c r="I375" s="102" t="s">
        <v>1019</v>
      </c>
      <c r="J375" s="102"/>
      <c r="K375" s="102" t="s">
        <v>2128</v>
      </c>
      <c r="L375" s="102" t="s">
        <v>2483</v>
      </c>
      <c r="M375" s="102"/>
    </row>
    <row r="376" spans="1:13" x14ac:dyDescent="0.3">
      <c r="A376" s="27">
        <v>45833</v>
      </c>
      <c r="B376" s="27">
        <v>45833</v>
      </c>
      <c r="C376" s="28">
        <v>44.65</v>
      </c>
      <c r="D376" s="28">
        <v>0</v>
      </c>
      <c r="E376" s="28"/>
      <c r="F376" s="28" t="s">
        <v>4</v>
      </c>
      <c r="G376" s="24">
        <v>0.97</v>
      </c>
      <c r="H376" s="28" t="s">
        <v>49</v>
      </c>
      <c r="I376" s="28" t="s">
        <v>1779</v>
      </c>
      <c r="J376" s="28"/>
      <c r="K376" s="28" t="s">
        <v>50</v>
      </c>
      <c r="L376" s="28" t="s">
        <v>2482</v>
      </c>
      <c r="M376" s="28"/>
    </row>
    <row r="377" spans="1:13" x14ac:dyDescent="0.3">
      <c r="A377" s="45">
        <v>45833</v>
      </c>
      <c r="B377" s="45">
        <v>45833</v>
      </c>
      <c r="C377" s="46">
        <v>0</v>
      </c>
      <c r="D377" s="46">
        <v>25000</v>
      </c>
      <c r="E377" s="46"/>
      <c r="F377" s="46" t="s">
        <v>19</v>
      </c>
      <c r="G377" s="24">
        <v>0.88</v>
      </c>
      <c r="H377" s="46" t="s">
        <v>149</v>
      </c>
      <c r="I377" s="46" t="s">
        <v>1779</v>
      </c>
      <c r="J377" s="46"/>
      <c r="K377" s="46" t="s">
        <v>272</v>
      </c>
      <c r="L377" s="46" t="s">
        <v>2482</v>
      </c>
      <c r="M377" s="46"/>
    </row>
    <row r="378" spans="1:13" x14ac:dyDescent="0.3">
      <c r="A378" s="55">
        <v>45833</v>
      </c>
      <c r="B378" s="55">
        <v>45833</v>
      </c>
      <c r="C378" s="56">
        <v>0</v>
      </c>
      <c r="D378" s="56">
        <v>81</v>
      </c>
      <c r="E378" s="56"/>
      <c r="F378" s="56" t="s">
        <v>22</v>
      </c>
      <c r="G378" s="24">
        <v>0.9</v>
      </c>
      <c r="H378" s="56" t="s">
        <v>22</v>
      </c>
      <c r="I378" s="56" t="s">
        <v>837</v>
      </c>
      <c r="J378" s="56"/>
      <c r="K378" s="56" t="s">
        <v>1718</v>
      </c>
      <c r="L378" s="56" t="s">
        <v>2486</v>
      </c>
      <c r="M378" s="56"/>
    </row>
    <row r="379" spans="1:13" x14ac:dyDescent="0.3">
      <c r="A379" s="27">
        <v>45834</v>
      </c>
      <c r="B379" s="27">
        <v>45834</v>
      </c>
      <c r="C379" s="28">
        <v>19573.55</v>
      </c>
      <c r="D379" s="28">
        <v>0</v>
      </c>
      <c r="E379" s="28"/>
      <c r="F379" s="28" t="s">
        <v>4</v>
      </c>
      <c r="G379" s="24">
        <v>0.97</v>
      </c>
      <c r="H379" s="28" t="s">
        <v>49</v>
      </c>
      <c r="I379" s="28" t="s">
        <v>1779</v>
      </c>
      <c r="J379" s="28"/>
      <c r="K379" s="28" t="s">
        <v>50</v>
      </c>
      <c r="L379" s="28" t="s">
        <v>2482</v>
      </c>
      <c r="M379" s="28"/>
    </row>
    <row r="380" spans="1:13" x14ac:dyDescent="0.3">
      <c r="A380" s="27">
        <v>45834</v>
      </c>
      <c r="B380" s="27">
        <v>45834</v>
      </c>
      <c r="C380" s="28">
        <v>44.65</v>
      </c>
      <c r="D380" s="28">
        <v>0</v>
      </c>
      <c r="E380" s="28"/>
      <c r="F380" s="28" t="s">
        <v>4</v>
      </c>
      <c r="G380" s="24">
        <v>0.97</v>
      </c>
      <c r="H380" s="28" t="s">
        <v>49</v>
      </c>
      <c r="I380" s="28" t="s">
        <v>1779</v>
      </c>
      <c r="J380" s="28"/>
      <c r="K380" s="28" t="s">
        <v>50</v>
      </c>
      <c r="L380" s="28" t="s">
        <v>2482</v>
      </c>
      <c r="M380" s="28"/>
    </row>
    <row r="381" spans="1:13" x14ac:dyDescent="0.3">
      <c r="A381" s="25">
        <v>45834</v>
      </c>
      <c r="B381" s="25">
        <v>45834</v>
      </c>
      <c r="C381" s="26">
        <v>0</v>
      </c>
      <c r="D381" s="26">
        <v>462.5</v>
      </c>
      <c r="E381" s="26"/>
      <c r="F381" s="26" t="s">
        <v>3</v>
      </c>
      <c r="G381" s="24">
        <v>0.93</v>
      </c>
      <c r="H381" s="26" t="s">
        <v>49</v>
      </c>
      <c r="I381" s="26" t="s">
        <v>1779</v>
      </c>
      <c r="J381" s="26"/>
      <c r="K381" s="26" t="s">
        <v>274</v>
      </c>
      <c r="L381" s="26" t="s">
        <v>2482</v>
      </c>
      <c r="M381" s="26"/>
    </row>
    <row r="382" spans="1:13" x14ac:dyDescent="0.3">
      <c r="A382" s="89">
        <v>45834.046770833331</v>
      </c>
      <c r="B382" s="89">
        <v>45834</v>
      </c>
      <c r="C382" s="90">
        <v>2</v>
      </c>
      <c r="D382" s="90">
        <v>0</v>
      </c>
      <c r="E382" s="90"/>
      <c r="F382" s="90" t="s">
        <v>1814</v>
      </c>
      <c r="G382" s="24">
        <v>0.88</v>
      </c>
      <c r="H382" s="90" t="s">
        <v>91</v>
      </c>
      <c r="I382" s="90" t="s">
        <v>1019</v>
      </c>
      <c r="J382" s="90"/>
      <c r="K382" s="90" t="s">
        <v>2130</v>
      </c>
      <c r="L382" s="90" t="s">
        <v>2483</v>
      </c>
      <c r="M382" s="90"/>
    </row>
    <row r="383" spans="1:13" x14ac:dyDescent="0.3">
      <c r="A383" s="97">
        <v>45835</v>
      </c>
      <c r="B383" s="97">
        <v>45835</v>
      </c>
      <c r="C383" s="98">
        <v>15000</v>
      </c>
      <c r="D383" s="98">
        <v>0</v>
      </c>
      <c r="E383" s="98"/>
      <c r="F383" s="98" t="s">
        <v>978</v>
      </c>
      <c r="G383" s="24">
        <v>0.85</v>
      </c>
      <c r="H383" s="98" t="s">
        <v>1031</v>
      </c>
      <c r="I383" s="98" t="s">
        <v>1680</v>
      </c>
      <c r="J383" s="98"/>
      <c r="K383" s="98" t="s">
        <v>1038</v>
      </c>
      <c r="L383" s="98" t="s">
        <v>2484</v>
      </c>
      <c r="M383" s="98"/>
    </row>
    <row r="384" spans="1:13" x14ac:dyDescent="0.3">
      <c r="A384" s="27">
        <v>45835</v>
      </c>
      <c r="B384" s="27">
        <v>45835</v>
      </c>
      <c r="C384" s="28">
        <v>37.840000000000003</v>
      </c>
      <c r="D384" s="28">
        <v>0</v>
      </c>
      <c r="E384" s="28"/>
      <c r="F384" s="28" t="s">
        <v>4</v>
      </c>
      <c r="G384" s="24">
        <v>0.97</v>
      </c>
      <c r="H384" s="28" t="s">
        <v>49</v>
      </c>
      <c r="I384" s="28" t="s">
        <v>1779</v>
      </c>
      <c r="J384" s="28"/>
      <c r="K384" s="28" t="s">
        <v>50</v>
      </c>
      <c r="L384" s="28" t="s">
        <v>2482</v>
      </c>
      <c r="M384" s="28"/>
    </row>
    <row r="385" spans="1:13" x14ac:dyDescent="0.3">
      <c r="A385" s="51">
        <v>45836</v>
      </c>
      <c r="B385" s="51">
        <v>45836</v>
      </c>
      <c r="C385" s="52">
        <v>0</v>
      </c>
      <c r="D385" s="52">
        <v>10000</v>
      </c>
      <c r="E385" s="52"/>
      <c r="F385" s="52" t="s">
        <v>20</v>
      </c>
      <c r="G385" s="24">
        <v>0.85</v>
      </c>
      <c r="H385" s="52" t="s">
        <v>181</v>
      </c>
      <c r="I385" s="52" t="s">
        <v>1779</v>
      </c>
      <c r="J385" s="52"/>
      <c r="K385" s="52" t="s">
        <v>279</v>
      </c>
      <c r="L385" s="52" t="s">
        <v>2482</v>
      </c>
      <c r="M385" s="52"/>
    </row>
    <row r="386" spans="1:13" x14ac:dyDescent="0.3">
      <c r="A386" s="89">
        <v>45836.710578703707</v>
      </c>
      <c r="B386" s="89">
        <v>45836</v>
      </c>
      <c r="C386" s="90">
        <v>248</v>
      </c>
      <c r="D386" s="90">
        <v>0</v>
      </c>
      <c r="E386" s="90" t="s">
        <v>2133</v>
      </c>
      <c r="F386" s="90" t="s">
        <v>975</v>
      </c>
      <c r="G386" s="39">
        <v>0.55000000000000004</v>
      </c>
      <c r="H386" s="90" t="s">
        <v>91</v>
      </c>
      <c r="I386" s="90" t="s">
        <v>1019</v>
      </c>
      <c r="J386" s="90"/>
      <c r="K386" s="90" t="s">
        <v>2131</v>
      </c>
      <c r="L386" s="90" t="s">
        <v>2483</v>
      </c>
      <c r="M386" s="90"/>
    </row>
    <row r="387" spans="1:13" x14ac:dyDescent="0.3">
      <c r="A387" s="22">
        <v>45838</v>
      </c>
      <c r="B387" s="22">
        <v>45838</v>
      </c>
      <c r="C387" s="23">
        <v>5000</v>
      </c>
      <c r="D387" s="23">
        <v>0</v>
      </c>
      <c r="E387" s="23"/>
      <c r="F387" s="23" t="s">
        <v>2</v>
      </c>
      <c r="G387" s="24">
        <v>0.95</v>
      </c>
      <c r="H387" s="23" t="s">
        <v>2</v>
      </c>
      <c r="I387" s="23" t="s">
        <v>1779</v>
      </c>
      <c r="J387" s="23"/>
      <c r="K387" s="23" t="s">
        <v>283</v>
      </c>
      <c r="L387" s="23" t="s">
        <v>2482</v>
      </c>
      <c r="M387" s="23" t="s">
        <v>2485</v>
      </c>
    </row>
    <row r="388" spans="1:13" x14ac:dyDescent="0.3">
      <c r="A388" s="22">
        <v>45838</v>
      </c>
      <c r="B388" s="22">
        <v>45838</v>
      </c>
      <c r="C388" s="23">
        <v>5000</v>
      </c>
      <c r="D388" s="23">
        <v>0</v>
      </c>
      <c r="E388" s="23"/>
      <c r="F388" s="23" t="s">
        <v>2</v>
      </c>
      <c r="G388" s="24">
        <v>0.95</v>
      </c>
      <c r="H388" s="23" t="s">
        <v>2</v>
      </c>
      <c r="I388" s="23" t="s">
        <v>1779</v>
      </c>
      <c r="J388" s="23"/>
      <c r="K388" s="23" t="s">
        <v>285</v>
      </c>
      <c r="L388" s="23" t="s">
        <v>2482</v>
      </c>
      <c r="M388" s="23" t="s">
        <v>2485</v>
      </c>
    </row>
    <row r="389" spans="1:13" x14ac:dyDescent="0.3">
      <c r="A389" s="53">
        <v>45838</v>
      </c>
      <c r="B389" s="53">
        <v>45838</v>
      </c>
      <c r="C389" s="54">
        <v>2</v>
      </c>
      <c r="D389" s="54">
        <v>0</v>
      </c>
      <c r="E389" s="54"/>
      <c r="F389" s="54" t="s">
        <v>21</v>
      </c>
      <c r="G389" s="40">
        <v>0.8</v>
      </c>
      <c r="H389" s="54" t="s">
        <v>7</v>
      </c>
      <c r="I389" s="54" t="s">
        <v>1779</v>
      </c>
      <c r="J389" s="54"/>
      <c r="K389" s="54" t="s">
        <v>288</v>
      </c>
      <c r="L389" s="54" t="s">
        <v>2482</v>
      </c>
      <c r="M389" s="54"/>
    </row>
    <row r="390" spans="1:13" x14ac:dyDescent="0.3">
      <c r="A390" s="25">
        <v>45838</v>
      </c>
      <c r="B390" s="25">
        <v>45838</v>
      </c>
      <c r="C390" s="26">
        <v>0</v>
      </c>
      <c r="D390" s="26">
        <v>10071.459999999999</v>
      </c>
      <c r="E390" s="26"/>
      <c r="F390" s="26" t="s">
        <v>3</v>
      </c>
      <c r="G390" s="24">
        <v>0.93</v>
      </c>
      <c r="H390" s="26" t="s">
        <v>49</v>
      </c>
      <c r="I390" s="26" t="s">
        <v>1779</v>
      </c>
      <c r="J390" s="26"/>
      <c r="K390" s="26" t="s">
        <v>281</v>
      </c>
      <c r="L390" s="26" t="s">
        <v>2482</v>
      </c>
      <c r="M390" s="26"/>
    </row>
    <row r="391" spans="1:13" x14ac:dyDescent="0.3">
      <c r="A391" s="27">
        <v>45838</v>
      </c>
      <c r="B391" s="27">
        <v>45838</v>
      </c>
      <c r="C391" s="28">
        <v>171.27</v>
      </c>
      <c r="D391" s="28">
        <v>0</v>
      </c>
      <c r="E391" s="28"/>
      <c r="F391" s="28" t="s">
        <v>4</v>
      </c>
      <c r="G391" s="24">
        <v>0.97</v>
      </c>
      <c r="H391" s="28" t="s">
        <v>49</v>
      </c>
      <c r="I391" s="28" t="s">
        <v>1779</v>
      </c>
      <c r="J391" s="28"/>
      <c r="K391" s="28" t="s">
        <v>50</v>
      </c>
      <c r="L391" s="28" t="s">
        <v>2482</v>
      </c>
      <c r="M391" s="28"/>
    </row>
    <row r="392" spans="1:13" x14ac:dyDescent="0.3">
      <c r="A392" s="55">
        <v>45839</v>
      </c>
      <c r="B392" s="55">
        <v>45839</v>
      </c>
      <c r="C392" s="56">
        <v>0</v>
      </c>
      <c r="D392" s="56">
        <v>1</v>
      </c>
      <c r="E392" s="56"/>
      <c r="F392" s="56" t="s">
        <v>22</v>
      </c>
      <c r="G392" s="24">
        <v>0.97</v>
      </c>
      <c r="H392" s="56" t="s">
        <v>22</v>
      </c>
      <c r="I392" s="56" t="s">
        <v>2224</v>
      </c>
      <c r="J392" s="56" t="s">
        <v>22</v>
      </c>
      <c r="K392" s="56" t="s">
        <v>2470</v>
      </c>
      <c r="L392" s="56" t="s">
        <v>2487</v>
      </c>
      <c r="M392" s="56"/>
    </row>
    <row r="393" spans="1:13" x14ac:dyDescent="0.3">
      <c r="A393" s="25">
        <v>45839</v>
      </c>
      <c r="B393" s="25">
        <v>45839</v>
      </c>
      <c r="C393" s="26">
        <v>14800</v>
      </c>
      <c r="D393" s="26">
        <v>0</v>
      </c>
      <c r="E393" s="26"/>
      <c r="F393" s="26" t="s">
        <v>23</v>
      </c>
      <c r="G393" s="40">
        <v>0.8</v>
      </c>
      <c r="H393" s="26" t="s">
        <v>49</v>
      </c>
      <c r="I393" s="26" t="s">
        <v>1779</v>
      </c>
      <c r="J393" s="26"/>
      <c r="K393" s="26" t="s">
        <v>295</v>
      </c>
      <c r="L393" s="26" t="s">
        <v>2482</v>
      </c>
      <c r="M393" s="26"/>
    </row>
    <row r="394" spans="1:13" x14ac:dyDescent="0.3">
      <c r="A394" s="25">
        <v>45839</v>
      </c>
      <c r="B394" s="25">
        <v>45839</v>
      </c>
      <c r="C394" s="26">
        <v>0</v>
      </c>
      <c r="D394" s="26">
        <v>50881.79</v>
      </c>
      <c r="E394" s="26"/>
      <c r="F394" s="26" t="s">
        <v>3</v>
      </c>
      <c r="G394" s="24">
        <v>0.93</v>
      </c>
      <c r="H394" s="26" t="s">
        <v>49</v>
      </c>
      <c r="I394" s="26" t="s">
        <v>1779</v>
      </c>
      <c r="J394" s="26"/>
      <c r="K394" s="26" t="s">
        <v>291</v>
      </c>
      <c r="L394" s="26" t="s">
        <v>2482</v>
      </c>
      <c r="M394" s="26"/>
    </row>
    <row r="395" spans="1:13" x14ac:dyDescent="0.3">
      <c r="A395" s="25">
        <v>45839</v>
      </c>
      <c r="B395" s="25">
        <v>45839</v>
      </c>
      <c r="C395" s="26">
        <v>0</v>
      </c>
      <c r="D395" s="26">
        <v>6.76</v>
      </c>
      <c r="E395" s="26"/>
      <c r="F395" s="26" t="s">
        <v>3</v>
      </c>
      <c r="G395" s="24">
        <v>0.93</v>
      </c>
      <c r="H395" s="26" t="s">
        <v>49</v>
      </c>
      <c r="I395" s="26" t="s">
        <v>1779</v>
      </c>
      <c r="J395" s="26"/>
      <c r="K395" s="26" t="s">
        <v>293</v>
      </c>
      <c r="L395" s="26" t="s">
        <v>2482</v>
      </c>
      <c r="M395" s="26"/>
    </row>
    <row r="396" spans="1:13" x14ac:dyDescent="0.3">
      <c r="A396" s="27">
        <v>45839</v>
      </c>
      <c r="B396" s="27">
        <v>45839</v>
      </c>
      <c r="C396" s="28">
        <v>50.27</v>
      </c>
      <c r="D396" s="28">
        <v>0</v>
      </c>
      <c r="E396" s="28"/>
      <c r="F396" s="28" t="s">
        <v>4</v>
      </c>
      <c r="G396" s="24">
        <v>0.97</v>
      </c>
      <c r="H396" s="28" t="s">
        <v>49</v>
      </c>
      <c r="I396" s="28" t="s">
        <v>1779</v>
      </c>
      <c r="J396" s="28"/>
      <c r="K396" s="28" t="s">
        <v>50</v>
      </c>
      <c r="L396" s="28" t="s">
        <v>2482</v>
      </c>
      <c r="M396" s="28"/>
    </row>
    <row r="397" spans="1:13" x14ac:dyDescent="0.3">
      <c r="A397" s="49">
        <v>45839</v>
      </c>
      <c r="B397" s="49">
        <v>45839</v>
      </c>
      <c r="C397" s="50">
        <v>0</v>
      </c>
      <c r="D397" s="50">
        <v>350</v>
      </c>
      <c r="E397" s="50"/>
      <c r="F397" s="50" t="s">
        <v>17</v>
      </c>
      <c r="G397" s="24">
        <v>0.88</v>
      </c>
      <c r="H397" s="50" t="s">
        <v>17</v>
      </c>
      <c r="I397" s="50" t="s">
        <v>1779</v>
      </c>
      <c r="J397" s="50"/>
      <c r="K397" s="50" t="s">
        <v>298</v>
      </c>
      <c r="L397" s="50" t="s">
        <v>2482</v>
      </c>
      <c r="M397" s="50"/>
    </row>
    <row r="398" spans="1:13" x14ac:dyDescent="0.3">
      <c r="A398" s="27">
        <v>45839</v>
      </c>
      <c r="B398" s="27">
        <v>45839</v>
      </c>
      <c r="C398" s="28">
        <v>34712.25</v>
      </c>
      <c r="D398" s="28">
        <v>0</v>
      </c>
      <c r="E398" s="28"/>
      <c r="F398" s="28" t="s">
        <v>4</v>
      </c>
      <c r="G398" s="24">
        <v>0.97</v>
      </c>
      <c r="H398" s="28" t="s">
        <v>49</v>
      </c>
      <c r="I398" s="28" t="s">
        <v>1779</v>
      </c>
      <c r="J398" s="28"/>
      <c r="K398" s="28" t="s">
        <v>50</v>
      </c>
      <c r="L398" s="28" t="s">
        <v>2482</v>
      </c>
      <c r="M398" s="28"/>
    </row>
    <row r="399" spans="1:13" x14ac:dyDescent="0.3">
      <c r="A399" s="55">
        <v>45839</v>
      </c>
      <c r="B399" s="55">
        <v>45839</v>
      </c>
      <c r="C399" s="56">
        <v>0</v>
      </c>
      <c r="D399" s="56">
        <v>291</v>
      </c>
      <c r="E399" s="56"/>
      <c r="F399" s="56" t="s">
        <v>22</v>
      </c>
      <c r="G399" s="24">
        <v>0.93</v>
      </c>
      <c r="H399" s="56" t="s">
        <v>22</v>
      </c>
      <c r="I399" s="56" t="s">
        <v>1680</v>
      </c>
      <c r="J399" s="56"/>
      <c r="K399" s="56" t="s">
        <v>1039</v>
      </c>
      <c r="L399" s="56" t="s">
        <v>2484</v>
      </c>
      <c r="M399" s="56"/>
    </row>
    <row r="400" spans="1:13" x14ac:dyDescent="0.3">
      <c r="A400" s="55">
        <v>45839</v>
      </c>
      <c r="B400" s="55">
        <v>45838</v>
      </c>
      <c r="C400" s="56">
        <v>0</v>
      </c>
      <c r="D400" s="56">
        <v>270</v>
      </c>
      <c r="E400" s="56"/>
      <c r="F400" s="56" t="s">
        <v>22</v>
      </c>
      <c r="G400" s="24">
        <v>0.95</v>
      </c>
      <c r="H400" s="56" t="s">
        <v>22</v>
      </c>
      <c r="I400" s="56" t="s">
        <v>1779</v>
      </c>
      <c r="J400" s="56"/>
      <c r="K400" s="56" t="s">
        <v>290</v>
      </c>
      <c r="L400" s="56" t="s">
        <v>2482</v>
      </c>
      <c r="M400" s="56"/>
    </row>
    <row r="401" spans="1:13" x14ac:dyDescent="0.3">
      <c r="A401" s="78">
        <v>45839</v>
      </c>
      <c r="B401" s="78">
        <v>45839</v>
      </c>
      <c r="C401" s="79">
        <v>0</v>
      </c>
      <c r="D401" s="79">
        <v>98850</v>
      </c>
      <c r="E401" s="79"/>
      <c r="F401" s="79" t="s">
        <v>972</v>
      </c>
      <c r="G401" s="24">
        <v>0.97</v>
      </c>
      <c r="H401" s="79" t="s">
        <v>972</v>
      </c>
      <c r="I401" s="79" t="s">
        <v>1680</v>
      </c>
      <c r="J401" s="79"/>
      <c r="K401" s="79" t="s">
        <v>1040</v>
      </c>
      <c r="L401" s="79" t="s">
        <v>2484</v>
      </c>
      <c r="M401" s="79"/>
    </row>
    <row r="402" spans="1:13" x14ac:dyDescent="0.3">
      <c r="A402" s="89">
        <v>45839.246111111112</v>
      </c>
      <c r="B402" s="89">
        <v>45839</v>
      </c>
      <c r="C402" s="90">
        <v>668</v>
      </c>
      <c r="D402" s="90">
        <v>0</v>
      </c>
      <c r="E402" s="90" t="s">
        <v>2137</v>
      </c>
      <c r="F402" s="90" t="s">
        <v>975</v>
      </c>
      <c r="G402" s="39">
        <v>0.55000000000000004</v>
      </c>
      <c r="H402" s="90" t="s">
        <v>91</v>
      </c>
      <c r="I402" s="90" t="s">
        <v>1019</v>
      </c>
      <c r="J402" s="90"/>
      <c r="K402" s="90" t="s">
        <v>2135</v>
      </c>
      <c r="L402" s="90" t="s">
        <v>2483</v>
      </c>
      <c r="M402" s="90"/>
    </row>
    <row r="403" spans="1:13" x14ac:dyDescent="0.3">
      <c r="A403" s="55">
        <v>45839.270011574074</v>
      </c>
      <c r="B403" s="55">
        <v>45838</v>
      </c>
      <c r="C403" s="56">
        <v>0</v>
      </c>
      <c r="D403" s="56">
        <v>452</v>
      </c>
      <c r="E403" s="56"/>
      <c r="F403" s="56" t="s">
        <v>22</v>
      </c>
      <c r="G403" s="24">
        <v>0.95</v>
      </c>
      <c r="H403" s="56" t="s">
        <v>22</v>
      </c>
      <c r="I403" s="56" t="s">
        <v>1019</v>
      </c>
      <c r="J403" s="56"/>
      <c r="K403" s="56" t="s">
        <v>2134</v>
      </c>
      <c r="L403" s="56" t="s">
        <v>2483</v>
      </c>
      <c r="M403" s="56"/>
    </row>
    <row r="404" spans="1:13" x14ac:dyDescent="0.3">
      <c r="A404" s="89">
        <v>45839.656365740739</v>
      </c>
      <c r="B404" s="89">
        <v>45839</v>
      </c>
      <c r="C404" s="90">
        <v>55</v>
      </c>
      <c r="D404" s="90">
        <v>0</v>
      </c>
      <c r="E404" s="90" t="s">
        <v>2140</v>
      </c>
      <c r="F404" s="90" t="s">
        <v>975</v>
      </c>
      <c r="G404" s="39">
        <v>0.55000000000000004</v>
      </c>
      <c r="H404" s="90" t="s">
        <v>91</v>
      </c>
      <c r="I404" s="90" t="s">
        <v>1019</v>
      </c>
      <c r="J404" s="90"/>
      <c r="K404" s="90" t="s">
        <v>2138</v>
      </c>
      <c r="L404" s="90" t="s">
        <v>2483</v>
      </c>
      <c r="M404" s="90"/>
    </row>
    <row r="405" spans="1:13" x14ac:dyDescent="0.3">
      <c r="A405" s="103">
        <v>45839.780185185176</v>
      </c>
      <c r="B405" s="103">
        <v>45839</v>
      </c>
      <c r="C405" s="104">
        <v>54</v>
      </c>
      <c r="D405" s="104">
        <v>0</v>
      </c>
      <c r="E405" s="104"/>
      <c r="F405" s="104" t="s">
        <v>983</v>
      </c>
      <c r="G405" s="40">
        <v>0.82</v>
      </c>
      <c r="H405" s="104" t="s">
        <v>131</v>
      </c>
      <c r="I405" s="104" t="s">
        <v>1019</v>
      </c>
      <c r="J405" s="104"/>
      <c r="K405" s="104" t="s">
        <v>2141</v>
      </c>
      <c r="L405" s="104" t="s">
        <v>2483</v>
      </c>
      <c r="M405" s="104"/>
    </row>
    <row r="406" spans="1:13" x14ac:dyDescent="0.3">
      <c r="A406" s="97">
        <v>45840</v>
      </c>
      <c r="B406" s="97">
        <v>45840</v>
      </c>
      <c r="C406" s="98">
        <v>0</v>
      </c>
      <c r="D406" s="98">
        <v>40000</v>
      </c>
      <c r="E406" s="98"/>
      <c r="F406" s="98" t="s">
        <v>977</v>
      </c>
      <c r="G406" s="24">
        <v>0.85</v>
      </c>
      <c r="H406" s="98" t="s">
        <v>1031</v>
      </c>
      <c r="I406" s="98" t="s">
        <v>1680</v>
      </c>
      <c r="J406" s="98"/>
      <c r="K406" s="98" t="s">
        <v>1043</v>
      </c>
      <c r="L406" s="98" t="s">
        <v>2484</v>
      </c>
      <c r="M406" s="98"/>
    </row>
    <row r="407" spans="1:13" x14ac:dyDescent="0.3">
      <c r="A407" s="49">
        <v>45840</v>
      </c>
      <c r="B407" s="49">
        <v>45840</v>
      </c>
      <c r="C407" s="50">
        <v>0</v>
      </c>
      <c r="D407" s="50">
        <v>2505</v>
      </c>
      <c r="E407" s="50"/>
      <c r="F407" s="50" t="s">
        <v>17</v>
      </c>
      <c r="G407" s="24">
        <v>0.88</v>
      </c>
      <c r="H407" s="50" t="s">
        <v>17</v>
      </c>
      <c r="I407" s="50" t="s">
        <v>1779</v>
      </c>
      <c r="J407" s="50"/>
      <c r="K407" s="50" t="s">
        <v>301</v>
      </c>
      <c r="L407" s="50" t="s">
        <v>2482</v>
      </c>
      <c r="M407" s="50"/>
    </row>
    <row r="408" spans="1:13" x14ac:dyDescent="0.3">
      <c r="A408" s="27">
        <v>45840</v>
      </c>
      <c r="B408" s="27">
        <v>45840</v>
      </c>
      <c r="C408" s="28">
        <v>37.909999999999997</v>
      </c>
      <c r="D408" s="28">
        <v>0</v>
      </c>
      <c r="E408" s="28"/>
      <c r="F408" s="28" t="s">
        <v>4</v>
      </c>
      <c r="G408" s="24">
        <v>0.97</v>
      </c>
      <c r="H408" s="28" t="s">
        <v>49</v>
      </c>
      <c r="I408" s="28" t="s">
        <v>1779</v>
      </c>
      <c r="J408" s="28"/>
      <c r="K408" s="28" t="s">
        <v>50</v>
      </c>
      <c r="L408" s="28" t="s">
        <v>2482</v>
      </c>
      <c r="M408" s="28"/>
    </row>
    <row r="409" spans="1:13" x14ac:dyDescent="0.3">
      <c r="A409" s="27">
        <v>45840</v>
      </c>
      <c r="B409" s="27">
        <v>45840</v>
      </c>
      <c r="C409" s="28">
        <v>4309.99</v>
      </c>
      <c r="D409" s="28">
        <v>0</v>
      </c>
      <c r="E409" s="28"/>
      <c r="F409" s="28" t="s">
        <v>4</v>
      </c>
      <c r="G409" s="24">
        <v>0.97</v>
      </c>
      <c r="H409" s="28" t="s">
        <v>49</v>
      </c>
      <c r="I409" s="28" t="s">
        <v>1779</v>
      </c>
      <c r="J409" s="28"/>
      <c r="K409" s="28" t="s">
        <v>50</v>
      </c>
      <c r="L409" s="28" t="s">
        <v>2482</v>
      </c>
      <c r="M409" s="28"/>
    </row>
    <row r="410" spans="1:13" x14ac:dyDescent="0.3">
      <c r="A410" s="97">
        <v>45840</v>
      </c>
      <c r="B410" s="97">
        <v>45840</v>
      </c>
      <c r="C410" s="98">
        <v>40000</v>
      </c>
      <c r="D410" s="98">
        <v>0</v>
      </c>
      <c r="E410" s="98"/>
      <c r="F410" s="98" t="s">
        <v>978</v>
      </c>
      <c r="G410" s="24">
        <v>0.85</v>
      </c>
      <c r="H410" s="98" t="s">
        <v>1031</v>
      </c>
      <c r="I410" s="98" t="s">
        <v>1680</v>
      </c>
      <c r="J410" s="98"/>
      <c r="K410" s="98" t="s">
        <v>1042</v>
      </c>
      <c r="L410" s="98" t="s">
        <v>2484</v>
      </c>
      <c r="M410" s="98"/>
    </row>
    <row r="411" spans="1:13" x14ac:dyDescent="0.3">
      <c r="A411" s="97">
        <v>45840</v>
      </c>
      <c r="B411" s="97">
        <v>45840</v>
      </c>
      <c r="C411" s="98">
        <v>0</v>
      </c>
      <c r="D411" s="98">
        <v>30000</v>
      </c>
      <c r="E411" s="98"/>
      <c r="F411" s="98" t="s">
        <v>977</v>
      </c>
      <c r="G411" s="24">
        <v>0.85</v>
      </c>
      <c r="H411" s="98" t="s">
        <v>1031</v>
      </c>
      <c r="I411" s="98" t="s">
        <v>1680</v>
      </c>
      <c r="J411" s="98"/>
      <c r="K411" s="98" t="s">
        <v>1041</v>
      </c>
      <c r="L411" s="98" t="s">
        <v>2484</v>
      </c>
      <c r="M411" s="98"/>
    </row>
    <row r="412" spans="1:13" x14ac:dyDescent="0.3">
      <c r="A412" s="101">
        <v>45840.381921296299</v>
      </c>
      <c r="B412" s="101">
        <v>45840</v>
      </c>
      <c r="C412" s="102">
        <v>1000</v>
      </c>
      <c r="D412" s="102">
        <v>0</v>
      </c>
      <c r="E412" s="102"/>
      <c r="F412" s="102" t="s">
        <v>976</v>
      </c>
      <c r="G412" s="24">
        <v>0.85</v>
      </c>
      <c r="H412" s="102" t="s">
        <v>1028</v>
      </c>
      <c r="I412" s="102" t="s">
        <v>1019</v>
      </c>
      <c r="J412" s="102"/>
      <c r="K412" s="102" t="s">
        <v>2143</v>
      </c>
      <c r="L412" s="102" t="s">
        <v>2483</v>
      </c>
      <c r="M412" s="102"/>
    </row>
    <row r="413" spans="1:13" x14ac:dyDescent="0.3">
      <c r="A413" s="89">
        <v>45840.391377314823</v>
      </c>
      <c r="B413" s="89">
        <v>45840</v>
      </c>
      <c r="C413" s="90">
        <v>1800</v>
      </c>
      <c r="D413" s="90">
        <v>0</v>
      </c>
      <c r="E413" s="90" t="s">
        <v>2147</v>
      </c>
      <c r="F413" s="90" t="s">
        <v>975</v>
      </c>
      <c r="G413" s="39">
        <v>0.55000000000000004</v>
      </c>
      <c r="H413" s="90" t="s">
        <v>91</v>
      </c>
      <c r="I413" s="90" t="s">
        <v>1019</v>
      </c>
      <c r="J413" s="90"/>
      <c r="K413" s="90" t="s">
        <v>2145</v>
      </c>
      <c r="L413" s="90" t="s">
        <v>2483</v>
      </c>
      <c r="M413" s="90"/>
    </row>
    <row r="414" spans="1:13" x14ac:dyDescent="0.3">
      <c r="A414" s="95">
        <v>45841</v>
      </c>
      <c r="B414" s="95">
        <v>45841</v>
      </c>
      <c r="C414" s="96">
        <v>23000</v>
      </c>
      <c r="D414" s="96">
        <v>0</v>
      </c>
      <c r="E414" s="96"/>
      <c r="F414" s="96" t="s">
        <v>979</v>
      </c>
      <c r="G414" s="24">
        <v>0.88</v>
      </c>
      <c r="H414" s="96" t="s">
        <v>990</v>
      </c>
      <c r="I414" s="96" t="s">
        <v>1680</v>
      </c>
      <c r="J414" s="96"/>
      <c r="K414" s="96" t="s">
        <v>1044</v>
      </c>
      <c r="L414" s="96" t="s">
        <v>2484</v>
      </c>
      <c r="M414" s="96"/>
    </row>
    <row r="415" spans="1:13" x14ac:dyDescent="0.3">
      <c r="A415" s="45">
        <v>45841</v>
      </c>
      <c r="B415" s="45">
        <v>45841</v>
      </c>
      <c r="C415" s="46">
        <v>10000</v>
      </c>
      <c r="D415" s="46">
        <v>0</v>
      </c>
      <c r="E415" s="46"/>
      <c r="F415" s="46" t="s">
        <v>15</v>
      </c>
      <c r="G415" s="24">
        <v>0.88</v>
      </c>
      <c r="H415" s="46" t="s">
        <v>149</v>
      </c>
      <c r="I415" s="46" t="s">
        <v>1779</v>
      </c>
      <c r="J415" s="46"/>
      <c r="K415" s="46" t="s">
        <v>305</v>
      </c>
      <c r="L415" s="46" t="s">
        <v>2482</v>
      </c>
      <c r="M415" s="46"/>
    </row>
    <row r="416" spans="1:13" x14ac:dyDescent="0.3">
      <c r="A416" s="47">
        <v>45841</v>
      </c>
      <c r="B416" s="47">
        <v>45841</v>
      </c>
      <c r="C416" s="48">
        <v>10000</v>
      </c>
      <c r="D416" s="48">
        <v>0</v>
      </c>
      <c r="E416" s="48"/>
      <c r="F416" s="48" t="s">
        <v>24</v>
      </c>
      <c r="G416" s="24">
        <v>0.88</v>
      </c>
      <c r="H416" s="48" t="s">
        <v>157</v>
      </c>
      <c r="I416" s="48" t="s">
        <v>1779</v>
      </c>
      <c r="J416" s="48"/>
      <c r="K416" s="48" t="s">
        <v>307</v>
      </c>
      <c r="L416" s="48" t="s">
        <v>2482</v>
      </c>
      <c r="M416" s="48"/>
    </row>
    <row r="417" spans="1:13" x14ac:dyDescent="0.3">
      <c r="A417" s="27">
        <v>45841</v>
      </c>
      <c r="B417" s="27">
        <v>45841</v>
      </c>
      <c r="C417" s="28">
        <v>36.380000000000003</v>
      </c>
      <c r="D417" s="28">
        <v>0</v>
      </c>
      <c r="E417" s="28"/>
      <c r="F417" s="28" t="s">
        <v>4</v>
      </c>
      <c r="G417" s="24">
        <v>0.97</v>
      </c>
      <c r="H417" s="28" t="s">
        <v>49</v>
      </c>
      <c r="I417" s="28" t="s">
        <v>1779</v>
      </c>
      <c r="J417" s="28"/>
      <c r="K417" s="28" t="s">
        <v>50</v>
      </c>
      <c r="L417" s="28" t="s">
        <v>2482</v>
      </c>
      <c r="M417" s="28"/>
    </row>
    <row r="418" spans="1:13" x14ac:dyDescent="0.3">
      <c r="A418" s="27">
        <v>45841</v>
      </c>
      <c r="B418" s="27">
        <v>45841</v>
      </c>
      <c r="C418" s="28">
        <v>994.31</v>
      </c>
      <c r="D418" s="28">
        <v>0</v>
      </c>
      <c r="E418" s="28"/>
      <c r="F418" s="28" t="s">
        <v>4</v>
      </c>
      <c r="G418" s="24">
        <v>0.97</v>
      </c>
      <c r="H418" s="28" t="s">
        <v>49</v>
      </c>
      <c r="I418" s="28" t="s">
        <v>1779</v>
      </c>
      <c r="J418" s="28"/>
      <c r="K418" s="28" t="s">
        <v>50</v>
      </c>
      <c r="L418" s="28" t="s">
        <v>2482</v>
      </c>
      <c r="M418" s="28"/>
    </row>
    <row r="419" spans="1:13" x14ac:dyDescent="0.3">
      <c r="A419" s="22">
        <v>45842</v>
      </c>
      <c r="B419" s="22">
        <v>45842</v>
      </c>
      <c r="C419" s="23">
        <v>0</v>
      </c>
      <c r="D419" s="23">
        <v>1</v>
      </c>
      <c r="E419" s="23"/>
      <c r="F419" s="23" t="s">
        <v>980</v>
      </c>
      <c r="G419" s="40">
        <v>0.7</v>
      </c>
      <c r="H419" s="23" t="s">
        <v>1046</v>
      </c>
      <c r="I419" s="23" t="s">
        <v>1680</v>
      </c>
      <c r="J419" s="23"/>
      <c r="K419" s="23" t="s">
        <v>1049</v>
      </c>
      <c r="L419" s="23" t="s">
        <v>2484</v>
      </c>
      <c r="M419" s="23" t="s">
        <v>2485</v>
      </c>
    </row>
    <row r="420" spans="1:13" x14ac:dyDescent="0.3">
      <c r="A420" s="22">
        <v>45842</v>
      </c>
      <c r="B420" s="22">
        <v>45842</v>
      </c>
      <c r="C420" s="23">
        <v>0</v>
      </c>
      <c r="D420" s="23">
        <v>1</v>
      </c>
      <c r="E420" s="23"/>
      <c r="F420" s="23" t="s">
        <v>980</v>
      </c>
      <c r="G420" s="40">
        <v>0.7</v>
      </c>
      <c r="H420" s="23" t="s">
        <v>1046</v>
      </c>
      <c r="I420" s="23" t="s">
        <v>1680</v>
      </c>
      <c r="J420" s="23"/>
      <c r="K420" s="23" t="s">
        <v>1048</v>
      </c>
      <c r="L420" s="23" t="s">
        <v>2484</v>
      </c>
      <c r="M420" s="23" t="s">
        <v>2485</v>
      </c>
    </row>
    <row r="421" spans="1:13" x14ac:dyDescent="0.3">
      <c r="A421" s="22">
        <v>45842</v>
      </c>
      <c r="B421" s="22">
        <v>45842</v>
      </c>
      <c r="C421" s="23">
        <v>0</v>
      </c>
      <c r="D421" s="23">
        <v>1.19</v>
      </c>
      <c r="E421" s="23"/>
      <c r="F421" s="23" t="s">
        <v>980</v>
      </c>
      <c r="G421" s="40">
        <v>0.7</v>
      </c>
      <c r="H421" s="23" t="s">
        <v>1046</v>
      </c>
      <c r="I421" s="23" t="s">
        <v>1680</v>
      </c>
      <c r="J421" s="23"/>
      <c r="K421" s="23" t="s">
        <v>1047</v>
      </c>
      <c r="L421" s="23" t="s">
        <v>2484</v>
      </c>
      <c r="M421" s="23"/>
    </row>
    <row r="422" spans="1:13" x14ac:dyDescent="0.3">
      <c r="A422" s="22">
        <v>45842</v>
      </c>
      <c r="B422" s="22">
        <v>45842</v>
      </c>
      <c r="C422" s="23">
        <v>0</v>
      </c>
      <c r="D422" s="23">
        <v>1.04</v>
      </c>
      <c r="E422" s="23"/>
      <c r="F422" s="23" t="s">
        <v>980</v>
      </c>
      <c r="G422" s="40">
        <v>0.7</v>
      </c>
      <c r="H422" s="23" t="s">
        <v>1046</v>
      </c>
      <c r="I422" s="23" t="s">
        <v>1680</v>
      </c>
      <c r="J422" s="23"/>
      <c r="K422" s="23" t="s">
        <v>1045</v>
      </c>
      <c r="L422" s="23" t="s">
        <v>2484</v>
      </c>
      <c r="M422" s="23"/>
    </row>
    <row r="423" spans="1:13" x14ac:dyDescent="0.3">
      <c r="A423" s="27">
        <v>45842</v>
      </c>
      <c r="B423" s="27">
        <v>45842</v>
      </c>
      <c r="C423" s="28">
        <v>41.56</v>
      </c>
      <c r="D423" s="28">
        <v>0</v>
      </c>
      <c r="E423" s="28"/>
      <c r="F423" s="28" t="s">
        <v>4</v>
      </c>
      <c r="G423" s="24">
        <v>0.97</v>
      </c>
      <c r="H423" s="28" t="s">
        <v>49</v>
      </c>
      <c r="I423" s="28" t="s">
        <v>1779</v>
      </c>
      <c r="J423" s="28"/>
      <c r="K423" s="28" t="s">
        <v>50</v>
      </c>
      <c r="L423" s="28" t="s">
        <v>2482</v>
      </c>
      <c r="M423" s="28"/>
    </row>
    <row r="424" spans="1:13" x14ac:dyDescent="0.3">
      <c r="A424" s="27">
        <v>45842</v>
      </c>
      <c r="B424" s="27">
        <v>45842</v>
      </c>
      <c r="C424" s="28">
        <v>2.88</v>
      </c>
      <c r="D424" s="28">
        <v>0</v>
      </c>
      <c r="E424" s="28"/>
      <c r="F424" s="28" t="s">
        <v>4</v>
      </c>
      <c r="G424" s="24">
        <v>0.97</v>
      </c>
      <c r="H424" s="28" t="s">
        <v>49</v>
      </c>
      <c r="I424" s="28" t="s">
        <v>1779</v>
      </c>
      <c r="J424" s="28"/>
      <c r="K424" s="28" t="s">
        <v>50</v>
      </c>
      <c r="L424" s="28" t="s">
        <v>2482</v>
      </c>
      <c r="M424" s="28"/>
    </row>
    <row r="425" spans="1:13" x14ac:dyDescent="0.3">
      <c r="A425" s="97">
        <v>45842</v>
      </c>
      <c r="B425" s="97">
        <v>45842</v>
      </c>
      <c r="C425" s="98">
        <v>40000</v>
      </c>
      <c r="D425" s="98">
        <v>0</v>
      </c>
      <c r="E425" s="98"/>
      <c r="F425" s="98" t="s">
        <v>978</v>
      </c>
      <c r="G425" s="24">
        <v>0.85</v>
      </c>
      <c r="H425" s="98" t="s">
        <v>1031</v>
      </c>
      <c r="I425" s="98" t="s">
        <v>1680</v>
      </c>
      <c r="J425" s="98"/>
      <c r="K425" s="98" t="s">
        <v>1050</v>
      </c>
      <c r="L425" s="98" t="s">
        <v>2484</v>
      </c>
      <c r="M425" s="98"/>
    </row>
    <row r="426" spans="1:13" x14ac:dyDescent="0.3">
      <c r="A426" s="22">
        <v>45842.49664351852</v>
      </c>
      <c r="B426" s="22">
        <v>45842</v>
      </c>
      <c r="C426" s="23">
        <v>20000</v>
      </c>
      <c r="D426" s="23">
        <v>0</v>
      </c>
      <c r="E426" s="23"/>
      <c r="F426" s="23" t="s">
        <v>1667</v>
      </c>
      <c r="G426" s="24">
        <v>0.92</v>
      </c>
      <c r="H426" s="23" t="s">
        <v>1735</v>
      </c>
      <c r="I426" s="23" t="s">
        <v>1019</v>
      </c>
      <c r="J426" s="23"/>
      <c r="K426" s="23" t="s">
        <v>2148</v>
      </c>
      <c r="L426" s="23" t="s">
        <v>2483</v>
      </c>
      <c r="M426" s="23"/>
    </row>
    <row r="427" spans="1:13" x14ac:dyDescent="0.3">
      <c r="A427" s="103">
        <v>45842.538703703707</v>
      </c>
      <c r="B427" s="103">
        <v>45842</v>
      </c>
      <c r="C427" s="104">
        <v>28</v>
      </c>
      <c r="D427" s="104">
        <v>0</v>
      </c>
      <c r="E427" s="104"/>
      <c r="F427" s="104" t="s">
        <v>983</v>
      </c>
      <c r="G427" s="40">
        <v>0.82</v>
      </c>
      <c r="H427" s="104" t="s">
        <v>131</v>
      </c>
      <c r="I427" s="104" t="s">
        <v>1019</v>
      </c>
      <c r="J427" s="104"/>
      <c r="K427" s="104" t="s">
        <v>2150</v>
      </c>
      <c r="L427" s="104" t="s">
        <v>2483</v>
      </c>
      <c r="M427" s="104"/>
    </row>
    <row r="428" spans="1:13" x14ac:dyDescent="0.3">
      <c r="A428" s="89">
        <v>45843.80133101852</v>
      </c>
      <c r="B428" s="89">
        <v>45843</v>
      </c>
      <c r="C428" s="90">
        <v>2000</v>
      </c>
      <c r="D428" s="90">
        <v>0</v>
      </c>
      <c r="E428" s="90" t="s">
        <v>2154</v>
      </c>
      <c r="F428" s="90" t="s">
        <v>975</v>
      </c>
      <c r="G428" s="39">
        <v>0.55000000000000004</v>
      </c>
      <c r="H428" s="90" t="s">
        <v>91</v>
      </c>
      <c r="I428" s="90" t="s">
        <v>1019</v>
      </c>
      <c r="J428" s="90"/>
      <c r="K428" s="90" t="s">
        <v>2152</v>
      </c>
      <c r="L428" s="90" t="s">
        <v>2483</v>
      </c>
      <c r="M428" s="90"/>
    </row>
    <row r="429" spans="1:13" x14ac:dyDescent="0.3">
      <c r="A429" s="27">
        <v>45845</v>
      </c>
      <c r="B429" s="27">
        <v>45845</v>
      </c>
      <c r="C429" s="28">
        <v>124.68</v>
      </c>
      <c r="D429" s="28">
        <v>0</v>
      </c>
      <c r="E429" s="28"/>
      <c r="F429" s="28" t="s">
        <v>4</v>
      </c>
      <c r="G429" s="24">
        <v>0.97</v>
      </c>
      <c r="H429" s="28" t="s">
        <v>49</v>
      </c>
      <c r="I429" s="28" t="s">
        <v>1779</v>
      </c>
      <c r="J429" s="28"/>
      <c r="K429" s="28" t="s">
        <v>50</v>
      </c>
      <c r="L429" s="28" t="s">
        <v>2482</v>
      </c>
      <c r="M429" s="28"/>
    </row>
    <row r="430" spans="1:13" x14ac:dyDescent="0.3">
      <c r="A430" s="27">
        <v>45845</v>
      </c>
      <c r="B430" s="27">
        <v>45845</v>
      </c>
      <c r="C430" s="28">
        <v>520.97</v>
      </c>
      <c r="D430" s="28">
        <v>0</v>
      </c>
      <c r="E430" s="28"/>
      <c r="F430" s="28" t="s">
        <v>4</v>
      </c>
      <c r="G430" s="24">
        <v>0.97</v>
      </c>
      <c r="H430" s="28" t="s">
        <v>49</v>
      </c>
      <c r="I430" s="28" t="s">
        <v>1779</v>
      </c>
      <c r="J430" s="28"/>
      <c r="K430" s="28" t="s">
        <v>50</v>
      </c>
      <c r="L430" s="28" t="s">
        <v>2482</v>
      </c>
      <c r="M430" s="28"/>
    </row>
    <row r="431" spans="1:13" x14ac:dyDescent="0.3">
      <c r="A431" s="31">
        <v>45845</v>
      </c>
      <c r="B431" s="31">
        <v>45845</v>
      </c>
      <c r="C431" s="32">
        <v>0</v>
      </c>
      <c r="D431" s="32">
        <v>1880</v>
      </c>
      <c r="E431" s="32"/>
      <c r="F431" s="32" t="s">
        <v>6</v>
      </c>
      <c r="G431" s="24">
        <v>0.95</v>
      </c>
      <c r="H431" s="32" t="s">
        <v>63</v>
      </c>
      <c r="I431" s="32" t="s">
        <v>1779</v>
      </c>
      <c r="J431" s="32"/>
      <c r="K431" s="32" t="s">
        <v>313</v>
      </c>
      <c r="L431" s="32" t="s">
        <v>2482</v>
      </c>
      <c r="M431" s="32"/>
    </row>
    <row r="432" spans="1:13" x14ac:dyDescent="0.3">
      <c r="A432" s="22">
        <v>45845</v>
      </c>
      <c r="B432" s="22">
        <v>45845</v>
      </c>
      <c r="C432" s="23">
        <v>0</v>
      </c>
      <c r="D432" s="23">
        <v>142.85</v>
      </c>
      <c r="E432" s="23"/>
      <c r="F432" s="23" t="s">
        <v>980</v>
      </c>
      <c r="G432" s="40">
        <v>0.7</v>
      </c>
      <c r="H432" s="23" t="s">
        <v>1046</v>
      </c>
      <c r="I432" s="23" t="s">
        <v>1680</v>
      </c>
      <c r="J432" s="23"/>
      <c r="K432" s="23" t="s">
        <v>1051</v>
      </c>
      <c r="L432" s="23" t="s">
        <v>2484</v>
      </c>
      <c r="M432" s="23"/>
    </row>
    <row r="433" spans="1:13" x14ac:dyDescent="0.3">
      <c r="A433" s="101">
        <v>45845.765532407408</v>
      </c>
      <c r="B433" s="101">
        <v>45845</v>
      </c>
      <c r="C433" s="102">
        <v>450</v>
      </c>
      <c r="D433" s="102">
        <v>0</v>
      </c>
      <c r="E433" s="102"/>
      <c r="F433" s="102" t="s">
        <v>985</v>
      </c>
      <c r="G433" s="40">
        <v>0.68</v>
      </c>
      <c r="H433" s="102" t="s">
        <v>91</v>
      </c>
      <c r="I433" s="102" t="s">
        <v>1019</v>
      </c>
      <c r="J433" s="102"/>
      <c r="K433" s="102" t="s">
        <v>2155</v>
      </c>
      <c r="L433" s="102" t="s">
        <v>2483</v>
      </c>
      <c r="M433" s="102"/>
    </row>
    <row r="434" spans="1:13" x14ac:dyDescent="0.3">
      <c r="A434" s="101">
        <v>45845.771608796298</v>
      </c>
      <c r="B434" s="101">
        <v>45845</v>
      </c>
      <c r="C434" s="102">
        <v>1000</v>
      </c>
      <c r="D434" s="102">
        <v>0</v>
      </c>
      <c r="E434" s="102"/>
      <c r="F434" s="102" t="s">
        <v>976</v>
      </c>
      <c r="G434" s="24">
        <v>0.85</v>
      </c>
      <c r="H434" s="102" t="s">
        <v>1028</v>
      </c>
      <c r="I434" s="102" t="s">
        <v>1019</v>
      </c>
      <c r="J434" s="102"/>
      <c r="K434" s="102" t="s">
        <v>2157</v>
      </c>
      <c r="L434" s="102" t="s">
        <v>2483</v>
      </c>
      <c r="M434" s="102"/>
    </row>
    <row r="435" spans="1:13" x14ac:dyDescent="0.3">
      <c r="A435" s="27">
        <v>45846</v>
      </c>
      <c r="B435" s="27">
        <v>45846</v>
      </c>
      <c r="C435" s="28">
        <v>41.38</v>
      </c>
      <c r="D435" s="28">
        <v>0</v>
      </c>
      <c r="E435" s="28"/>
      <c r="F435" s="28" t="s">
        <v>4</v>
      </c>
      <c r="G435" s="24">
        <v>0.97</v>
      </c>
      <c r="H435" s="28" t="s">
        <v>49</v>
      </c>
      <c r="I435" s="28" t="s">
        <v>1779</v>
      </c>
      <c r="J435" s="28"/>
      <c r="K435" s="28" t="s">
        <v>50</v>
      </c>
      <c r="L435" s="28" t="s">
        <v>2482</v>
      </c>
      <c r="M435" s="28"/>
    </row>
    <row r="436" spans="1:13" x14ac:dyDescent="0.3">
      <c r="A436" s="27">
        <v>45846</v>
      </c>
      <c r="B436" s="27">
        <v>45846</v>
      </c>
      <c r="C436" s="28">
        <v>139.37</v>
      </c>
      <c r="D436" s="28">
        <v>0</v>
      </c>
      <c r="E436" s="28"/>
      <c r="F436" s="28" t="s">
        <v>4</v>
      </c>
      <c r="G436" s="24">
        <v>0.97</v>
      </c>
      <c r="H436" s="28" t="s">
        <v>49</v>
      </c>
      <c r="I436" s="28" t="s">
        <v>1779</v>
      </c>
      <c r="J436" s="28"/>
      <c r="K436" s="28" t="s">
        <v>50</v>
      </c>
      <c r="L436" s="28" t="s">
        <v>2482</v>
      </c>
      <c r="M436" s="28"/>
    </row>
    <row r="437" spans="1:13" x14ac:dyDescent="0.3">
      <c r="A437" s="49">
        <v>45846.550810185188</v>
      </c>
      <c r="B437" s="49">
        <v>45846</v>
      </c>
      <c r="C437" s="50">
        <v>0</v>
      </c>
      <c r="D437" s="50">
        <v>210</v>
      </c>
      <c r="E437" s="50"/>
      <c r="F437" s="50" t="s">
        <v>17</v>
      </c>
      <c r="G437" s="24">
        <v>0.93</v>
      </c>
      <c r="H437" s="50" t="s">
        <v>17</v>
      </c>
      <c r="I437" s="50" t="s">
        <v>1019</v>
      </c>
      <c r="J437" s="50"/>
      <c r="K437" s="50" t="s">
        <v>2159</v>
      </c>
      <c r="L437" s="50" t="s">
        <v>2483</v>
      </c>
      <c r="M437" s="50"/>
    </row>
    <row r="438" spans="1:13" x14ac:dyDescent="0.3">
      <c r="A438" s="101">
        <v>45846.919745370367</v>
      </c>
      <c r="B438" s="101">
        <v>45846</v>
      </c>
      <c r="C438" s="102">
        <v>1000</v>
      </c>
      <c r="D438" s="102">
        <v>0</v>
      </c>
      <c r="E438" s="102"/>
      <c r="F438" s="102" t="s">
        <v>976</v>
      </c>
      <c r="G438" s="24">
        <v>0.85</v>
      </c>
      <c r="H438" s="102" t="s">
        <v>1028</v>
      </c>
      <c r="I438" s="102" t="s">
        <v>1019</v>
      </c>
      <c r="J438" s="102"/>
      <c r="K438" s="102" t="s">
        <v>2161</v>
      </c>
      <c r="L438" s="102" t="s">
        <v>2483</v>
      </c>
      <c r="M438" s="102"/>
    </row>
    <row r="439" spans="1:13" x14ac:dyDescent="0.3">
      <c r="A439" s="27">
        <v>45847</v>
      </c>
      <c r="B439" s="27">
        <v>45847</v>
      </c>
      <c r="C439" s="28">
        <v>41.33</v>
      </c>
      <c r="D439" s="28">
        <v>0</v>
      </c>
      <c r="E439" s="28"/>
      <c r="F439" s="28" t="s">
        <v>4</v>
      </c>
      <c r="G439" s="24">
        <v>0.97</v>
      </c>
      <c r="H439" s="28" t="s">
        <v>49</v>
      </c>
      <c r="I439" s="28" t="s">
        <v>1779</v>
      </c>
      <c r="J439" s="28"/>
      <c r="K439" s="28" t="s">
        <v>50</v>
      </c>
      <c r="L439" s="28" t="s">
        <v>2482</v>
      </c>
      <c r="M439" s="28"/>
    </row>
    <row r="440" spans="1:13" x14ac:dyDescent="0.3">
      <c r="A440" s="27">
        <v>45847</v>
      </c>
      <c r="B440" s="27">
        <v>45847</v>
      </c>
      <c r="C440" s="28">
        <v>8149.02</v>
      </c>
      <c r="D440" s="28">
        <v>0</v>
      </c>
      <c r="E440" s="28"/>
      <c r="F440" s="28" t="s">
        <v>4</v>
      </c>
      <c r="G440" s="24">
        <v>0.97</v>
      </c>
      <c r="H440" s="28" t="s">
        <v>49</v>
      </c>
      <c r="I440" s="28" t="s">
        <v>1779</v>
      </c>
      <c r="J440" s="28"/>
      <c r="K440" s="28" t="s">
        <v>50</v>
      </c>
      <c r="L440" s="28" t="s">
        <v>2482</v>
      </c>
      <c r="M440" s="28"/>
    </row>
    <row r="441" spans="1:13" x14ac:dyDescent="0.3">
      <c r="A441" s="101">
        <v>45847.346666666657</v>
      </c>
      <c r="B441" s="101">
        <v>45847</v>
      </c>
      <c r="C441" s="102">
        <v>1000</v>
      </c>
      <c r="D441" s="102">
        <v>0</v>
      </c>
      <c r="E441" s="102"/>
      <c r="F441" s="102" t="s">
        <v>976</v>
      </c>
      <c r="G441" s="24">
        <v>0.85</v>
      </c>
      <c r="H441" s="102" t="s">
        <v>1028</v>
      </c>
      <c r="I441" s="102" t="s">
        <v>1019</v>
      </c>
      <c r="J441" s="102"/>
      <c r="K441" s="102" t="s">
        <v>2163</v>
      </c>
      <c r="L441" s="102" t="s">
        <v>2483</v>
      </c>
      <c r="M441" s="102"/>
    </row>
    <row r="442" spans="1:13" x14ac:dyDescent="0.3">
      <c r="A442" s="27">
        <v>45848</v>
      </c>
      <c r="B442" s="27">
        <v>45848</v>
      </c>
      <c r="C442" s="28">
        <v>38.43</v>
      </c>
      <c r="D442" s="28">
        <v>0</v>
      </c>
      <c r="E442" s="28"/>
      <c r="F442" s="28" t="s">
        <v>4</v>
      </c>
      <c r="G442" s="24">
        <v>0.97</v>
      </c>
      <c r="H442" s="28" t="s">
        <v>49</v>
      </c>
      <c r="I442" s="28" t="s">
        <v>1779</v>
      </c>
      <c r="J442" s="28"/>
      <c r="K442" s="28" t="s">
        <v>50</v>
      </c>
      <c r="L442" s="28" t="s">
        <v>2482</v>
      </c>
      <c r="M442" s="28"/>
    </row>
    <row r="443" spans="1:13" x14ac:dyDescent="0.3">
      <c r="A443" s="27">
        <v>45848</v>
      </c>
      <c r="B443" s="27">
        <v>45848</v>
      </c>
      <c r="C443" s="28">
        <v>454.53</v>
      </c>
      <c r="D443" s="28">
        <v>0</v>
      </c>
      <c r="E443" s="28"/>
      <c r="F443" s="28" t="s">
        <v>4</v>
      </c>
      <c r="G443" s="24">
        <v>0.97</v>
      </c>
      <c r="H443" s="28" t="s">
        <v>49</v>
      </c>
      <c r="I443" s="28" t="s">
        <v>1779</v>
      </c>
      <c r="J443" s="28"/>
      <c r="K443" s="28" t="s">
        <v>50</v>
      </c>
      <c r="L443" s="28" t="s">
        <v>2482</v>
      </c>
      <c r="M443" s="28"/>
    </row>
    <row r="444" spans="1:13" x14ac:dyDescent="0.3">
      <c r="A444" s="101">
        <v>45848.332499999997</v>
      </c>
      <c r="B444" s="101">
        <v>45848</v>
      </c>
      <c r="C444" s="102">
        <v>1000</v>
      </c>
      <c r="D444" s="102">
        <v>0</v>
      </c>
      <c r="E444" s="102"/>
      <c r="F444" s="102" t="s">
        <v>976</v>
      </c>
      <c r="G444" s="24">
        <v>0.85</v>
      </c>
      <c r="H444" s="102" t="s">
        <v>1028</v>
      </c>
      <c r="I444" s="102" t="s">
        <v>1019</v>
      </c>
      <c r="J444" s="102"/>
      <c r="K444" s="102" t="s">
        <v>2165</v>
      </c>
      <c r="L444" s="102" t="s">
        <v>2483</v>
      </c>
      <c r="M444" s="102"/>
    </row>
    <row r="445" spans="1:13" x14ac:dyDescent="0.3">
      <c r="A445" s="59">
        <v>45848.357060185182</v>
      </c>
      <c r="B445" s="59">
        <v>45848</v>
      </c>
      <c r="C445" s="60">
        <v>0</v>
      </c>
      <c r="D445" s="60">
        <v>501</v>
      </c>
      <c r="E445" s="60"/>
      <c r="F445" s="60" t="s">
        <v>29</v>
      </c>
      <c r="G445" s="24">
        <v>0.85</v>
      </c>
      <c r="H445" s="60" t="s">
        <v>606</v>
      </c>
      <c r="I445" s="60" t="s">
        <v>1019</v>
      </c>
      <c r="J445" s="60"/>
      <c r="K445" s="60" t="s">
        <v>2167</v>
      </c>
      <c r="L445" s="60" t="s">
        <v>2483</v>
      </c>
      <c r="M445" s="60"/>
    </row>
    <row r="446" spans="1:13" x14ac:dyDescent="0.3">
      <c r="A446" s="22">
        <v>45848.578634259262</v>
      </c>
      <c r="B446" s="22">
        <v>45848</v>
      </c>
      <c r="C446" s="23">
        <v>10000</v>
      </c>
      <c r="D446" s="23">
        <v>0</v>
      </c>
      <c r="E446" s="23"/>
      <c r="F446" s="23" t="s">
        <v>1667</v>
      </c>
      <c r="G446" s="24">
        <v>0.92</v>
      </c>
      <c r="H446" s="23" t="s">
        <v>1735</v>
      </c>
      <c r="I446" s="23" t="s">
        <v>1019</v>
      </c>
      <c r="J446" s="23"/>
      <c r="K446" s="23" t="s">
        <v>2169</v>
      </c>
      <c r="L446" s="23" t="s">
        <v>2483</v>
      </c>
      <c r="M446" s="23"/>
    </row>
    <row r="447" spans="1:13" x14ac:dyDescent="0.3">
      <c r="A447" s="27">
        <v>45849</v>
      </c>
      <c r="B447" s="27">
        <v>45849</v>
      </c>
      <c r="C447" s="28">
        <v>46.31</v>
      </c>
      <c r="D447" s="28">
        <v>0</v>
      </c>
      <c r="E447" s="28"/>
      <c r="F447" s="28" t="s">
        <v>4</v>
      </c>
      <c r="G447" s="24">
        <v>0.97</v>
      </c>
      <c r="H447" s="28" t="s">
        <v>49</v>
      </c>
      <c r="I447" s="28" t="s">
        <v>1779</v>
      </c>
      <c r="J447" s="28"/>
      <c r="K447" s="28" t="s">
        <v>50</v>
      </c>
      <c r="L447" s="28" t="s">
        <v>2482</v>
      </c>
      <c r="M447" s="28"/>
    </row>
    <row r="448" spans="1:13" x14ac:dyDescent="0.3">
      <c r="A448" s="27">
        <v>45849</v>
      </c>
      <c r="B448" s="27">
        <v>45849</v>
      </c>
      <c r="C448" s="28">
        <v>2054.4899999999998</v>
      </c>
      <c r="D448" s="28">
        <v>0</v>
      </c>
      <c r="E448" s="28"/>
      <c r="F448" s="28" t="s">
        <v>4</v>
      </c>
      <c r="G448" s="24">
        <v>0.97</v>
      </c>
      <c r="H448" s="28" t="s">
        <v>49</v>
      </c>
      <c r="I448" s="28" t="s">
        <v>1779</v>
      </c>
      <c r="J448" s="28"/>
      <c r="K448" s="28" t="s">
        <v>50</v>
      </c>
      <c r="L448" s="28" t="s">
        <v>2482</v>
      </c>
      <c r="M448" s="28"/>
    </row>
    <row r="449" spans="1:13" x14ac:dyDescent="0.3">
      <c r="A449" s="101">
        <v>45849.322071759263</v>
      </c>
      <c r="B449" s="101">
        <v>45849</v>
      </c>
      <c r="C449" s="102">
        <v>1000</v>
      </c>
      <c r="D449" s="102">
        <v>0</v>
      </c>
      <c r="E449" s="102"/>
      <c r="F449" s="102" t="s">
        <v>976</v>
      </c>
      <c r="G449" s="24">
        <v>0.85</v>
      </c>
      <c r="H449" s="102" t="s">
        <v>1028</v>
      </c>
      <c r="I449" s="102" t="s">
        <v>1019</v>
      </c>
      <c r="J449" s="102"/>
      <c r="K449" s="102" t="s">
        <v>2171</v>
      </c>
      <c r="L449" s="102" t="s">
        <v>2483</v>
      </c>
      <c r="M449" s="102"/>
    </row>
    <row r="450" spans="1:13" x14ac:dyDescent="0.3">
      <c r="A450" s="22">
        <v>45849.56726851852</v>
      </c>
      <c r="B450" s="22">
        <v>45849</v>
      </c>
      <c r="C450" s="23">
        <v>20000</v>
      </c>
      <c r="D450" s="23">
        <v>0</v>
      </c>
      <c r="E450" s="23"/>
      <c r="F450" s="23" t="s">
        <v>1667</v>
      </c>
      <c r="G450" s="24">
        <v>0.92</v>
      </c>
      <c r="H450" s="23" t="s">
        <v>1735</v>
      </c>
      <c r="I450" s="23" t="s">
        <v>1019</v>
      </c>
      <c r="J450" s="23"/>
      <c r="K450" s="23" t="s">
        <v>2173</v>
      </c>
      <c r="L450" s="23" t="s">
        <v>2483</v>
      </c>
      <c r="M450" s="23"/>
    </row>
    <row r="451" spans="1:13" x14ac:dyDescent="0.3">
      <c r="A451" s="101">
        <v>45850.397418981483</v>
      </c>
      <c r="B451" s="101">
        <v>45850</v>
      </c>
      <c r="C451" s="102">
        <v>1000</v>
      </c>
      <c r="D451" s="102">
        <v>0</v>
      </c>
      <c r="E451" s="102"/>
      <c r="F451" s="102" t="s">
        <v>976</v>
      </c>
      <c r="G451" s="24">
        <v>0.85</v>
      </c>
      <c r="H451" s="102" t="s">
        <v>1028</v>
      </c>
      <c r="I451" s="102" t="s">
        <v>1019</v>
      </c>
      <c r="J451" s="102"/>
      <c r="K451" s="102" t="s">
        <v>2175</v>
      </c>
      <c r="L451" s="102" t="s">
        <v>2483</v>
      </c>
      <c r="M451" s="102"/>
    </row>
    <row r="452" spans="1:13" x14ac:dyDescent="0.3">
      <c r="A452" s="101">
        <v>45851.380648148152</v>
      </c>
      <c r="B452" s="101">
        <v>45851</v>
      </c>
      <c r="C452" s="102">
        <v>1100</v>
      </c>
      <c r="D452" s="102">
        <v>0</v>
      </c>
      <c r="E452" s="102"/>
      <c r="F452" s="102" t="s">
        <v>976</v>
      </c>
      <c r="G452" s="24">
        <v>0.85</v>
      </c>
      <c r="H452" s="102" t="s">
        <v>1028</v>
      </c>
      <c r="I452" s="102" t="s">
        <v>1019</v>
      </c>
      <c r="J452" s="102"/>
      <c r="K452" s="102" t="s">
        <v>2177</v>
      </c>
      <c r="L452" s="102" t="s">
        <v>2483</v>
      </c>
      <c r="M452" s="102"/>
    </row>
    <row r="453" spans="1:13" x14ac:dyDescent="0.3">
      <c r="A453" s="89">
        <v>45851.68074074074</v>
      </c>
      <c r="B453" s="89">
        <v>45851</v>
      </c>
      <c r="C453" s="90">
        <v>150</v>
      </c>
      <c r="D453" s="90">
        <v>0</v>
      </c>
      <c r="E453" s="90" t="s">
        <v>2181</v>
      </c>
      <c r="F453" s="90" t="s">
        <v>975</v>
      </c>
      <c r="G453" s="39">
        <v>0.55000000000000004</v>
      </c>
      <c r="H453" s="90" t="s">
        <v>91</v>
      </c>
      <c r="I453" s="90" t="s">
        <v>1019</v>
      </c>
      <c r="J453" s="90"/>
      <c r="K453" s="90" t="s">
        <v>2179</v>
      </c>
      <c r="L453" s="90" t="s">
        <v>2483</v>
      </c>
      <c r="M453" s="90"/>
    </row>
    <row r="454" spans="1:13" x14ac:dyDescent="0.3">
      <c r="A454" s="89">
        <v>45851.741793981477</v>
      </c>
      <c r="B454" s="89">
        <v>45851</v>
      </c>
      <c r="C454" s="90">
        <v>250</v>
      </c>
      <c r="D454" s="90">
        <v>0</v>
      </c>
      <c r="E454" s="90" t="s">
        <v>2184</v>
      </c>
      <c r="F454" s="90" t="s">
        <v>975</v>
      </c>
      <c r="G454" s="39">
        <v>0.55000000000000004</v>
      </c>
      <c r="H454" s="90" t="s">
        <v>91</v>
      </c>
      <c r="I454" s="90" t="s">
        <v>1019</v>
      </c>
      <c r="J454" s="90"/>
      <c r="K454" s="90" t="s">
        <v>2182</v>
      </c>
      <c r="L454" s="90" t="s">
        <v>2483</v>
      </c>
      <c r="M454" s="90"/>
    </row>
    <row r="455" spans="1:13" x14ac:dyDescent="0.3">
      <c r="A455" s="27">
        <v>45852</v>
      </c>
      <c r="B455" s="27">
        <v>45852</v>
      </c>
      <c r="C455" s="28">
        <v>136.71</v>
      </c>
      <c r="D455" s="28">
        <v>0</v>
      </c>
      <c r="E455" s="28"/>
      <c r="F455" s="28" t="s">
        <v>4</v>
      </c>
      <c r="G455" s="24">
        <v>0.97</v>
      </c>
      <c r="H455" s="28" t="s">
        <v>49</v>
      </c>
      <c r="I455" s="28" t="s">
        <v>1779</v>
      </c>
      <c r="J455" s="28"/>
      <c r="K455" s="28" t="s">
        <v>50</v>
      </c>
      <c r="L455" s="28" t="s">
        <v>2482</v>
      </c>
      <c r="M455" s="28"/>
    </row>
    <row r="456" spans="1:13" x14ac:dyDescent="0.3">
      <c r="A456" s="101">
        <v>45852.362164351849</v>
      </c>
      <c r="B456" s="101">
        <v>45852</v>
      </c>
      <c r="C456" s="102">
        <v>1000</v>
      </c>
      <c r="D456" s="102">
        <v>0</v>
      </c>
      <c r="E456" s="102"/>
      <c r="F456" s="102" t="s">
        <v>976</v>
      </c>
      <c r="G456" s="24">
        <v>0.85</v>
      </c>
      <c r="H456" s="102" t="s">
        <v>1028</v>
      </c>
      <c r="I456" s="102" t="s">
        <v>1019</v>
      </c>
      <c r="J456" s="102"/>
      <c r="K456" s="102" t="s">
        <v>2185</v>
      </c>
      <c r="L456" s="102" t="s">
        <v>2483</v>
      </c>
      <c r="M456" s="102"/>
    </row>
    <row r="457" spans="1:13" x14ac:dyDescent="0.3">
      <c r="A457" s="103">
        <v>45852.5153587963</v>
      </c>
      <c r="B457" s="103">
        <v>45852</v>
      </c>
      <c r="C457" s="104">
        <v>28</v>
      </c>
      <c r="D457" s="104">
        <v>0</v>
      </c>
      <c r="E457" s="104"/>
      <c r="F457" s="104" t="s">
        <v>983</v>
      </c>
      <c r="G457" s="40">
        <v>0.82</v>
      </c>
      <c r="H457" s="104" t="s">
        <v>131</v>
      </c>
      <c r="I457" s="104" t="s">
        <v>1019</v>
      </c>
      <c r="J457" s="104"/>
      <c r="K457" s="104" t="s">
        <v>2187</v>
      </c>
      <c r="L457" s="104" t="s">
        <v>2483</v>
      </c>
      <c r="M457" s="104"/>
    </row>
    <row r="458" spans="1:13" x14ac:dyDescent="0.3">
      <c r="A458" s="27">
        <v>45853</v>
      </c>
      <c r="B458" s="27">
        <v>45853</v>
      </c>
      <c r="C458" s="28">
        <v>45.57</v>
      </c>
      <c r="D458" s="28">
        <v>0</v>
      </c>
      <c r="E458" s="28"/>
      <c r="F458" s="28" t="s">
        <v>4</v>
      </c>
      <c r="G458" s="24">
        <v>0.97</v>
      </c>
      <c r="H458" s="28" t="s">
        <v>49</v>
      </c>
      <c r="I458" s="28" t="s">
        <v>1779</v>
      </c>
      <c r="J458" s="28"/>
      <c r="K458" s="28" t="s">
        <v>50</v>
      </c>
      <c r="L458" s="28" t="s">
        <v>2482</v>
      </c>
      <c r="M458" s="28"/>
    </row>
    <row r="459" spans="1:13" x14ac:dyDescent="0.3">
      <c r="A459" s="25">
        <v>45853</v>
      </c>
      <c r="B459" s="25">
        <v>45853</v>
      </c>
      <c r="C459" s="26">
        <v>0</v>
      </c>
      <c r="D459" s="26">
        <v>475.56</v>
      </c>
      <c r="E459" s="26"/>
      <c r="F459" s="26" t="s">
        <v>3</v>
      </c>
      <c r="G459" s="24">
        <v>0.93</v>
      </c>
      <c r="H459" s="26" t="s">
        <v>49</v>
      </c>
      <c r="I459" s="26" t="s">
        <v>1779</v>
      </c>
      <c r="J459" s="26"/>
      <c r="K459" s="26" t="s">
        <v>326</v>
      </c>
      <c r="L459" s="26" t="s">
        <v>2482</v>
      </c>
      <c r="M459" s="26"/>
    </row>
    <row r="460" spans="1:13" x14ac:dyDescent="0.3">
      <c r="A460" s="27">
        <v>45853</v>
      </c>
      <c r="B460" s="27">
        <v>45853</v>
      </c>
      <c r="C460" s="28">
        <v>11880.76</v>
      </c>
      <c r="D460" s="28">
        <v>0</v>
      </c>
      <c r="E460" s="28"/>
      <c r="F460" s="28" t="s">
        <v>4</v>
      </c>
      <c r="G460" s="24">
        <v>0.97</v>
      </c>
      <c r="H460" s="28" t="s">
        <v>49</v>
      </c>
      <c r="I460" s="28" t="s">
        <v>1779</v>
      </c>
      <c r="J460" s="28"/>
      <c r="K460" s="28" t="s">
        <v>50</v>
      </c>
      <c r="L460" s="28" t="s">
        <v>2482</v>
      </c>
      <c r="M460" s="28"/>
    </row>
    <row r="461" spans="1:13" x14ac:dyDescent="0.3">
      <c r="A461" s="101">
        <v>45853.366365740738</v>
      </c>
      <c r="B461" s="101">
        <v>45853</v>
      </c>
      <c r="C461" s="102">
        <v>1000</v>
      </c>
      <c r="D461" s="102">
        <v>0</v>
      </c>
      <c r="E461" s="102"/>
      <c r="F461" s="102" t="s">
        <v>976</v>
      </c>
      <c r="G461" s="24">
        <v>0.85</v>
      </c>
      <c r="H461" s="102" t="s">
        <v>1028</v>
      </c>
      <c r="I461" s="102" t="s">
        <v>1019</v>
      </c>
      <c r="J461" s="102"/>
      <c r="K461" s="102" t="s">
        <v>2189</v>
      </c>
      <c r="L461" s="102" t="s">
        <v>2483</v>
      </c>
      <c r="M461" s="102"/>
    </row>
    <row r="462" spans="1:13" x14ac:dyDescent="0.3">
      <c r="A462" s="97">
        <v>45853.57203703704</v>
      </c>
      <c r="B462" s="97">
        <v>45853</v>
      </c>
      <c r="C462" s="98">
        <v>1</v>
      </c>
      <c r="D462" s="98">
        <v>0</v>
      </c>
      <c r="E462" s="98"/>
      <c r="F462" s="98" t="s">
        <v>978</v>
      </c>
      <c r="G462" s="24">
        <v>0.85</v>
      </c>
      <c r="H462" s="98" t="s">
        <v>1031</v>
      </c>
      <c r="I462" s="98" t="s">
        <v>1019</v>
      </c>
      <c r="J462" s="98"/>
      <c r="K462" s="98" t="s">
        <v>2191</v>
      </c>
      <c r="L462" s="98" t="s">
        <v>2483</v>
      </c>
      <c r="M462" s="98"/>
    </row>
    <row r="463" spans="1:13" x14ac:dyDescent="0.3">
      <c r="A463" s="97">
        <v>45853.609224537038</v>
      </c>
      <c r="B463" s="97">
        <v>45853</v>
      </c>
      <c r="C463" s="98">
        <v>101</v>
      </c>
      <c r="D463" s="98">
        <v>0</v>
      </c>
      <c r="E463" s="98"/>
      <c r="F463" s="98" t="s">
        <v>978</v>
      </c>
      <c r="G463" s="24">
        <v>0.85</v>
      </c>
      <c r="H463" s="98" t="s">
        <v>1031</v>
      </c>
      <c r="I463" s="98" t="s">
        <v>1019</v>
      </c>
      <c r="J463" s="98"/>
      <c r="K463" s="98" t="s">
        <v>2193</v>
      </c>
      <c r="L463" s="98" t="s">
        <v>2483</v>
      </c>
      <c r="M463" s="98"/>
    </row>
    <row r="464" spans="1:13" x14ac:dyDescent="0.3">
      <c r="A464" s="99">
        <v>45854</v>
      </c>
      <c r="B464" s="99">
        <v>45854</v>
      </c>
      <c r="C464" s="100">
        <v>360</v>
      </c>
      <c r="D464" s="100">
        <v>0</v>
      </c>
      <c r="E464" s="100"/>
      <c r="F464" s="100" t="s">
        <v>981</v>
      </c>
      <c r="G464" s="40">
        <v>0.8</v>
      </c>
      <c r="H464" s="100" t="s">
        <v>1053</v>
      </c>
      <c r="I464" s="100" t="s">
        <v>1680</v>
      </c>
      <c r="J464" s="100"/>
      <c r="K464" s="100" t="s">
        <v>1052</v>
      </c>
      <c r="L464" s="100" t="s">
        <v>2484</v>
      </c>
      <c r="M464" s="100"/>
    </row>
    <row r="465" spans="1:13" x14ac:dyDescent="0.3">
      <c r="A465" s="25">
        <v>45854</v>
      </c>
      <c r="B465" s="25">
        <v>45854</v>
      </c>
      <c r="C465" s="26">
        <v>0</v>
      </c>
      <c r="D465" s="26">
        <v>34922.6</v>
      </c>
      <c r="E465" s="26"/>
      <c r="F465" s="26" t="s">
        <v>3</v>
      </c>
      <c r="G465" s="24">
        <v>0.93</v>
      </c>
      <c r="H465" s="26" t="s">
        <v>49</v>
      </c>
      <c r="I465" s="26" t="s">
        <v>1779</v>
      </c>
      <c r="J465" s="26"/>
      <c r="K465" s="26" t="s">
        <v>330</v>
      </c>
      <c r="L465" s="26" t="s">
        <v>2482</v>
      </c>
      <c r="M465" s="26"/>
    </row>
    <row r="466" spans="1:13" x14ac:dyDescent="0.3">
      <c r="A466" s="27">
        <v>45854</v>
      </c>
      <c r="B466" s="27">
        <v>45854</v>
      </c>
      <c r="C466" s="28">
        <v>41.51</v>
      </c>
      <c r="D466" s="28">
        <v>0</v>
      </c>
      <c r="E466" s="28"/>
      <c r="F466" s="28" t="s">
        <v>4</v>
      </c>
      <c r="G466" s="24">
        <v>0.97</v>
      </c>
      <c r="H466" s="28" t="s">
        <v>49</v>
      </c>
      <c r="I466" s="28" t="s">
        <v>1779</v>
      </c>
      <c r="J466" s="28"/>
      <c r="K466" s="28" t="s">
        <v>50</v>
      </c>
      <c r="L466" s="28" t="s">
        <v>2482</v>
      </c>
      <c r="M466" s="28"/>
    </row>
    <row r="467" spans="1:13" x14ac:dyDescent="0.3">
      <c r="A467" s="27">
        <v>45854</v>
      </c>
      <c r="B467" s="27">
        <v>45854</v>
      </c>
      <c r="C467" s="28">
        <v>134.41999999999999</v>
      </c>
      <c r="D467" s="28">
        <v>0</v>
      </c>
      <c r="E467" s="28"/>
      <c r="F467" s="28" t="s">
        <v>4</v>
      </c>
      <c r="G467" s="24">
        <v>0.97</v>
      </c>
      <c r="H467" s="28" t="s">
        <v>49</v>
      </c>
      <c r="I467" s="28" t="s">
        <v>1779</v>
      </c>
      <c r="J467" s="28"/>
      <c r="K467" s="28" t="s">
        <v>50</v>
      </c>
      <c r="L467" s="28" t="s">
        <v>2482</v>
      </c>
      <c r="M467" s="28"/>
    </row>
    <row r="468" spans="1:13" x14ac:dyDescent="0.3">
      <c r="A468" s="136">
        <v>45854</v>
      </c>
      <c r="B468" s="136">
        <v>45854</v>
      </c>
      <c r="C468" s="137">
        <v>0</v>
      </c>
      <c r="D468" s="137">
        <v>2</v>
      </c>
      <c r="E468" s="137"/>
      <c r="F468" s="137" t="s">
        <v>1661</v>
      </c>
      <c r="G468" s="40">
        <v>0.65</v>
      </c>
      <c r="H468" s="137" t="s">
        <v>91</v>
      </c>
      <c r="I468" s="137" t="s">
        <v>837</v>
      </c>
      <c r="J468" s="137"/>
      <c r="K468" s="137" t="s">
        <v>1719</v>
      </c>
      <c r="L468" s="137" t="s">
        <v>2486</v>
      </c>
      <c r="M468" s="137"/>
    </row>
    <row r="469" spans="1:13" x14ac:dyDescent="0.3">
      <c r="A469" s="136">
        <v>45854.422673611109</v>
      </c>
      <c r="B469" s="136">
        <v>45854</v>
      </c>
      <c r="C469" s="137">
        <v>2</v>
      </c>
      <c r="D469" s="137">
        <v>0</v>
      </c>
      <c r="E469" s="137"/>
      <c r="F469" s="137" t="s">
        <v>1815</v>
      </c>
      <c r="G469" s="24">
        <v>0.88</v>
      </c>
      <c r="H469" s="137" t="s">
        <v>1795</v>
      </c>
      <c r="I469" s="137" t="s">
        <v>1019</v>
      </c>
      <c r="J469" s="137"/>
      <c r="K469" s="137" t="s">
        <v>2195</v>
      </c>
      <c r="L469" s="137" t="s">
        <v>2483</v>
      </c>
      <c r="M469" s="137"/>
    </row>
    <row r="470" spans="1:13" x14ac:dyDescent="0.3">
      <c r="A470" s="101">
        <v>45854.51630787037</v>
      </c>
      <c r="B470" s="101">
        <v>45854</v>
      </c>
      <c r="C470" s="102">
        <v>1000</v>
      </c>
      <c r="D470" s="102">
        <v>0</v>
      </c>
      <c r="E470" s="102"/>
      <c r="F470" s="102" t="s">
        <v>976</v>
      </c>
      <c r="G470" s="24">
        <v>0.85</v>
      </c>
      <c r="H470" s="102" t="s">
        <v>1028</v>
      </c>
      <c r="I470" s="102" t="s">
        <v>1019</v>
      </c>
      <c r="J470" s="102"/>
      <c r="K470" s="102" t="s">
        <v>2197</v>
      </c>
      <c r="L470" s="102" t="s">
        <v>2483</v>
      </c>
      <c r="M470" s="102"/>
    </row>
    <row r="471" spans="1:13" x14ac:dyDescent="0.3">
      <c r="A471" s="101">
        <v>45855</v>
      </c>
      <c r="B471" s="101">
        <v>45855</v>
      </c>
      <c r="C471" s="102">
        <v>1002</v>
      </c>
      <c r="D471" s="102">
        <v>0</v>
      </c>
      <c r="E471" s="102"/>
      <c r="F471" s="102" t="s">
        <v>976</v>
      </c>
      <c r="G471" s="24">
        <v>0.85</v>
      </c>
      <c r="H471" s="102" t="s">
        <v>1028</v>
      </c>
      <c r="I471" s="102" t="s">
        <v>1680</v>
      </c>
      <c r="J471" s="102"/>
      <c r="K471" s="102" t="s">
        <v>1054</v>
      </c>
      <c r="L471" s="102" t="s">
        <v>2484</v>
      </c>
      <c r="M471" s="102"/>
    </row>
    <row r="472" spans="1:13" x14ac:dyDescent="0.3">
      <c r="A472" s="27">
        <v>45855</v>
      </c>
      <c r="B472" s="27">
        <v>45855</v>
      </c>
      <c r="C472" s="28">
        <v>158.94</v>
      </c>
      <c r="D472" s="28">
        <v>0</v>
      </c>
      <c r="E472" s="28"/>
      <c r="F472" s="28" t="s">
        <v>4</v>
      </c>
      <c r="G472" s="24">
        <v>0.97</v>
      </c>
      <c r="H472" s="28" t="s">
        <v>49</v>
      </c>
      <c r="I472" s="28" t="s">
        <v>1779</v>
      </c>
      <c r="J472" s="28"/>
      <c r="K472" s="28" t="s">
        <v>50</v>
      </c>
      <c r="L472" s="28" t="s">
        <v>2482</v>
      </c>
      <c r="M472" s="28"/>
    </row>
    <row r="473" spans="1:13" x14ac:dyDescent="0.3">
      <c r="A473" s="136">
        <v>45855</v>
      </c>
      <c r="B473" s="136">
        <v>45855</v>
      </c>
      <c r="C473" s="137">
        <v>0</v>
      </c>
      <c r="D473" s="137">
        <v>2</v>
      </c>
      <c r="E473" s="137"/>
      <c r="F473" s="137" t="s">
        <v>1661</v>
      </c>
      <c r="G473" s="40">
        <v>0.65</v>
      </c>
      <c r="H473" s="137" t="s">
        <v>91</v>
      </c>
      <c r="I473" s="137" t="s">
        <v>837</v>
      </c>
      <c r="J473" s="137"/>
      <c r="K473" s="137" t="s">
        <v>1720</v>
      </c>
      <c r="L473" s="137" t="s">
        <v>2486</v>
      </c>
      <c r="M473" s="137"/>
    </row>
    <row r="474" spans="1:13" x14ac:dyDescent="0.3">
      <c r="A474" s="25">
        <v>45855</v>
      </c>
      <c r="B474" s="25">
        <v>45855</v>
      </c>
      <c r="C474" s="26">
        <v>0</v>
      </c>
      <c r="D474" s="26">
        <v>31890.2</v>
      </c>
      <c r="E474" s="26"/>
      <c r="F474" s="26" t="s">
        <v>3</v>
      </c>
      <c r="G474" s="24">
        <v>0.93</v>
      </c>
      <c r="H474" s="26" t="s">
        <v>49</v>
      </c>
      <c r="I474" s="26" t="s">
        <v>1779</v>
      </c>
      <c r="J474" s="26"/>
      <c r="K474" s="26" t="s">
        <v>334</v>
      </c>
      <c r="L474" s="26" t="s">
        <v>2482</v>
      </c>
      <c r="M474" s="26"/>
    </row>
    <row r="475" spans="1:13" x14ac:dyDescent="0.3">
      <c r="A475" s="27">
        <v>45855</v>
      </c>
      <c r="B475" s="27">
        <v>45855</v>
      </c>
      <c r="C475" s="28">
        <v>40.340000000000003</v>
      </c>
      <c r="D475" s="28">
        <v>0</v>
      </c>
      <c r="E475" s="28"/>
      <c r="F475" s="28" t="s">
        <v>4</v>
      </c>
      <c r="G475" s="24">
        <v>0.97</v>
      </c>
      <c r="H475" s="28" t="s">
        <v>49</v>
      </c>
      <c r="I475" s="28" t="s">
        <v>1779</v>
      </c>
      <c r="J475" s="28"/>
      <c r="K475" s="28" t="s">
        <v>50</v>
      </c>
      <c r="L475" s="28" t="s">
        <v>2482</v>
      </c>
      <c r="M475" s="28"/>
    </row>
    <row r="476" spans="1:13" x14ac:dyDescent="0.3">
      <c r="A476" s="146">
        <v>45855.684444444443</v>
      </c>
      <c r="B476" s="146">
        <v>45855</v>
      </c>
      <c r="C476" s="147">
        <v>0</v>
      </c>
      <c r="D476" s="147">
        <v>79.34</v>
      </c>
      <c r="E476" s="147"/>
      <c r="F476" s="147" t="s">
        <v>1678</v>
      </c>
      <c r="G476" s="24">
        <v>0.88</v>
      </c>
      <c r="H476" s="147" t="s">
        <v>1658</v>
      </c>
      <c r="I476" s="147" t="s">
        <v>1019</v>
      </c>
      <c r="J476" s="147"/>
      <c r="K476" s="147" t="s">
        <v>2199</v>
      </c>
      <c r="L476" s="147" t="s">
        <v>2483</v>
      </c>
      <c r="M476" s="147"/>
    </row>
    <row r="477" spans="1:13" x14ac:dyDescent="0.3">
      <c r="A477" s="136">
        <v>45855.922905092593</v>
      </c>
      <c r="B477" s="136">
        <v>45855</v>
      </c>
      <c r="C477" s="137">
        <v>2</v>
      </c>
      <c r="D477" s="137">
        <v>0</v>
      </c>
      <c r="E477" s="137"/>
      <c r="F477" s="137" t="s">
        <v>1815</v>
      </c>
      <c r="G477" s="24">
        <v>0.88</v>
      </c>
      <c r="H477" s="137" t="s">
        <v>1795</v>
      </c>
      <c r="I477" s="137" t="s">
        <v>1019</v>
      </c>
      <c r="J477" s="137"/>
      <c r="K477" s="137" t="s">
        <v>2201</v>
      </c>
      <c r="L477" s="137" t="s">
        <v>2483</v>
      </c>
      <c r="M477" s="137"/>
    </row>
    <row r="478" spans="1:13" x14ac:dyDescent="0.3">
      <c r="A478" s="27">
        <v>45856</v>
      </c>
      <c r="B478" s="27">
        <v>45856</v>
      </c>
      <c r="C478" s="28">
        <v>40.28</v>
      </c>
      <c r="D478" s="28">
        <v>0</v>
      </c>
      <c r="E478" s="28"/>
      <c r="F478" s="28" t="s">
        <v>4</v>
      </c>
      <c r="G478" s="24">
        <v>0.97</v>
      </c>
      <c r="H478" s="28" t="s">
        <v>49</v>
      </c>
      <c r="I478" s="28" t="s">
        <v>1779</v>
      </c>
      <c r="J478" s="28"/>
      <c r="K478" s="28" t="s">
        <v>50</v>
      </c>
      <c r="L478" s="28" t="s">
        <v>2482</v>
      </c>
      <c r="M478" s="28"/>
    </row>
    <row r="479" spans="1:13" x14ac:dyDescent="0.3">
      <c r="A479" s="27">
        <v>45856</v>
      </c>
      <c r="B479" s="27">
        <v>45856</v>
      </c>
      <c r="C479" s="28">
        <v>165.54</v>
      </c>
      <c r="D479" s="28">
        <v>0</v>
      </c>
      <c r="E479" s="28"/>
      <c r="F479" s="28" t="s">
        <v>4</v>
      </c>
      <c r="G479" s="24">
        <v>0.97</v>
      </c>
      <c r="H479" s="28" t="s">
        <v>49</v>
      </c>
      <c r="I479" s="28" t="s">
        <v>1779</v>
      </c>
      <c r="J479" s="28"/>
      <c r="K479" s="28" t="s">
        <v>50</v>
      </c>
      <c r="L479" s="28" t="s">
        <v>2482</v>
      </c>
      <c r="M479" s="28"/>
    </row>
    <row r="480" spans="1:13" x14ac:dyDescent="0.3">
      <c r="A480" s="101">
        <v>45856</v>
      </c>
      <c r="B480" s="101">
        <v>45856</v>
      </c>
      <c r="C480" s="102">
        <v>1000</v>
      </c>
      <c r="D480" s="102">
        <v>0</v>
      </c>
      <c r="E480" s="102"/>
      <c r="F480" s="102" t="s">
        <v>976</v>
      </c>
      <c r="G480" s="24">
        <v>0.85</v>
      </c>
      <c r="H480" s="102" t="s">
        <v>1028</v>
      </c>
      <c r="I480" s="102" t="s">
        <v>1680</v>
      </c>
      <c r="J480" s="102"/>
      <c r="K480" s="102" t="s">
        <v>1055</v>
      </c>
      <c r="L480" s="102" t="s">
        <v>2484</v>
      </c>
      <c r="M480" s="102"/>
    </row>
    <row r="481" spans="1:13" x14ac:dyDescent="0.3">
      <c r="A481" s="41">
        <v>45856</v>
      </c>
      <c r="B481" s="41">
        <v>45856</v>
      </c>
      <c r="C481" s="42">
        <v>3006</v>
      </c>
      <c r="D481" s="42">
        <v>0</v>
      </c>
      <c r="E481" s="42"/>
      <c r="F481" s="42" t="s">
        <v>982</v>
      </c>
      <c r="G481" s="40">
        <v>0.7</v>
      </c>
      <c r="H481" s="42" t="s">
        <v>131</v>
      </c>
      <c r="I481" s="42" t="s">
        <v>1680</v>
      </c>
      <c r="J481" s="42"/>
      <c r="K481" s="42" t="s">
        <v>1056</v>
      </c>
      <c r="L481" s="42" t="s">
        <v>2484</v>
      </c>
      <c r="M481" s="42"/>
    </row>
    <row r="482" spans="1:13" x14ac:dyDescent="0.3">
      <c r="A482" s="103">
        <v>45857</v>
      </c>
      <c r="B482" s="103">
        <v>45857</v>
      </c>
      <c r="C482" s="104">
        <v>108</v>
      </c>
      <c r="D482" s="104">
        <v>0</v>
      </c>
      <c r="E482" s="104"/>
      <c r="F482" s="104" t="s">
        <v>983</v>
      </c>
      <c r="G482" s="40">
        <v>0.82</v>
      </c>
      <c r="H482" s="104" t="s">
        <v>131</v>
      </c>
      <c r="I482" s="104" t="s">
        <v>1680</v>
      </c>
      <c r="J482" s="104"/>
      <c r="K482" s="104" t="s">
        <v>1057</v>
      </c>
      <c r="L482" s="104" t="s">
        <v>2484</v>
      </c>
      <c r="M482" s="104"/>
    </row>
    <row r="483" spans="1:13" x14ac:dyDescent="0.3">
      <c r="A483" s="41">
        <v>45858</v>
      </c>
      <c r="B483" s="41">
        <v>45858</v>
      </c>
      <c r="C483" s="42">
        <v>145</v>
      </c>
      <c r="D483" s="42">
        <v>0</v>
      </c>
      <c r="E483" s="42"/>
      <c r="F483" s="42" t="s">
        <v>13</v>
      </c>
      <c r="G483" s="40">
        <v>0.82</v>
      </c>
      <c r="H483" s="42" t="s">
        <v>131</v>
      </c>
      <c r="I483" s="42" t="s">
        <v>1680</v>
      </c>
      <c r="J483" s="42"/>
      <c r="K483" s="42" t="s">
        <v>1062</v>
      </c>
      <c r="L483" s="42" t="s">
        <v>2484</v>
      </c>
      <c r="M483" s="42"/>
    </row>
    <row r="484" spans="1:13" x14ac:dyDescent="0.3">
      <c r="A484" s="89">
        <v>45858</v>
      </c>
      <c r="B484" s="89">
        <v>45858</v>
      </c>
      <c r="C484" s="90">
        <v>133</v>
      </c>
      <c r="D484" s="90">
        <v>0</v>
      </c>
      <c r="E484" s="90" t="s">
        <v>1061</v>
      </c>
      <c r="F484" s="90" t="s">
        <v>975</v>
      </c>
      <c r="G484" s="39">
        <v>0.55000000000000004</v>
      </c>
      <c r="H484" s="90" t="s">
        <v>91</v>
      </c>
      <c r="I484" s="90" t="s">
        <v>1680</v>
      </c>
      <c r="J484" s="90"/>
      <c r="K484" s="90" t="s">
        <v>1060</v>
      </c>
      <c r="L484" s="90" t="s">
        <v>2484</v>
      </c>
      <c r="M484" s="90"/>
    </row>
    <row r="485" spans="1:13" x14ac:dyDescent="0.3">
      <c r="A485" s="89">
        <v>45858</v>
      </c>
      <c r="B485" s="89">
        <v>45858</v>
      </c>
      <c r="C485" s="90">
        <v>148</v>
      </c>
      <c r="D485" s="90">
        <v>0</v>
      </c>
      <c r="E485" s="90" t="s">
        <v>1059</v>
      </c>
      <c r="F485" s="90" t="s">
        <v>975</v>
      </c>
      <c r="G485" s="39">
        <v>0.55000000000000004</v>
      </c>
      <c r="H485" s="90" t="s">
        <v>91</v>
      </c>
      <c r="I485" s="90" t="s">
        <v>1680</v>
      </c>
      <c r="J485" s="90"/>
      <c r="K485" s="90" t="s">
        <v>1058</v>
      </c>
      <c r="L485" s="90" t="s">
        <v>2484</v>
      </c>
      <c r="M485" s="90"/>
    </row>
    <row r="486" spans="1:13" x14ac:dyDescent="0.3">
      <c r="A486" s="27">
        <v>45859</v>
      </c>
      <c r="B486" s="27">
        <v>45859</v>
      </c>
      <c r="C486" s="28">
        <v>120.66</v>
      </c>
      <c r="D486" s="28">
        <v>0</v>
      </c>
      <c r="E486" s="28"/>
      <c r="F486" s="28" t="s">
        <v>4</v>
      </c>
      <c r="G486" s="24">
        <v>0.97</v>
      </c>
      <c r="H486" s="28" t="s">
        <v>49</v>
      </c>
      <c r="I486" s="28" t="s">
        <v>1779</v>
      </c>
      <c r="J486" s="28"/>
      <c r="K486" s="28" t="s">
        <v>50</v>
      </c>
      <c r="L486" s="28" t="s">
        <v>2482</v>
      </c>
      <c r="M486" s="28"/>
    </row>
    <row r="487" spans="1:13" x14ac:dyDescent="0.3">
      <c r="A487" s="57">
        <v>45859</v>
      </c>
      <c r="B487" s="57">
        <v>45859</v>
      </c>
      <c r="C487" s="58">
        <v>50000</v>
      </c>
      <c r="D487" s="58">
        <v>0</v>
      </c>
      <c r="E487" s="58"/>
      <c r="F487" s="58" t="s">
        <v>25</v>
      </c>
      <c r="G487" s="24">
        <v>0.9</v>
      </c>
      <c r="H487" s="58" t="s">
        <v>343</v>
      </c>
      <c r="I487" s="58" t="s">
        <v>1779</v>
      </c>
      <c r="J487" s="58"/>
      <c r="K487" s="58" t="s">
        <v>341</v>
      </c>
      <c r="L487" s="58" t="s">
        <v>2482</v>
      </c>
      <c r="M487" s="58"/>
    </row>
    <row r="488" spans="1:13" x14ac:dyDescent="0.3">
      <c r="A488" s="25">
        <v>45860</v>
      </c>
      <c r="B488" s="25">
        <v>45860</v>
      </c>
      <c r="C488" s="26">
        <v>0</v>
      </c>
      <c r="D488" s="26">
        <v>374.46</v>
      </c>
      <c r="E488" s="26"/>
      <c r="F488" s="26" t="s">
        <v>3</v>
      </c>
      <c r="G488" s="24">
        <v>0.93</v>
      </c>
      <c r="H488" s="26" t="s">
        <v>49</v>
      </c>
      <c r="I488" s="26" t="s">
        <v>1779</v>
      </c>
      <c r="J488" s="26"/>
      <c r="K488" s="26" t="s">
        <v>344</v>
      </c>
      <c r="L488" s="26" t="s">
        <v>2482</v>
      </c>
      <c r="M488" s="26"/>
    </row>
    <row r="489" spans="1:13" x14ac:dyDescent="0.3">
      <c r="A489" s="101">
        <v>45860</v>
      </c>
      <c r="B489" s="101">
        <v>45860</v>
      </c>
      <c r="C489" s="102">
        <v>1000</v>
      </c>
      <c r="D489" s="102">
        <v>0</v>
      </c>
      <c r="E489" s="102"/>
      <c r="F489" s="102" t="s">
        <v>976</v>
      </c>
      <c r="G489" s="24">
        <v>0.85</v>
      </c>
      <c r="H489" s="102" t="s">
        <v>1028</v>
      </c>
      <c r="I489" s="102" t="s">
        <v>1680</v>
      </c>
      <c r="J489" s="102"/>
      <c r="K489" s="102" t="s">
        <v>1063</v>
      </c>
      <c r="L489" s="102" t="s">
        <v>2484</v>
      </c>
      <c r="M489" s="102"/>
    </row>
    <row r="490" spans="1:13" x14ac:dyDescent="0.3">
      <c r="A490" s="27">
        <v>45860</v>
      </c>
      <c r="B490" s="27">
        <v>45860</v>
      </c>
      <c r="C490" s="28">
        <v>40.22</v>
      </c>
      <c r="D490" s="28">
        <v>0</v>
      </c>
      <c r="E490" s="28"/>
      <c r="F490" s="28" t="s">
        <v>4</v>
      </c>
      <c r="G490" s="24">
        <v>0.97</v>
      </c>
      <c r="H490" s="28" t="s">
        <v>49</v>
      </c>
      <c r="I490" s="28" t="s">
        <v>1779</v>
      </c>
      <c r="J490" s="28"/>
      <c r="K490" s="28" t="s">
        <v>50</v>
      </c>
      <c r="L490" s="28" t="s">
        <v>2482</v>
      </c>
      <c r="M490" s="28"/>
    </row>
    <row r="491" spans="1:13" x14ac:dyDescent="0.3">
      <c r="A491" s="27">
        <v>45860</v>
      </c>
      <c r="B491" s="27">
        <v>45860</v>
      </c>
      <c r="C491" s="28">
        <v>413.85</v>
      </c>
      <c r="D491" s="28">
        <v>0</v>
      </c>
      <c r="E491" s="28"/>
      <c r="F491" s="28" t="s">
        <v>4</v>
      </c>
      <c r="G491" s="24">
        <v>0.97</v>
      </c>
      <c r="H491" s="28" t="s">
        <v>49</v>
      </c>
      <c r="I491" s="28" t="s">
        <v>1779</v>
      </c>
      <c r="J491" s="28"/>
      <c r="K491" s="28" t="s">
        <v>50</v>
      </c>
      <c r="L491" s="28" t="s">
        <v>2482</v>
      </c>
      <c r="M491" s="28"/>
    </row>
    <row r="492" spans="1:13" x14ac:dyDescent="0.3">
      <c r="A492" s="97">
        <v>45861</v>
      </c>
      <c r="B492" s="97">
        <v>45861</v>
      </c>
      <c r="C492" s="98">
        <v>5000</v>
      </c>
      <c r="D492" s="98">
        <v>0</v>
      </c>
      <c r="E492" s="98"/>
      <c r="F492" s="98" t="s">
        <v>978</v>
      </c>
      <c r="G492" s="24">
        <v>0.85</v>
      </c>
      <c r="H492" s="98" t="s">
        <v>1031</v>
      </c>
      <c r="I492" s="98" t="s">
        <v>1680</v>
      </c>
      <c r="J492" s="98"/>
      <c r="K492" s="98" t="s">
        <v>1065</v>
      </c>
      <c r="L492" s="98" t="s">
        <v>2484</v>
      </c>
      <c r="M492" s="98"/>
    </row>
    <row r="493" spans="1:13" x14ac:dyDescent="0.3">
      <c r="A493" s="35">
        <v>45861</v>
      </c>
      <c r="B493" s="35">
        <v>45861</v>
      </c>
      <c r="C493" s="36">
        <v>330.4</v>
      </c>
      <c r="D493" s="36">
        <v>0</v>
      </c>
      <c r="E493" s="36"/>
      <c r="F493" s="36" t="s">
        <v>9</v>
      </c>
      <c r="G493" s="24">
        <v>0.93</v>
      </c>
      <c r="H493" s="36" t="s">
        <v>9</v>
      </c>
      <c r="I493" s="36" t="s">
        <v>1779</v>
      </c>
      <c r="J493" s="36"/>
      <c r="K493" s="36" t="s">
        <v>348</v>
      </c>
      <c r="L493" s="36" t="s">
        <v>2482</v>
      </c>
      <c r="M493" s="36"/>
    </row>
    <row r="494" spans="1:13" x14ac:dyDescent="0.3">
      <c r="A494" s="27">
        <v>45861</v>
      </c>
      <c r="B494" s="27">
        <v>45861</v>
      </c>
      <c r="C494" s="28">
        <v>8668.6200000000008</v>
      </c>
      <c r="D494" s="28">
        <v>0</v>
      </c>
      <c r="E494" s="28"/>
      <c r="F494" s="28" t="s">
        <v>4</v>
      </c>
      <c r="G494" s="24">
        <v>0.97</v>
      </c>
      <c r="H494" s="28" t="s">
        <v>49</v>
      </c>
      <c r="I494" s="28" t="s">
        <v>1779</v>
      </c>
      <c r="J494" s="28"/>
      <c r="K494" s="28" t="s">
        <v>50</v>
      </c>
      <c r="L494" s="28" t="s">
        <v>2482</v>
      </c>
      <c r="M494" s="28"/>
    </row>
    <row r="495" spans="1:13" x14ac:dyDescent="0.3">
      <c r="A495" s="101">
        <v>45861</v>
      </c>
      <c r="B495" s="101">
        <v>45861</v>
      </c>
      <c r="C495" s="102">
        <v>1032.43</v>
      </c>
      <c r="D495" s="102">
        <v>0</v>
      </c>
      <c r="E495" s="102"/>
      <c r="F495" s="102" t="s">
        <v>976</v>
      </c>
      <c r="G495" s="24">
        <v>0.85</v>
      </c>
      <c r="H495" s="102" t="s">
        <v>1028</v>
      </c>
      <c r="I495" s="102" t="s">
        <v>1680</v>
      </c>
      <c r="J495" s="102"/>
      <c r="K495" s="102" t="s">
        <v>1064</v>
      </c>
      <c r="L495" s="102" t="s">
        <v>2484</v>
      </c>
      <c r="M495" s="102"/>
    </row>
    <row r="496" spans="1:13" x14ac:dyDescent="0.3">
      <c r="A496" s="97">
        <v>45862</v>
      </c>
      <c r="B496" s="97">
        <v>45862</v>
      </c>
      <c r="C496" s="98">
        <v>15000</v>
      </c>
      <c r="D496" s="98">
        <v>0</v>
      </c>
      <c r="E496" s="98"/>
      <c r="F496" s="98" t="s">
        <v>978</v>
      </c>
      <c r="G496" s="24">
        <v>0.85</v>
      </c>
      <c r="H496" s="98" t="s">
        <v>1031</v>
      </c>
      <c r="I496" s="98" t="s">
        <v>1680</v>
      </c>
      <c r="J496" s="98"/>
      <c r="K496" s="98" t="s">
        <v>1066</v>
      </c>
      <c r="L496" s="98" t="s">
        <v>2484</v>
      </c>
      <c r="M496" s="98"/>
    </row>
    <row r="497" spans="1:13" x14ac:dyDescent="0.3">
      <c r="A497" s="27">
        <v>45862</v>
      </c>
      <c r="B497" s="27">
        <v>45862</v>
      </c>
      <c r="C497" s="28">
        <v>179.74</v>
      </c>
      <c r="D497" s="28">
        <v>0</v>
      </c>
      <c r="E497" s="28"/>
      <c r="F497" s="28" t="s">
        <v>4</v>
      </c>
      <c r="G497" s="24">
        <v>0.97</v>
      </c>
      <c r="H497" s="28" t="s">
        <v>49</v>
      </c>
      <c r="I497" s="28" t="s">
        <v>1779</v>
      </c>
      <c r="J497" s="28"/>
      <c r="K497" s="28" t="s">
        <v>50</v>
      </c>
      <c r="L497" s="28" t="s">
        <v>2482</v>
      </c>
      <c r="M497" s="28"/>
    </row>
    <row r="498" spans="1:13" x14ac:dyDescent="0.3">
      <c r="A498" s="27">
        <v>45862</v>
      </c>
      <c r="B498" s="27">
        <v>45862</v>
      </c>
      <c r="C498" s="28">
        <v>37.130000000000003</v>
      </c>
      <c r="D498" s="28">
        <v>0</v>
      </c>
      <c r="E498" s="28"/>
      <c r="F498" s="28" t="s">
        <v>4</v>
      </c>
      <c r="G498" s="24">
        <v>0.97</v>
      </c>
      <c r="H498" s="28" t="s">
        <v>49</v>
      </c>
      <c r="I498" s="28" t="s">
        <v>1779</v>
      </c>
      <c r="J498" s="28"/>
      <c r="K498" s="28" t="s">
        <v>50</v>
      </c>
      <c r="L498" s="28" t="s">
        <v>2482</v>
      </c>
      <c r="M498" s="28"/>
    </row>
    <row r="499" spans="1:13" x14ac:dyDescent="0.3">
      <c r="A499" s="25">
        <v>45862</v>
      </c>
      <c r="B499" s="25">
        <v>45862</v>
      </c>
      <c r="C499" s="26">
        <v>0</v>
      </c>
      <c r="D499" s="26">
        <v>40608.699999999997</v>
      </c>
      <c r="E499" s="26"/>
      <c r="F499" s="26" t="s">
        <v>3</v>
      </c>
      <c r="G499" s="24">
        <v>0.93</v>
      </c>
      <c r="H499" s="26" t="s">
        <v>49</v>
      </c>
      <c r="I499" s="26" t="s">
        <v>1779</v>
      </c>
      <c r="J499" s="26"/>
      <c r="K499" s="26" t="s">
        <v>350</v>
      </c>
      <c r="L499" s="26" t="s">
        <v>2482</v>
      </c>
      <c r="M499" s="26"/>
    </row>
    <row r="500" spans="1:13" x14ac:dyDescent="0.3">
      <c r="A500" s="85">
        <v>45862</v>
      </c>
      <c r="B500" s="85">
        <v>45862</v>
      </c>
      <c r="C500" s="86">
        <v>15000</v>
      </c>
      <c r="D500" s="86">
        <v>0</v>
      </c>
      <c r="E500" s="86"/>
      <c r="F500" s="86" t="s">
        <v>974</v>
      </c>
      <c r="G500" s="24">
        <v>0.9</v>
      </c>
      <c r="H500" s="86" t="s">
        <v>1019</v>
      </c>
      <c r="I500" s="86" t="s">
        <v>1680</v>
      </c>
      <c r="J500" s="86"/>
      <c r="K500" s="86" t="s">
        <v>1067</v>
      </c>
      <c r="L500" s="86" t="s">
        <v>2484</v>
      </c>
      <c r="M500" s="86"/>
    </row>
    <row r="501" spans="1:13" x14ac:dyDescent="0.3">
      <c r="A501" s="49">
        <v>45862.281018518523</v>
      </c>
      <c r="B501" s="49">
        <v>45862</v>
      </c>
      <c r="C501" s="50">
        <v>0</v>
      </c>
      <c r="D501" s="50">
        <v>50</v>
      </c>
      <c r="E501" s="50"/>
      <c r="F501" s="50" t="s">
        <v>17</v>
      </c>
      <c r="G501" s="24">
        <v>0.93</v>
      </c>
      <c r="H501" s="50" t="s">
        <v>17</v>
      </c>
      <c r="I501" s="50" t="s">
        <v>1019</v>
      </c>
      <c r="J501" s="50"/>
      <c r="K501" s="50" t="s">
        <v>2203</v>
      </c>
      <c r="L501" s="50" t="s">
        <v>2483</v>
      </c>
      <c r="M501" s="50"/>
    </row>
    <row r="502" spans="1:13" x14ac:dyDescent="0.3">
      <c r="A502" s="27">
        <v>45862.437511574077</v>
      </c>
      <c r="B502" s="27">
        <v>45862</v>
      </c>
      <c r="C502" s="28">
        <v>0</v>
      </c>
      <c r="D502" s="28">
        <v>15000</v>
      </c>
      <c r="E502" s="28"/>
      <c r="F502" s="28" t="s">
        <v>1656</v>
      </c>
      <c r="G502" s="24">
        <v>0.95</v>
      </c>
      <c r="H502" s="28" t="s">
        <v>1680</v>
      </c>
      <c r="I502" s="28" t="s">
        <v>1019</v>
      </c>
      <c r="J502" s="28"/>
      <c r="K502" s="28" t="s">
        <v>2205</v>
      </c>
      <c r="L502" s="28" t="s">
        <v>2483</v>
      </c>
      <c r="M502" s="28"/>
    </row>
    <row r="503" spans="1:13" x14ac:dyDescent="0.3">
      <c r="A503" s="27">
        <v>45863</v>
      </c>
      <c r="B503" s="27">
        <v>45863</v>
      </c>
      <c r="C503" s="28">
        <v>2160.5100000000002</v>
      </c>
      <c r="D503" s="28">
        <v>0</v>
      </c>
      <c r="E503" s="28"/>
      <c r="F503" s="28" t="s">
        <v>4</v>
      </c>
      <c r="G503" s="24">
        <v>0.97</v>
      </c>
      <c r="H503" s="28" t="s">
        <v>49</v>
      </c>
      <c r="I503" s="28" t="s">
        <v>1779</v>
      </c>
      <c r="J503" s="28"/>
      <c r="K503" s="28" t="s">
        <v>50</v>
      </c>
      <c r="L503" s="28" t="s">
        <v>2482</v>
      </c>
      <c r="M503" s="28"/>
    </row>
    <row r="504" spans="1:13" x14ac:dyDescent="0.3">
      <c r="A504" s="27">
        <v>45863</v>
      </c>
      <c r="B504" s="27">
        <v>45863</v>
      </c>
      <c r="C504" s="28">
        <v>44.18</v>
      </c>
      <c r="D504" s="28">
        <v>0</v>
      </c>
      <c r="E504" s="28"/>
      <c r="F504" s="28" t="s">
        <v>4</v>
      </c>
      <c r="G504" s="24">
        <v>0.97</v>
      </c>
      <c r="H504" s="28" t="s">
        <v>49</v>
      </c>
      <c r="I504" s="28" t="s">
        <v>1779</v>
      </c>
      <c r="J504" s="28"/>
      <c r="K504" s="28" t="s">
        <v>50</v>
      </c>
      <c r="L504" s="28" t="s">
        <v>2482</v>
      </c>
      <c r="M504" s="28"/>
    </row>
    <row r="505" spans="1:13" x14ac:dyDescent="0.3">
      <c r="A505" s="89">
        <v>45863</v>
      </c>
      <c r="B505" s="89">
        <v>45863</v>
      </c>
      <c r="C505" s="90">
        <v>100</v>
      </c>
      <c r="D505" s="90">
        <v>0</v>
      </c>
      <c r="E505" s="90" t="s">
        <v>1069</v>
      </c>
      <c r="F505" s="90" t="s">
        <v>975</v>
      </c>
      <c r="G505" s="39">
        <v>0.55000000000000004</v>
      </c>
      <c r="H505" s="90" t="s">
        <v>91</v>
      </c>
      <c r="I505" s="90" t="s">
        <v>1680</v>
      </c>
      <c r="J505" s="90"/>
      <c r="K505" s="90" t="s">
        <v>1068</v>
      </c>
      <c r="L505" s="90" t="s">
        <v>2484</v>
      </c>
      <c r="M505" s="90"/>
    </row>
    <row r="506" spans="1:13" x14ac:dyDescent="0.3">
      <c r="A506" s="49">
        <v>45863.284282407411</v>
      </c>
      <c r="B506" s="49">
        <v>45863</v>
      </c>
      <c r="C506" s="50">
        <v>0</v>
      </c>
      <c r="D506" s="50">
        <v>228</v>
      </c>
      <c r="E506" s="50"/>
      <c r="F506" s="50" t="s">
        <v>17</v>
      </c>
      <c r="G506" s="24">
        <v>0.93</v>
      </c>
      <c r="H506" s="50" t="s">
        <v>17</v>
      </c>
      <c r="I506" s="50" t="s">
        <v>1019</v>
      </c>
      <c r="J506" s="50"/>
      <c r="K506" s="50" t="s">
        <v>2207</v>
      </c>
      <c r="L506" s="50" t="s">
        <v>2483</v>
      </c>
      <c r="M506" s="50"/>
    </row>
    <row r="507" spans="1:13" x14ac:dyDescent="0.3">
      <c r="A507" s="49">
        <v>45863.631574074083</v>
      </c>
      <c r="B507" s="49">
        <v>45863</v>
      </c>
      <c r="C507" s="50">
        <v>0</v>
      </c>
      <c r="D507" s="50">
        <v>88</v>
      </c>
      <c r="E507" s="50"/>
      <c r="F507" s="50" t="s">
        <v>17</v>
      </c>
      <c r="G507" s="24">
        <v>0.93</v>
      </c>
      <c r="H507" s="50" t="s">
        <v>17</v>
      </c>
      <c r="I507" s="50" t="s">
        <v>1019</v>
      </c>
      <c r="J507" s="50"/>
      <c r="K507" s="50" t="s">
        <v>2209</v>
      </c>
      <c r="L507" s="50" t="s">
        <v>2483</v>
      </c>
      <c r="M507" s="50"/>
    </row>
    <row r="508" spans="1:13" x14ac:dyDescent="0.3">
      <c r="A508" s="103">
        <v>45863.858078703714</v>
      </c>
      <c r="B508" s="103">
        <v>45863</v>
      </c>
      <c r="C508" s="104">
        <v>28</v>
      </c>
      <c r="D508" s="104">
        <v>0</v>
      </c>
      <c r="E508" s="104"/>
      <c r="F508" s="104" t="s">
        <v>983</v>
      </c>
      <c r="G508" s="40">
        <v>0.82</v>
      </c>
      <c r="H508" s="104" t="s">
        <v>131</v>
      </c>
      <c r="I508" s="104" t="s">
        <v>1019</v>
      </c>
      <c r="J508" s="104"/>
      <c r="K508" s="104" t="s">
        <v>2211</v>
      </c>
      <c r="L508" s="104" t="s">
        <v>2483</v>
      </c>
      <c r="M508" s="104"/>
    </row>
    <row r="509" spans="1:13" x14ac:dyDescent="0.3">
      <c r="A509" s="89">
        <v>45864</v>
      </c>
      <c r="B509" s="89">
        <v>45864</v>
      </c>
      <c r="C509" s="90">
        <v>220</v>
      </c>
      <c r="D509" s="90">
        <v>0</v>
      </c>
      <c r="E509" s="90" t="s">
        <v>1072</v>
      </c>
      <c r="F509" s="90" t="s">
        <v>975</v>
      </c>
      <c r="G509" s="39">
        <v>0.55000000000000004</v>
      </c>
      <c r="H509" s="90" t="s">
        <v>91</v>
      </c>
      <c r="I509" s="90" t="s">
        <v>1680</v>
      </c>
      <c r="J509" s="90"/>
      <c r="K509" s="90" t="s">
        <v>1071</v>
      </c>
      <c r="L509" s="90" t="s">
        <v>2484</v>
      </c>
      <c r="M509" s="90"/>
    </row>
    <row r="510" spans="1:13" x14ac:dyDescent="0.3">
      <c r="A510" s="85">
        <v>45864</v>
      </c>
      <c r="B510" s="85">
        <v>45864</v>
      </c>
      <c r="C510" s="86">
        <v>7000</v>
      </c>
      <c r="D510" s="86">
        <v>0</v>
      </c>
      <c r="E510" s="86"/>
      <c r="F510" s="86" t="s">
        <v>974</v>
      </c>
      <c r="G510" s="24">
        <v>0.9</v>
      </c>
      <c r="H510" s="86" t="s">
        <v>1019</v>
      </c>
      <c r="I510" s="86" t="s">
        <v>1680</v>
      </c>
      <c r="J510" s="86"/>
      <c r="K510" s="86" t="s">
        <v>1070</v>
      </c>
      <c r="L510" s="86" t="s">
        <v>2484</v>
      </c>
      <c r="M510" s="86"/>
    </row>
    <row r="511" spans="1:13" x14ac:dyDescent="0.3">
      <c r="A511" s="27">
        <v>45864.35832175926</v>
      </c>
      <c r="B511" s="27">
        <v>45864</v>
      </c>
      <c r="C511" s="28">
        <v>0</v>
      </c>
      <c r="D511" s="28">
        <v>7000</v>
      </c>
      <c r="E511" s="28"/>
      <c r="F511" s="28" t="s">
        <v>1656</v>
      </c>
      <c r="G511" s="24">
        <v>0.95</v>
      </c>
      <c r="H511" s="28" t="s">
        <v>1680</v>
      </c>
      <c r="I511" s="28" t="s">
        <v>1019</v>
      </c>
      <c r="J511" s="28"/>
      <c r="K511" s="28" t="s">
        <v>2213</v>
      </c>
      <c r="L511" s="28" t="s">
        <v>2483</v>
      </c>
      <c r="M511" s="28"/>
    </row>
    <row r="512" spans="1:13" x14ac:dyDescent="0.3">
      <c r="A512" s="27">
        <v>45866</v>
      </c>
      <c r="B512" s="27">
        <v>45866</v>
      </c>
      <c r="C512" s="28">
        <v>1732.45</v>
      </c>
      <c r="D512" s="28">
        <v>0</v>
      </c>
      <c r="E512" s="28"/>
      <c r="F512" s="28" t="s">
        <v>4</v>
      </c>
      <c r="G512" s="24">
        <v>0.97</v>
      </c>
      <c r="H512" s="28" t="s">
        <v>49</v>
      </c>
      <c r="I512" s="28" t="s">
        <v>1779</v>
      </c>
      <c r="J512" s="28"/>
      <c r="K512" s="28" t="s">
        <v>50</v>
      </c>
      <c r="L512" s="28" t="s">
        <v>2482</v>
      </c>
      <c r="M512" s="28"/>
    </row>
    <row r="513" spans="1:13" x14ac:dyDescent="0.3">
      <c r="A513" s="27">
        <v>45866</v>
      </c>
      <c r="B513" s="27">
        <v>45866</v>
      </c>
      <c r="C513" s="28">
        <v>130.22999999999999</v>
      </c>
      <c r="D513" s="28">
        <v>0</v>
      </c>
      <c r="E513" s="28"/>
      <c r="F513" s="28" t="s">
        <v>4</v>
      </c>
      <c r="G513" s="24">
        <v>0.97</v>
      </c>
      <c r="H513" s="28" t="s">
        <v>49</v>
      </c>
      <c r="I513" s="28" t="s">
        <v>1779</v>
      </c>
      <c r="J513" s="28"/>
      <c r="K513" s="28" t="s">
        <v>50</v>
      </c>
      <c r="L513" s="28" t="s">
        <v>2482</v>
      </c>
      <c r="M513" s="28"/>
    </row>
    <row r="514" spans="1:13" x14ac:dyDescent="0.3">
      <c r="A514" s="22">
        <v>45866</v>
      </c>
      <c r="B514" s="22">
        <v>45866</v>
      </c>
      <c r="C514" s="23">
        <v>5000</v>
      </c>
      <c r="D514" s="23">
        <v>0</v>
      </c>
      <c r="E514" s="23"/>
      <c r="F514" s="23" t="s">
        <v>2</v>
      </c>
      <c r="G514" s="24">
        <v>0.95</v>
      </c>
      <c r="H514" s="23" t="s">
        <v>2</v>
      </c>
      <c r="I514" s="23" t="s">
        <v>1779</v>
      </c>
      <c r="J514" s="23"/>
      <c r="K514" s="23" t="s">
        <v>356</v>
      </c>
      <c r="L514" s="23" t="s">
        <v>2482</v>
      </c>
      <c r="M514" s="23"/>
    </row>
    <row r="515" spans="1:13" x14ac:dyDescent="0.3">
      <c r="A515" s="22">
        <v>45866.285624999997</v>
      </c>
      <c r="B515" s="22">
        <v>45866</v>
      </c>
      <c r="C515" s="23">
        <v>7000</v>
      </c>
      <c r="D515" s="23">
        <v>0</v>
      </c>
      <c r="E515" s="23"/>
      <c r="F515" s="23" t="s">
        <v>2</v>
      </c>
      <c r="G515" s="24">
        <v>0.96</v>
      </c>
      <c r="H515" s="23" t="s">
        <v>2</v>
      </c>
      <c r="I515" s="23" t="s">
        <v>1019</v>
      </c>
      <c r="J515" s="23"/>
      <c r="K515" s="23" t="s">
        <v>2215</v>
      </c>
      <c r="L515" s="23" t="s">
        <v>2483</v>
      </c>
      <c r="M515" s="23"/>
    </row>
    <row r="516" spans="1:13" x14ac:dyDescent="0.3">
      <c r="A516" s="27">
        <v>45867</v>
      </c>
      <c r="B516" s="27">
        <v>45867</v>
      </c>
      <c r="C516" s="28">
        <v>42.79</v>
      </c>
      <c r="D516" s="28">
        <v>0</v>
      </c>
      <c r="E516" s="28"/>
      <c r="F516" s="28" t="s">
        <v>4</v>
      </c>
      <c r="G516" s="24">
        <v>0.97</v>
      </c>
      <c r="H516" s="28" t="s">
        <v>49</v>
      </c>
      <c r="I516" s="28" t="s">
        <v>1779</v>
      </c>
      <c r="J516" s="28"/>
      <c r="K516" s="28" t="s">
        <v>50</v>
      </c>
      <c r="L516" s="28" t="s">
        <v>2482</v>
      </c>
      <c r="M516" s="28"/>
    </row>
    <row r="517" spans="1:13" x14ac:dyDescent="0.3">
      <c r="A517" s="89">
        <v>45867</v>
      </c>
      <c r="B517" s="89">
        <v>45867</v>
      </c>
      <c r="C517" s="90">
        <v>471.75</v>
      </c>
      <c r="D517" s="90">
        <v>0</v>
      </c>
      <c r="E517" s="90" t="s">
        <v>1074</v>
      </c>
      <c r="F517" s="90" t="s">
        <v>975</v>
      </c>
      <c r="G517" s="39">
        <v>0.55000000000000004</v>
      </c>
      <c r="H517" s="90" t="s">
        <v>91</v>
      </c>
      <c r="I517" s="90" t="s">
        <v>1680</v>
      </c>
      <c r="J517" s="90"/>
      <c r="K517" s="90" t="s">
        <v>1073</v>
      </c>
      <c r="L517" s="90" t="s">
        <v>2484</v>
      </c>
      <c r="M517" s="90"/>
    </row>
    <row r="518" spans="1:13" x14ac:dyDescent="0.3">
      <c r="A518" s="89">
        <v>45867.551354166673</v>
      </c>
      <c r="B518" s="89">
        <v>45867</v>
      </c>
      <c r="C518" s="90">
        <v>35</v>
      </c>
      <c r="D518" s="90">
        <v>0</v>
      </c>
      <c r="E518" s="90" t="s">
        <v>2219</v>
      </c>
      <c r="F518" s="90" t="s">
        <v>975</v>
      </c>
      <c r="G518" s="39">
        <v>0.55000000000000004</v>
      </c>
      <c r="H518" s="90" t="s">
        <v>91</v>
      </c>
      <c r="I518" s="90" t="s">
        <v>1019</v>
      </c>
      <c r="J518" s="90"/>
      <c r="K518" s="90" t="s">
        <v>2217</v>
      </c>
      <c r="L518" s="90" t="s">
        <v>2483</v>
      </c>
      <c r="M518" s="90"/>
    </row>
    <row r="519" spans="1:13" x14ac:dyDescent="0.3">
      <c r="A519" s="27">
        <v>45868</v>
      </c>
      <c r="B519" s="27">
        <v>45868</v>
      </c>
      <c r="C519" s="28">
        <v>708.12</v>
      </c>
      <c r="D519" s="28">
        <v>0</v>
      </c>
      <c r="E519" s="28"/>
      <c r="F519" s="28" t="s">
        <v>4</v>
      </c>
      <c r="G519" s="24">
        <v>0.97</v>
      </c>
      <c r="H519" s="28" t="s">
        <v>49</v>
      </c>
      <c r="I519" s="28" t="s">
        <v>1779</v>
      </c>
      <c r="J519" s="28"/>
      <c r="K519" s="28" t="s">
        <v>50</v>
      </c>
      <c r="L519" s="28" t="s">
        <v>2482</v>
      </c>
      <c r="M519" s="28"/>
    </row>
    <row r="520" spans="1:13" x14ac:dyDescent="0.3">
      <c r="A520" s="27">
        <v>45868</v>
      </c>
      <c r="B520" s="27">
        <v>45868</v>
      </c>
      <c r="C520" s="28">
        <v>42.79</v>
      </c>
      <c r="D520" s="28">
        <v>0</v>
      </c>
      <c r="E520" s="28"/>
      <c r="F520" s="28" t="s">
        <v>4</v>
      </c>
      <c r="G520" s="24">
        <v>0.97</v>
      </c>
      <c r="H520" s="28" t="s">
        <v>49</v>
      </c>
      <c r="I520" s="28" t="s">
        <v>1779</v>
      </c>
      <c r="J520" s="28"/>
      <c r="K520" s="28" t="s">
        <v>50</v>
      </c>
      <c r="L520" s="28" t="s">
        <v>2482</v>
      </c>
      <c r="M520" s="28"/>
    </row>
    <row r="521" spans="1:13" x14ac:dyDescent="0.3">
      <c r="A521" s="22">
        <v>45868</v>
      </c>
      <c r="B521" s="22">
        <v>45868</v>
      </c>
      <c r="C521" s="23">
        <v>5000</v>
      </c>
      <c r="D521" s="23">
        <v>0</v>
      </c>
      <c r="E521" s="23"/>
      <c r="F521" s="23" t="s">
        <v>2</v>
      </c>
      <c r="G521" s="24">
        <v>0.95</v>
      </c>
      <c r="H521" s="23" t="s">
        <v>2</v>
      </c>
      <c r="I521" s="23" t="s">
        <v>1779</v>
      </c>
      <c r="J521" s="23"/>
      <c r="K521" s="23" t="s">
        <v>363</v>
      </c>
      <c r="L521" s="23" t="s">
        <v>2482</v>
      </c>
      <c r="M521" s="23"/>
    </row>
    <row r="522" spans="1:13" x14ac:dyDescent="0.3">
      <c r="A522" s="25">
        <v>45868</v>
      </c>
      <c r="B522" s="25">
        <v>45868</v>
      </c>
      <c r="C522" s="26">
        <v>0</v>
      </c>
      <c r="D522" s="26">
        <v>317.2</v>
      </c>
      <c r="E522" s="26"/>
      <c r="F522" s="26" t="s">
        <v>3</v>
      </c>
      <c r="G522" s="24">
        <v>0.93</v>
      </c>
      <c r="H522" s="26" t="s">
        <v>49</v>
      </c>
      <c r="I522" s="26" t="s">
        <v>1779</v>
      </c>
      <c r="J522" s="26"/>
      <c r="K522" s="26" t="s">
        <v>361</v>
      </c>
      <c r="L522" s="26" t="s">
        <v>2482</v>
      </c>
      <c r="M522" s="26"/>
    </row>
    <row r="523" spans="1:13" x14ac:dyDescent="0.3">
      <c r="A523" s="49">
        <v>45868.541030092587</v>
      </c>
      <c r="B523" s="49">
        <v>45868</v>
      </c>
      <c r="C523" s="50">
        <v>0</v>
      </c>
      <c r="D523" s="50">
        <v>157</v>
      </c>
      <c r="E523" s="50"/>
      <c r="F523" s="50" t="s">
        <v>17</v>
      </c>
      <c r="G523" s="24">
        <v>0.93</v>
      </c>
      <c r="H523" s="50" t="s">
        <v>17</v>
      </c>
      <c r="I523" s="50" t="s">
        <v>1019</v>
      </c>
      <c r="J523" s="50"/>
      <c r="K523" s="50" t="s">
        <v>2220</v>
      </c>
      <c r="L523" s="50" t="s">
        <v>2483</v>
      </c>
      <c r="M523" s="50"/>
    </row>
    <row r="524" spans="1:13" x14ac:dyDescent="0.3">
      <c r="A524" s="27">
        <v>45869</v>
      </c>
      <c r="B524" s="27">
        <v>45869</v>
      </c>
      <c r="C524" s="28">
        <v>1260.79</v>
      </c>
      <c r="D524" s="28">
        <v>0</v>
      </c>
      <c r="E524" s="28"/>
      <c r="F524" s="28" t="s">
        <v>4</v>
      </c>
      <c r="G524" s="24">
        <v>0.97</v>
      </c>
      <c r="H524" s="28" t="s">
        <v>49</v>
      </c>
      <c r="I524" s="28" t="s">
        <v>1779</v>
      </c>
      <c r="J524" s="28"/>
      <c r="K524" s="28" t="s">
        <v>50</v>
      </c>
      <c r="L524" s="28" t="s">
        <v>2482</v>
      </c>
      <c r="M524" s="28"/>
    </row>
    <row r="525" spans="1:13" x14ac:dyDescent="0.3">
      <c r="A525" s="27">
        <v>45869</v>
      </c>
      <c r="B525" s="27">
        <v>45869</v>
      </c>
      <c r="C525" s="28">
        <v>42.65</v>
      </c>
      <c r="D525" s="28">
        <v>0</v>
      </c>
      <c r="E525" s="28"/>
      <c r="F525" s="28" t="s">
        <v>4</v>
      </c>
      <c r="G525" s="24">
        <v>0.97</v>
      </c>
      <c r="H525" s="28" t="s">
        <v>49</v>
      </c>
      <c r="I525" s="28" t="s">
        <v>1779</v>
      </c>
      <c r="J525" s="28"/>
      <c r="K525" s="28" t="s">
        <v>50</v>
      </c>
      <c r="L525" s="28" t="s">
        <v>2482</v>
      </c>
      <c r="M525" s="28"/>
    </row>
    <row r="526" spans="1:13" x14ac:dyDescent="0.3">
      <c r="A526" s="55">
        <v>45870</v>
      </c>
      <c r="B526" s="55">
        <v>45870</v>
      </c>
      <c r="C526" s="56">
        <v>0</v>
      </c>
      <c r="D526" s="56">
        <v>1</v>
      </c>
      <c r="E526" s="56"/>
      <c r="F526" s="56" t="s">
        <v>22</v>
      </c>
      <c r="G526" s="24">
        <v>0.97</v>
      </c>
      <c r="H526" s="56" t="s">
        <v>22</v>
      </c>
      <c r="I526" s="56" t="s">
        <v>2224</v>
      </c>
      <c r="J526" s="56" t="s">
        <v>22</v>
      </c>
      <c r="K526" s="56" t="s">
        <v>2471</v>
      </c>
      <c r="L526" s="56" t="s">
        <v>2487</v>
      </c>
      <c r="M526" s="56"/>
    </row>
    <row r="527" spans="1:13" x14ac:dyDescent="0.3">
      <c r="A527" s="95">
        <v>45870</v>
      </c>
      <c r="B527" s="95">
        <v>45870</v>
      </c>
      <c r="C527" s="96">
        <v>23000</v>
      </c>
      <c r="D527" s="96">
        <v>0</v>
      </c>
      <c r="E527" s="96"/>
      <c r="F527" s="96" t="s">
        <v>979</v>
      </c>
      <c r="G527" s="24">
        <v>0.88</v>
      </c>
      <c r="H527" s="96" t="s">
        <v>990</v>
      </c>
      <c r="I527" s="96" t="s">
        <v>1680</v>
      </c>
      <c r="J527" s="96"/>
      <c r="K527" s="96" t="s">
        <v>1078</v>
      </c>
      <c r="L527" s="96" t="s">
        <v>2484</v>
      </c>
      <c r="M527" s="96"/>
    </row>
    <row r="528" spans="1:13" x14ac:dyDescent="0.3">
      <c r="A528" s="78">
        <v>45870</v>
      </c>
      <c r="B528" s="78">
        <v>45870</v>
      </c>
      <c r="C528" s="79">
        <v>0</v>
      </c>
      <c r="D528" s="79">
        <v>99850</v>
      </c>
      <c r="E528" s="79"/>
      <c r="F528" s="79" t="s">
        <v>972</v>
      </c>
      <c r="G528" s="24">
        <v>0.97</v>
      </c>
      <c r="H528" s="79" t="s">
        <v>972</v>
      </c>
      <c r="I528" s="79" t="s">
        <v>1680</v>
      </c>
      <c r="J528" s="79"/>
      <c r="K528" s="79" t="s">
        <v>1075</v>
      </c>
      <c r="L528" s="79" t="s">
        <v>2484</v>
      </c>
      <c r="M528" s="79"/>
    </row>
    <row r="529" spans="1:13" x14ac:dyDescent="0.3">
      <c r="A529" s="83">
        <v>45870</v>
      </c>
      <c r="B529" s="83">
        <v>45870</v>
      </c>
      <c r="C529" s="84">
        <v>442.25</v>
      </c>
      <c r="D529" s="84">
        <v>0</v>
      </c>
      <c r="E529" s="84"/>
      <c r="F529" s="84" t="s">
        <v>973</v>
      </c>
      <c r="G529" s="40">
        <v>0.68</v>
      </c>
      <c r="H529" s="84" t="s">
        <v>1014</v>
      </c>
      <c r="I529" s="84" t="s">
        <v>1680</v>
      </c>
      <c r="J529" s="84"/>
      <c r="K529" s="84" t="s">
        <v>1076</v>
      </c>
      <c r="L529" s="84" t="s">
        <v>2484</v>
      </c>
      <c r="M529" s="84"/>
    </row>
    <row r="530" spans="1:13" x14ac:dyDescent="0.3">
      <c r="A530" s="85">
        <v>45870</v>
      </c>
      <c r="B530" s="85">
        <v>45870</v>
      </c>
      <c r="C530" s="86">
        <v>37000</v>
      </c>
      <c r="D530" s="86">
        <v>0</v>
      </c>
      <c r="E530" s="86"/>
      <c r="F530" s="86" t="s">
        <v>974</v>
      </c>
      <c r="G530" s="24">
        <v>0.9</v>
      </c>
      <c r="H530" s="86" t="s">
        <v>1019</v>
      </c>
      <c r="I530" s="86" t="s">
        <v>1680</v>
      </c>
      <c r="J530" s="86"/>
      <c r="K530" s="86" t="s">
        <v>1077</v>
      </c>
      <c r="L530" s="86" t="s">
        <v>2484</v>
      </c>
      <c r="M530" s="86"/>
    </row>
    <row r="531" spans="1:13" x14ac:dyDescent="0.3">
      <c r="A531" s="85">
        <v>45870</v>
      </c>
      <c r="B531" s="85">
        <v>45870</v>
      </c>
      <c r="C531" s="86">
        <v>241</v>
      </c>
      <c r="D531" s="86">
        <v>0</v>
      </c>
      <c r="E531" s="86"/>
      <c r="F531" s="86" t="s">
        <v>974</v>
      </c>
      <c r="G531" s="24">
        <v>0.9</v>
      </c>
      <c r="H531" s="86" t="s">
        <v>1019</v>
      </c>
      <c r="I531" s="86" t="s">
        <v>2224</v>
      </c>
      <c r="J531" s="86" t="s">
        <v>974</v>
      </c>
      <c r="K531" s="86" t="s">
        <v>2472</v>
      </c>
      <c r="L531" s="86" t="s">
        <v>2487</v>
      </c>
      <c r="M531" s="86"/>
    </row>
    <row r="532" spans="1:13" x14ac:dyDescent="0.3">
      <c r="A532" s="27">
        <v>45870</v>
      </c>
      <c r="B532" s="27">
        <v>45870</v>
      </c>
      <c r="C532" s="28">
        <v>42.2</v>
      </c>
      <c r="D532" s="28">
        <v>0</v>
      </c>
      <c r="E532" s="28"/>
      <c r="F532" s="28" t="s">
        <v>4</v>
      </c>
      <c r="G532" s="24">
        <v>0.97</v>
      </c>
      <c r="H532" s="28" t="s">
        <v>49</v>
      </c>
      <c r="I532" s="28" t="s">
        <v>1779</v>
      </c>
      <c r="J532" s="28"/>
      <c r="K532" s="28" t="s">
        <v>50</v>
      </c>
      <c r="L532" s="28" t="s">
        <v>2482</v>
      </c>
      <c r="M532" s="28"/>
    </row>
    <row r="533" spans="1:13" x14ac:dyDescent="0.3">
      <c r="A533" s="49">
        <v>45870</v>
      </c>
      <c r="B533" s="49">
        <v>45870</v>
      </c>
      <c r="C533" s="50">
        <v>0</v>
      </c>
      <c r="D533" s="50">
        <v>112</v>
      </c>
      <c r="E533" s="50"/>
      <c r="F533" s="50" t="s">
        <v>17</v>
      </c>
      <c r="G533" s="24">
        <v>0.88</v>
      </c>
      <c r="H533" s="50" t="s">
        <v>17</v>
      </c>
      <c r="I533" s="50" t="s">
        <v>1779</v>
      </c>
      <c r="J533" s="50"/>
      <c r="K533" s="50" t="s">
        <v>370</v>
      </c>
      <c r="L533" s="50" t="s">
        <v>2482</v>
      </c>
      <c r="M533" s="50"/>
    </row>
    <row r="534" spans="1:13" x14ac:dyDescent="0.3">
      <c r="A534" s="27">
        <v>45870</v>
      </c>
      <c r="B534" s="27">
        <v>45870</v>
      </c>
      <c r="C534" s="28">
        <v>6780.27</v>
      </c>
      <c r="D534" s="28">
        <v>0</v>
      </c>
      <c r="E534" s="28"/>
      <c r="F534" s="28" t="s">
        <v>4</v>
      </c>
      <c r="G534" s="24">
        <v>0.97</v>
      </c>
      <c r="H534" s="28" t="s">
        <v>49</v>
      </c>
      <c r="I534" s="28" t="s">
        <v>1779</v>
      </c>
      <c r="J534" s="28"/>
      <c r="K534" s="28" t="s">
        <v>50</v>
      </c>
      <c r="L534" s="28" t="s">
        <v>2482</v>
      </c>
      <c r="M534" s="28"/>
    </row>
    <row r="535" spans="1:13" x14ac:dyDescent="0.3">
      <c r="A535" s="85">
        <v>45870.274930555563</v>
      </c>
      <c r="B535" s="85">
        <v>45870</v>
      </c>
      <c r="C535" s="86">
        <v>0</v>
      </c>
      <c r="D535" s="86">
        <v>241</v>
      </c>
      <c r="E535" s="86"/>
      <c r="F535" s="86" t="s">
        <v>1816</v>
      </c>
      <c r="G535" s="24">
        <v>0.9</v>
      </c>
      <c r="H535" s="86" t="s">
        <v>2224</v>
      </c>
      <c r="I535" s="86" t="s">
        <v>1019</v>
      </c>
      <c r="J535" s="86"/>
      <c r="K535" s="86" t="s">
        <v>2222</v>
      </c>
      <c r="L535" s="86" t="s">
        <v>2483</v>
      </c>
      <c r="M535" s="86"/>
    </row>
    <row r="536" spans="1:13" x14ac:dyDescent="0.3">
      <c r="A536" s="49">
        <v>45870.464687500003</v>
      </c>
      <c r="B536" s="49">
        <v>45870</v>
      </c>
      <c r="C536" s="50">
        <v>0</v>
      </c>
      <c r="D536" s="50">
        <v>30</v>
      </c>
      <c r="E536" s="50"/>
      <c r="F536" s="50" t="s">
        <v>17</v>
      </c>
      <c r="G536" s="24">
        <v>0.93</v>
      </c>
      <c r="H536" s="50" t="s">
        <v>17</v>
      </c>
      <c r="I536" s="50" t="s">
        <v>1019</v>
      </c>
      <c r="J536" s="50"/>
      <c r="K536" s="50" t="s">
        <v>2225</v>
      </c>
      <c r="L536" s="50" t="s">
        <v>2483</v>
      </c>
      <c r="M536" s="50"/>
    </row>
    <row r="537" spans="1:13" x14ac:dyDescent="0.3">
      <c r="A537" s="27">
        <v>45870.497789351852</v>
      </c>
      <c r="B537" s="27">
        <v>45870</v>
      </c>
      <c r="C537" s="28">
        <v>0</v>
      </c>
      <c r="D537" s="28">
        <v>37000</v>
      </c>
      <c r="E537" s="28"/>
      <c r="F537" s="28" t="s">
        <v>1656</v>
      </c>
      <c r="G537" s="24">
        <v>0.95</v>
      </c>
      <c r="H537" s="28" t="s">
        <v>1680</v>
      </c>
      <c r="I537" s="28" t="s">
        <v>1019</v>
      </c>
      <c r="J537" s="28"/>
      <c r="K537" s="28" t="s">
        <v>2227</v>
      </c>
      <c r="L537" s="28" t="s">
        <v>2483</v>
      </c>
      <c r="M537" s="28"/>
    </row>
    <row r="538" spans="1:13" x14ac:dyDescent="0.3">
      <c r="A538" s="22">
        <v>45870.49832175926</v>
      </c>
      <c r="B538" s="22">
        <v>45870</v>
      </c>
      <c r="C538" s="23">
        <v>37000</v>
      </c>
      <c r="D538" s="23">
        <v>0</v>
      </c>
      <c r="E538" s="23"/>
      <c r="F538" s="23" t="s">
        <v>1667</v>
      </c>
      <c r="G538" s="24">
        <v>0.92</v>
      </c>
      <c r="H538" s="23" t="s">
        <v>1735</v>
      </c>
      <c r="I538" s="23" t="s">
        <v>1019</v>
      </c>
      <c r="J538" s="23"/>
      <c r="K538" s="23" t="s">
        <v>2229</v>
      </c>
      <c r="L538" s="23" t="s">
        <v>2483</v>
      </c>
      <c r="M538" s="23"/>
    </row>
    <row r="539" spans="1:13" x14ac:dyDescent="0.3">
      <c r="A539" s="49">
        <v>45873</v>
      </c>
      <c r="B539" s="49">
        <v>45873</v>
      </c>
      <c r="C539" s="50">
        <v>0</v>
      </c>
      <c r="D539" s="50">
        <v>165</v>
      </c>
      <c r="E539" s="50"/>
      <c r="F539" s="50" t="s">
        <v>17</v>
      </c>
      <c r="G539" s="24">
        <v>0.88</v>
      </c>
      <c r="H539" s="50" t="s">
        <v>17</v>
      </c>
      <c r="I539" s="50" t="s">
        <v>1779</v>
      </c>
      <c r="J539" s="50"/>
      <c r="K539" s="50" t="s">
        <v>373</v>
      </c>
      <c r="L539" s="50" t="s">
        <v>2482</v>
      </c>
      <c r="M539" s="50"/>
    </row>
    <row r="540" spans="1:13" x14ac:dyDescent="0.3">
      <c r="A540" s="27">
        <v>45873</v>
      </c>
      <c r="B540" s="27">
        <v>45873</v>
      </c>
      <c r="C540" s="28">
        <v>119.37</v>
      </c>
      <c r="D540" s="28">
        <v>0</v>
      </c>
      <c r="E540" s="28"/>
      <c r="F540" s="28" t="s">
        <v>4</v>
      </c>
      <c r="G540" s="24">
        <v>0.97</v>
      </c>
      <c r="H540" s="28" t="s">
        <v>49</v>
      </c>
      <c r="I540" s="28" t="s">
        <v>1779</v>
      </c>
      <c r="J540" s="28"/>
      <c r="K540" s="28" t="s">
        <v>50</v>
      </c>
      <c r="L540" s="28" t="s">
        <v>2482</v>
      </c>
      <c r="M540" s="28"/>
    </row>
    <row r="541" spans="1:13" x14ac:dyDescent="0.3">
      <c r="A541" s="89">
        <v>45873.846747685187</v>
      </c>
      <c r="B541" s="89">
        <v>45873</v>
      </c>
      <c r="C541" s="90">
        <v>178</v>
      </c>
      <c r="D541" s="90">
        <v>0</v>
      </c>
      <c r="E541" s="90" t="s">
        <v>2233</v>
      </c>
      <c r="F541" s="90" t="s">
        <v>975</v>
      </c>
      <c r="G541" s="39">
        <v>0.55000000000000004</v>
      </c>
      <c r="H541" s="90" t="s">
        <v>91</v>
      </c>
      <c r="I541" s="90" t="s">
        <v>1019</v>
      </c>
      <c r="J541" s="90"/>
      <c r="K541" s="90" t="s">
        <v>2231</v>
      </c>
      <c r="L541" s="90" t="s">
        <v>2483</v>
      </c>
      <c r="M541" s="90"/>
    </row>
    <row r="542" spans="1:13" x14ac:dyDescent="0.3">
      <c r="A542" s="49">
        <v>45874</v>
      </c>
      <c r="B542" s="49">
        <v>45874</v>
      </c>
      <c r="C542" s="50">
        <v>0</v>
      </c>
      <c r="D542" s="50">
        <v>1771</v>
      </c>
      <c r="E542" s="50"/>
      <c r="F542" s="50" t="s">
        <v>17</v>
      </c>
      <c r="G542" s="24">
        <v>0.88</v>
      </c>
      <c r="H542" s="50" t="s">
        <v>17</v>
      </c>
      <c r="I542" s="50" t="s">
        <v>1779</v>
      </c>
      <c r="J542" s="50"/>
      <c r="K542" s="50" t="s">
        <v>379</v>
      </c>
      <c r="L542" s="50" t="s">
        <v>2482</v>
      </c>
      <c r="M542" s="50"/>
    </row>
    <row r="543" spans="1:13" x14ac:dyDescent="0.3">
      <c r="A543" s="27">
        <v>45874</v>
      </c>
      <c r="B543" s="27">
        <v>45874</v>
      </c>
      <c r="C543" s="28">
        <v>44.58</v>
      </c>
      <c r="D543" s="28">
        <v>0</v>
      </c>
      <c r="E543" s="28"/>
      <c r="F543" s="28" t="s">
        <v>4</v>
      </c>
      <c r="G543" s="24">
        <v>0.97</v>
      </c>
      <c r="H543" s="28" t="s">
        <v>49</v>
      </c>
      <c r="I543" s="28" t="s">
        <v>1779</v>
      </c>
      <c r="J543" s="28"/>
      <c r="K543" s="28" t="s">
        <v>50</v>
      </c>
      <c r="L543" s="28" t="s">
        <v>2482</v>
      </c>
      <c r="M543" s="28"/>
    </row>
    <row r="544" spans="1:13" x14ac:dyDescent="0.3">
      <c r="A544" s="25">
        <v>45874</v>
      </c>
      <c r="B544" s="25">
        <v>45874</v>
      </c>
      <c r="C544" s="26">
        <v>0</v>
      </c>
      <c r="D544" s="26">
        <v>2348.36</v>
      </c>
      <c r="E544" s="26"/>
      <c r="F544" s="26" t="s">
        <v>3</v>
      </c>
      <c r="G544" s="24">
        <v>0.93</v>
      </c>
      <c r="H544" s="26" t="s">
        <v>49</v>
      </c>
      <c r="I544" s="26" t="s">
        <v>1779</v>
      </c>
      <c r="J544" s="26"/>
      <c r="K544" s="26" t="s">
        <v>376</v>
      </c>
      <c r="L544" s="26" t="s">
        <v>2482</v>
      </c>
      <c r="M544" s="26"/>
    </row>
    <row r="545" spans="1:13" x14ac:dyDescent="0.3">
      <c r="A545" s="89">
        <v>45874.543680555558</v>
      </c>
      <c r="B545" s="89">
        <v>45874</v>
      </c>
      <c r="C545" s="90">
        <v>45</v>
      </c>
      <c r="D545" s="90">
        <v>0</v>
      </c>
      <c r="E545" s="90" t="s">
        <v>2236</v>
      </c>
      <c r="F545" s="90" t="s">
        <v>975</v>
      </c>
      <c r="G545" s="39">
        <v>0.55000000000000004</v>
      </c>
      <c r="H545" s="90" t="s">
        <v>91</v>
      </c>
      <c r="I545" s="90" t="s">
        <v>1019</v>
      </c>
      <c r="J545" s="90"/>
      <c r="K545" s="90" t="s">
        <v>2234</v>
      </c>
      <c r="L545" s="90" t="s">
        <v>2483</v>
      </c>
      <c r="M545" s="90"/>
    </row>
    <row r="546" spans="1:13" x14ac:dyDescent="0.3">
      <c r="A546" s="49">
        <v>45875</v>
      </c>
      <c r="B546" s="49">
        <v>45875</v>
      </c>
      <c r="C546" s="50">
        <v>0</v>
      </c>
      <c r="D546" s="50">
        <v>350</v>
      </c>
      <c r="E546" s="50"/>
      <c r="F546" s="50" t="s">
        <v>17</v>
      </c>
      <c r="G546" s="24">
        <v>0.88</v>
      </c>
      <c r="H546" s="50" t="s">
        <v>17</v>
      </c>
      <c r="I546" s="50" t="s">
        <v>1779</v>
      </c>
      <c r="J546" s="50"/>
      <c r="K546" s="50" t="s">
        <v>383</v>
      </c>
      <c r="L546" s="50" t="s">
        <v>2482</v>
      </c>
      <c r="M546" s="50"/>
    </row>
    <row r="547" spans="1:13" x14ac:dyDescent="0.3">
      <c r="A547" s="27">
        <v>45875</v>
      </c>
      <c r="B547" s="27">
        <v>45875</v>
      </c>
      <c r="C547" s="28">
        <v>45.41</v>
      </c>
      <c r="D547" s="28">
        <v>0</v>
      </c>
      <c r="E547" s="28"/>
      <c r="F547" s="28" t="s">
        <v>4</v>
      </c>
      <c r="G547" s="24">
        <v>0.97</v>
      </c>
      <c r="H547" s="28" t="s">
        <v>49</v>
      </c>
      <c r="I547" s="28" t="s">
        <v>1779</v>
      </c>
      <c r="J547" s="28"/>
      <c r="K547" s="28" t="s">
        <v>50</v>
      </c>
      <c r="L547" s="28" t="s">
        <v>2482</v>
      </c>
      <c r="M547" s="28"/>
    </row>
    <row r="548" spans="1:13" x14ac:dyDescent="0.3">
      <c r="A548" s="27">
        <v>45875</v>
      </c>
      <c r="B548" s="27">
        <v>45875</v>
      </c>
      <c r="C548" s="28">
        <v>1067.8699999999999</v>
      </c>
      <c r="D548" s="28">
        <v>0</v>
      </c>
      <c r="E548" s="28"/>
      <c r="F548" s="28" t="s">
        <v>4</v>
      </c>
      <c r="G548" s="24">
        <v>0.97</v>
      </c>
      <c r="H548" s="28" t="s">
        <v>49</v>
      </c>
      <c r="I548" s="28" t="s">
        <v>1779</v>
      </c>
      <c r="J548" s="28"/>
      <c r="K548" s="28" t="s">
        <v>50</v>
      </c>
      <c r="L548" s="28" t="s">
        <v>2482</v>
      </c>
      <c r="M548" s="28"/>
    </row>
    <row r="549" spans="1:13" x14ac:dyDescent="0.3">
      <c r="A549" s="25">
        <v>45875</v>
      </c>
      <c r="B549" s="25">
        <v>45875</v>
      </c>
      <c r="C549" s="26">
        <v>0</v>
      </c>
      <c r="D549" s="26">
        <v>324.60000000000002</v>
      </c>
      <c r="E549" s="26"/>
      <c r="F549" s="26" t="s">
        <v>3</v>
      </c>
      <c r="G549" s="24">
        <v>0.93</v>
      </c>
      <c r="H549" s="26" t="s">
        <v>49</v>
      </c>
      <c r="I549" s="26" t="s">
        <v>1779</v>
      </c>
      <c r="J549" s="26"/>
      <c r="K549" s="26" t="s">
        <v>381</v>
      </c>
      <c r="L549" s="26" t="s">
        <v>2482</v>
      </c>
      <c r="M549" s="26"/>
    </row>
    <row r="550" spans="1:13" x14ac:dyDescent="0.3">
      <c r="A550" s="27">
        <v>45876</v>
      </c>
      <c r="B550" s="27">
        <v>45876</v>
      </c>
      <c r="C550" s="28">
        <v>45.15</v>
      </c>
      <c r="D550" s="28">
        <v>0</v>
      </c>
      <c r="E550" s="28"/>
      <c r="F550" s="28" t="s">
        <v>4</v>
      </c>
      <c r="G550" s="24">
        <v>0.97</v>
      </c>
      <c r="H550" s="28" t="s">
        <v>49</v>
      </c>
      <c r="I550" s="28" t="s">
        <v>1779</v>
      </c>
      <c r="J550" s="28"/>
      <c r="K550" s="28" t="s">
        <v>50</v>
      </c>
      <c r="L550" s="28" t="s">
        <v>2482</v>
      </c>
      <c r="M550" s="28"/>
    </row>
    <row r="551" spans="1:13" x14ac:dyDescent="0.3">
      <c r="A551" s="49">
        <v>45876</v>
      </c>
      <c r="B551" s="49">
        <v>45876</v>
      </c>
      <c r="C551" s="50">
        <v>0</v>
      </c>
      <c r="D551" s="50">
        <v>220</v>
      </c>
      <c r="E551" s="50"/>
      <c r="F551" s="50" t="s">
        <v>17</v>
      </c>
      <c r="G551" s="24">
        <v>0.88</v>
      </c>
      <c r="H551" s="50" t="s">
        <v>17</v>
      </c>
      <c r="I551" s="50" t="s">
        <v>1779</v>
      </c>
      <c r="J551" s="50"/>
      <c r="K551" s="50" t="s">
        <v>390</v>
      </c>
      <c r="L551" s="50" t="s">
        <v>2482</v>
      </c>
      <c r="M551" s="50"/>
    </row>
    <row r="552" spans="1:13" x14ac:dyDescent="0.3">
      <c r="A552" s="31">
        <v>45876</v>
      </c>
      <c r="B552" s="31">
        <v>45876</v>
      </c>
      <c r="C552" s="32">
        <v>0</v>
      </c>
      <c r="D552" s="32">
        <v>1880</v>
      </c>
      <c r="E552" s="32"/>
      <c r="F552" s="32" t="s">
        <v>6</v>
      </c>
      <c r="G552" s="24">
        <v>0.95</v>
      </c>
      <c r="H552" s="32" t="s">
        <v>63</v>
      </c>
      <c r="I552" s="32" t="s">
        <v>1779</v>
      </c>
      <c r="J552" s="32"/>
      <c r="K552" s="32" t="s">
        <v>387</v>
      </c>
      <c r="L552" s="32" t="s">
        <v>2482</v>
      </c>
      <c r="M552" s="32"/>
    </row>
    <row r="553" spans="1:13" x14ac:dyDescent="0.3">
      <c r="A553" s="97">
        <v>45876</v>
      </c>
      <c r="B553" s="97">
        <v>45876</v>
      </c>
      <c r="C553" s="98">
        <v>10000</v>
      </c>
      <c r="D553" s="98">
        <v>0</v>
      </c>
      <c r="E553" s="98"/>
      <c r="F553" s="98" t="s">
        <v>978</v>
      </c>
      <c r="G553" s="24">
        <v>0.85</v>
      </c>
      <c r="H553" s="98" t="s">
        <v>1031</v>
      </c>
      <c r="I553" s="98" t="s">
        <v>1680</v>
      </c>
      <c r="J553" s="98"/>
      <c r="K553" s="98" t="s">
        <v>1079</v>
      </c>
      <c r="L553" s="98" t="s">
        <v>2484</v>
      </c>
      <c r="M553" s="98"/>
    </row>
    <row r="554" spans="1:13" x14ac:dyDescent="0.3">
      <c r="A554" s="89">
        <v>45876.710532407407</v>
      </c>
      <c r="B554" s="89">
        <v>45876</v>
      </c>
      <c r="C554" s="90">
        <v>35</v>
      </c>
      <c r="D554" s="90">
        <v>0</v>
      </c>
      <c r="E554" s="90" t="s">
        <v>1973</v>
      </c>
      <c r="F554" s="90" t="s">
        <v>975</v>
      </c>
      <c r="G554" s="39">
        <v>0.55000000000000004</v>
      </c>
      <c r="H554" s="90" t="s">
        <v>91</v>
      </c>
      <c r="I554" s="90" t="s">
        <v>1019</v>
      </c>
      <c r="J554" s="90"/>
      <c r="K554" s="90" t="s">
        <v>2237</v>
      </c>
      <c r="L554" s="90" t="s">
        <v>2483</v>
      </c>
      <c r="M554" s="90"/>
    </row>
    <row r="555" spans="1:13" x14ac:dyDescent="0.3">
      <c r="A555" s="89">
        <v>45876.838726851849</v>
      </c>
      <c r="B555" s="89">
        <v>45876</v>
      </c>
      <c r="C555" s="90">
        <v>40</v>
      </c>
      <c r="D555" s="90">
        <v>0</v>
      </c>
      <c r="E555" s="90" t="s">
        <v>2241</v>
      </c>
      <c r="F555" s="90" t="s">
        <v>975</v>
      </c>
      <c r="G555" s="39">
        <v>0.55000000000000004</v>
      </c>
      <c r="H555" s="90" t="s">
        <v>91</v>
      </c>
      <c r="I555" s="90" t="s">
        <v>1019</v>
      </c>
      <c r="J555" s="90"/>
      <c r="K555" s="90" t="s">
        <v>2239</v>
      </c>
      <c r="L555" s="90" t="s">
        <v>2483</v>
      </c>
      <c r="M555" s="90"/>
    </row>
    <row r="556" spans="1:13" x14ac:dyDescent="0.3">
      <c r="A556" s="27">
        <v>45877</v>
      </c>
      <c r="B556" s="27">
        <v>45877</v>
      </c>
      <c r="C556" s="28">
        <v>1733.69</v>
      </c>
      <c r="D556" s="28">
        <v>0</v>
      </c>
      <c r="E556" s="28"/>
      <c r="F556" s="28" t="s">
        <v>4</v>
      </c>
      <c r="G556" s="24">
        <v>0.97</v>
      </c>
      <c r="H556" s="28" t="s">
        <v>49</v>
      </c>
      <c r="I556" s="28" t="s">
        <v>1779</v>
      </c>
      <c r="J556" s="28"/>
      <c r="K556" s="28" t="s">
        <v>50</v>
      </c>
      <c r="L556" s="28" t="s">
        <v>2482</v>
      </c>
      <c r="M556" s="28"/>
    </row>
    <row r="557" spans="1:13" x14ac:dyDescent="0.3">
      <c r="A557" s="49">
        <v>45877</v>
      </c>
      <c r="B557" s="49">
        <v>45877</v>
      </c>
      <c r="C557" s="50">
        <v>0</v>
      </c>
      <c r="D557" s="50">
        <v>3780</v>
      </c>
      <c r="E557" s="50"/>
      <c r="F557" s="50" t="s">
        <v>17</v>
      </c>
      <c r="G557" s="24">
        <v>0.88</v>
      </c>
      <c r="H557" s="50" t="s">
        <v>17</v>
      </c>
      <c r="I557" s="50" t="s">
        <v>1779</v>
      </c>
      <c r="J557" s="50"/>
      <c r="K557" s="50" t="s">
        <v>395</v>
      </c>
      <c r="L557" s="50" t="s">
        <v>2482</v>
      </c>
      <c r="M557" s="50"/>
    </row>
    <row r="558" spans="1:13" x14ac:dyDescent="0.3">
      <c r="A558" s="85">
        <v>45877</v>
      </c>
      <c r="B558" s="85">
        <v>45877</v>
      </c>
      <c r="C558" s="86">
        <v>10000</v>
      </c>
      <c r="D558" s="86">
        <v>0</v>
      </c>
      <c r="E558" s="86"/>
      <c r="F558" s="86" t="s">
        <v>974</v>
      </c>
      <c r="G558" s="24">
        <v>0.9</v>
      </c>
      <c r="H558" s="86" t="s">
        <v>1019</v>
      </c>
      <c r="I558" s="86" t="s">
        <v>1680</v>
      </c>
      <c r="J558" s="86"/>
      <c r="K558" s="86" t="s">
        <v>1080</v>
      </c>
      <c r="L558" s="86" t="s">
        <v>2484</v>
      </c>
      <c r="M558" s="86"/>
    </row>
    <row r="559" spans="1:13" x14ac:dyDescent="0.3">
      <c r="A559" s="27">
        <v>45877</v>
      </c>
      <c r="B559" s="27">
        <v>45877</v>
      </c>
      <c r="C559" s="28">
        <v>45.15</v>
      </c>
      <c r="D559" s="28">
        <v>0</v>
      </c>
      <c r="E559" s="28"/>
      <c r="F559" s="28" t="s">
        <v>4</v>
      </c>
      <c r="G559" s="24">
        <v>0.97</v>
      </c>
      <c r="H559" s="28" t="s">
        <v>49</v>
      </c>
      <c r="I559" s="28" t="s">
        <v>1779</v>
      </c>
      <c r="J559" s="28"/>
      <c r="K559" s="28" t="s">
        <v>50</v>
      </c>
      <c r="L559" s="28" t="s">
        <v>2482</v>
      </c>
      <c r="M559" s="28"/>
    </row>
    <row r="560" spans="1:13" x14ac:dyDescent="0.3">
      <c r="A560" s="25">
        <v>45877</v>
      </c>
      <c r="B560" s="25">
        <v>45877</v>
      </c>
      <c r="C560" s="26">
        <v>0</v>
      </c>
      <c r="D560" s="26">
        <v>416.31</v>
      </c>
      <c r="E560" s="26"/>
      <c r="F560" s="26" t="s">
        <v>3</v>
      </c>
      <c r="G560" s="24">
        <v>0.93</v>
      </c>
      <c r="H560" s="26" t="s">
        <v>49</v>
      </c>
      <c r="I560" s="26" t="s">
        <v>1779</v>
      </c>
      <c r="J560" s="26"/>
      <c r="K560" s="26" t="s">
        <v>392</v>
      </c>
      <c r="L560" s="26" t="s">
        <v>2482</v>
      </c>
      <c r="M560" s="26"/>
    </row>
    <row r="561" spans="1:13" x14ac:dyDescent="0.3">
      <c r="A561" s="27">
        <v>45877.630520833343</v>
      </c>
      <c r="B561" s="27">
        <v>45877</v>
      </c>
      <c r="C561" s="28">
        <v>0</v>
      </c>
      <c r="D561" s="28">
        <v>10000</v>
      </c>
      <c r="E561" s="28"/>
      <c r="F561" s="28" t="s">
        <v>1656</v>
      </c>
      <c r="G561" s="24">
        <v>0.95</v>
      </c>
      <c r="H561" s="28" t="s">
        <v>1680</v>
      </c>
      <c r="I561" s="28" t="s">
        <v>1019</v>
      </c>
      <c r="J561" s="28"/>
      <c r="K561" s="28" t="s">
        <v>2242</v>
      </c>
      <c r="L561" s="28" t="s">
        <v>2483</v>
      </c>
      <c r="M561" s="28"/>
    </row>
    <row r="562" spans="1:13" x14ac:dyDescent="0.3">
      <c r="A562" s="22">
        <v>45877.631122685183</v>
      </c>
      <c r="B562" s="22">
        <v>45877</v>
      </c>
      <c r="C562" s="23">
        <v>10000</v>
      </c>
      <c r="D562" s="23">
        <v>0</v>
      </c>
      <c r="E562" s="23"/>
      <c r="F562" s="23" t="s">
        <v>1667</v>
      </c>
      <c r="G562" s="24">
        <v>0.92</v>
      </c>
      <c r="H562" s="23" t="s">
        <v>1735</v>
      </c>
      <c r="I562" s="23" t="s">
        <v>1019</v>
      </c>
      <c r="J562" s="23"/>
      <c r="K562" s="23" t="s">
        <v>2244</v>
      </c>
      <c r="L562" s="23" t="s">
        <v>2483</v>
      </c>
      <c r="M562" s="23"/>
    </row>
    <row r="563" spans="1:13" x14ac:dyDescent="0.3">
      <c r="A563" s="83">
        <v>45878</v>
      </c>
      <c r="B563" s="83">
        <v>45878</v>
      </c>
      <c r="C563" s="84">
        <v>202.7</v>
      </c>
      <c r="D563" s="84">
        <v>0</v>
      </c>
      <c r="E563" s="84"/>
      <c r="F563" s="84" t="s">
        <v>973</v>
      </c>
      <c r="G563" s="40">
        <v>0.68</v>
      </c>
      <c r="H563" s="84" t="s">
        <v>1014</v>
      </c>
      <c r="I563" s="84" t="s">
        <v>1680</v>
      </c>
      <c r="J563" s="84"/>
      <c r="K563" s="84" t="s">
        <v>1087</v>
      </c>
      <c r="L563" s="84" t="s">
        <v>2484</v>
      </c>
      <c r="M563" s="84"/>
    </row>
    <row r="564" spans="1:13" x14ac:dyDescent="0.3">
      <c r="A564" s="83">
        <v>45878</v>
      </c>
      <c r="B564" s="83">
        <v>45878</v>
      </c>
      <c r="C564" s="84">
        <v>2813.6</v>
      </c>
      <c r="D564" s="84">
        <v>0</v>
      </c>
      <c r="E564" s="84"/>
      <c r="F564" s="84" t="s">
        <v>973</v>
      </c>
      <c r="G564" s="40">
        <v>0.68</v>
      </c>
      <c r="H564" s="84" t="s">
        <v>1014</v>
      </c>
      <c r="I564" s="84" t="s">
        <v>1680</v>
      </c>
      <c r="J564" s="84"/>
      <c r="K564" s="84" t="s">
        <v>1086</v>
      </c>
      <c r="L564" s="84" t="s">
        <v>2484</v>
      </c>
      <c r="M564" s="84"/>
    </row>
    <row r="565" spans="1:13" x14ac:dyDescent="0.3">
      <c r="A565" s="89">
        <v>45878</v>
      </c>
      <c r="B565" s="89">
        <v>45878</v>
      </c>
      <c r="C565" s="90">
        <v>198</v>
      </c>
      <c r="D565" s="90">
        <v>0</v>
      </c>
      <c r="E565" s="90" t="s">
        <v>1085</v>
      </c>
      <c r="F565" s="90" t="s">
        <v>975</v>
      </c>
      <c r="G565" s="39">
        <v>0.55000000000000004</v>
      </c>
      <c r="H565" s="90" t="s">
        <v>91</v>
      </c>
      <c r="I565" s="90" t="s">
        <v>1680</v>
      </c>
      <c r="J565" s="90"/>
      <c r="K565" s="90" t="s">
        <v>1084</v>
      </c>
      <c r="L565" s="90" t="s">
        <v>2484</v>
      </c>
      <c r="M565" s="90"/>
    </row>
    <row r="566" spans="1:13" x14ac:dyDescent="0.3">
      <c r="A566" s="83">
        <v>45878</v>
      </c>
      <c r="B566" s="83">
        <v>45878</v>
      </c>
      <c r="C566" s="84">
        <v>2613.6</v>
      </c>
      <c r="D566" s="84">
        <v>0</v>
      </c>
      <c r="E566" s="84"/>
      <c r="F566" s="84" t="s">
        <v>973</v>
      </c>
      <c r="G566" s="40">
        <v>0.68</v>
      </c>
      <c r="H566" s="84" t="s">
        <v>1014</v>
      </c>
      <c r="I566" s="84" t="s">
        <v>1680</v>
      </c>
      <c r="J566" s="84"/>
      <c r="K566" s="84" t="s">
        <v>1083</v>
      </c>
      <c r="L566" s="84" t="s">
        <v>2484</v>
      </c>
      <c r="M566" s="84"/>
    </row>
    <row r="567" spans="1:13" x14ac:dyDescent="0.3">
      <c r="A567" s="83">
        <v>45878</v>
      </c>
      <c r="B567" s="83">
        <v>45878</v>
      </c>
      <c r="C567" s="84">
        <v>0</v>
      </c>
      <c r="D567" s="84">
        <v>2460</v>
      </c>
      <c r="E567" s="84"/>
      <c r="F567" s="84" t="s">
        <v>973</v>
      </c>
      <c r="G567" s="24">
        <v>0.92</v>
      </c>
      <c r="H567" s="84" t="s">
        <v>1014</v>
      </c>
      <c r="I567" s="84" t="s">
        <v>1680</v>
      </c>
      <c r="J567" s="84"/>
      <c r="K567" s="84" t="s">
        <v>1088</v>
      </c>
      <c r="L567" s="84" t="s">
        <v>2484</v>
      </c>
      <c r="M567" s="84"/>
    </row>
    <row r="568" spans="1:13" x14ac:dyDescent="0.3">
      <c r="A568" s="101">
        <v>45878</v>
      </c>
      <c r="B568" s="101">
        <v>45878</v>
      </c>
      <c r="C568" s="102">
        <v>1001</v>
      </c>
      <c r="D568" s="102">
        <v>0</v>
      </c>
      <c r="E568" s="102"/>
      <c r="F568" s="102" t="s">
        <v>976</v>
      </c>
      <c r="G568" s="24">
        <v>0.85</v>
      </c>
      <c r="H568" s="102" t="s">
        <v>1028</v>
      </c>
      <c r="I568" s="102" t="s">
        <v>1680</v>
      </c>
      <c r="J568" s="102"/>
      <c r="K568" s="102" t="s">
        <v>1082</v>
      </c>
      <c r="L568" s="102" t="s">
        <v>2484</v>
      </c>
      <c r="M568" s="102"/>
    </row>
    <row r="569" spans="1:13" x14ac:dyDescent="0.3">
      <c r="A569" s="85">
        <v>45878</v>
      </c>
      <c r="B569" s="85">
        <v>45878</v>
      </c>
      <c r="C569" s="86">
        <v>7000</v>
      </c>
      <c r="D569" s="86">
        <v>0</v>
      </c>
      <c r="E569" s="86"/>
      <c r="F569" s="86" t="s">
        <v>974</v>
      </c>
      <c r="G569" s="24">
        <v>0.9</v>
      </c>
      <c r="H569" s="86" t="s">
        <v>1019</v>
      </c>
      <c r="I569" s="86" t="s">
        <v>1680</v>
      </c>
      <c r="J569" s="86"/>
      <c r="K569" s="86" t="s">
        <v>1081</v>
      </c>
      <c r="L569" s="86" t="s">
        <v>2484</v>
      </c>
      <c r="M569" s="86"/>
    </row>
    <row r="570" spans="1:13" x14ac:dyDescent="0.3">
      <c r="A570" s="27">
        <v>45878.404641203713</v>
      </c>
      <c r="B570" s="27">
        <v>45878</v>
      </c>
      <c r="C570" s="28">
        <v>0</v>
      </c>
      <c r="D570" s="28">
        <v>7000</v>
      </c>
      <c r="E570" s="28"/>
      <c r="F570" s="28" t="s">
        <v>1656</v>
      </c>
      <c r="G570" s="24">
        <v>0.95</v>
      </c>
      <c r="H570" s="28" t="s">
        <v>1680</v>
      </c>
      <c r="I570" s="28" t="s">
        <v>1019</v>
      </c>
      <c r="J570" s="28"/>
      <c r="K570" s="28" t="s">
        <v>2246</v>
      </c>
      <c r="L570" s="28" t="s">
        <v>2483</v>
      </c>
      <c r="M570" s="28"/>
    </row>
    <row r="571" spans="1:13" x14ac:dyDescent="0.3">
      <c r="A571" s="27">
        <v>45880</v>
      </c>
      <c r="B571" s="27">
        <v>45880</v>
      </c>
      <c r="C571" s="28">
        <v>134.04</v>
      </c>
      <c r="D571" s="28">
        <v>0</v>
      </c>
      <c r="E571" s="28"/>
      <c r="F571" s="28" t="s">
        <v>4</v>
      </c>
      <c r="G571" s="24">
        <v>0.97</v>
      </c>
      <c r="H571" s="28" t="s">
        <v>49</v>
      </c>
      <c r="I571" s="28" t="s">
        <v>1779</v>
      </c>
      <c r="J571" s="28"/>
      <c r="K571" s="28" t="s">
        <v>50</v>
      </c>
      <c r="L571" s="28" t="s">
        <v>2482</v>
      </c>
      <c r="M571" s="28"/>
    </row>
    <row r="572" spans="1:13" x14ac:dyDescent="0.3">
      <c r="A572" s="49">
        <v>45880</v>
      </c>
      <c r="B572" s="49">
        <v>45880</v>
      </c>
      <c r="C572" s="50">
        <v>0</v>
      </c>
      <c r="D572" s="50">
        <v>1320</v>
      </c>
      <c r="E572" s="50"/>
      <c r="F572" s="50" t="s">
        <v>17</v>
      </c>
      <c r="G572" s="24">
        <v>0.85</v>
      </c>
      <c r="H572" s="50" t="s">
        <v>17</v>
      </c>
      <c r="I572" s="50" t="s">
        <v>1779</v>
      </c>
      <c r="J572" s="50"/>
      <c r="K572" s="50" t="s">
        <v>400</v>
      </c>
      <c r="L572" s="50" t="s">
        <v>2482</v>
      </c>
      <c r="M572" s="50"/>
    </row>
    <row r="573" spans="1:13" x14ac:dyDescent="0.3">
      <c r="A573" s="49">
        <v>45880</v>
      </c>
      <c r="B573" s="49">
        <v>45880</v>
      </c>
      <c r="C573" s="50">
        <v>0</v>
      </c>
      <c r="D573" s="50">
        <v>250</v>
      </c>
      <c r="E573" s="50"/>
      <c r="F573" s="50" t="s">
        <v>17</v>
      </c>
      <c r="G573" s="24">
        <v>0.85</v>
      </c>
      <c r="H573" s="50" t="s">
        <v>17</v>
      </c>
      <c r="I573" s="50" t="s">
        <v>1779</v>
      </c>
      <c r="J573" s="50"/>
      <c r="K573" s="50" t="s">
        <v>398</v>
      </c>
      <c r="L573" s="50" t="s">
        <v>2482</v>
      </c>
      <c r="M573" s="50"/>
    </row>
    <row r="574" spans="1:13" x14ac:dyDescent="0.3">
      <c r="A574" s="83">
        <v>45880</v>
      </c>
      <c r="B574" s="83">
        <v>45880</v>
      </c>
      <c r="C574" s="84">
        <v>1164.5</v>
      </c>
      <c r="D574" s="84">
        <v>0</v>
      </c>
      <c r="E574" s="84"/>
      <c r="F574" s="84" t="s">
        <v>973</v>
      </c>
      <c r="G574" s="40">
        <v>0.68</v>
      </c>
      <c r="H574" s="84" t="s">
        <v>1014</v>
      </c>
      <c r="I574" s="84" t="s">
        <v>1680</v>
      </c>
      <c r="J574" s="84"/>
      <c r="K574" s="84" t="s">
        <v>1089</v>
      </c>
      <c r="L574" s="84" t="s">
        <v>2484</v>
      </c>
      <c r="M574" s="84"/>
    </row>
    <row r="575" spans="1:13" x14ac:dyDescent="0.3">
      <c r="A575" s="49">
        <v>45880</v>
      </c>
      <c r="B575" s="49">
        <v>45880</v>
      </c>
      <c r="C575" s="50">
        <v>0</v>
      </c>
      <c r="D575" s="50">
        <v>2375</v>
      </c>
      <c r="E575" s="50"/>
      <c r="F575" s="50" t="s">
        <v>17</v>
      </c>
      <c r="G575" s="24">
        <v>0.88</v>
      </c>
      <c r="H575" s="50" t="s">
        <v>17</v>
      </c>
      <c r="I575" s="50" t="s">
        <v>1779</v>
      </c>
      <c r="J575" s="50"/>
      <c r="K575" s="50" t="s">
        <v>403</v>
      </c>
      <c r="L575" s="50" t="s">
        <v>2482</v>
      </c>
      <c r="M575" s="50"/>
    </row>
    <row r="576" spans="1:13" x14ac:dyDescent="0.3">
      <c r="A576" s="138">
        <v>45880</v>
      </c>
      <c r="B576" s="138">
        <v>45880</v>
      </c>
      <c r="C576" s="139">
        <v>283</v>
      </c>
      <c r="D576" s="139">
        <v>0</v>
      </c>
      <c r="E576" s="139"/>
      <c r="F576" s="139" t="s">
        <v>1662</v>
      </c>
      <c r="G576" s="40">
        <v>0.68</v>
      </c>
      <c r="H576" s="139" t="s">
        <v>1189</v>
      </c>
      <c r="I576" s="139" t="s">
        <v>837</v>
      </c>
      <c r="J576" s="139"/>
      <c r="K576" s="139" t="s">
        <v>1721</v>
      </c>
      <c r="L576" s="139" t="s">
        <v>2486</v>
      </c>
      <c r="M576" s="139"/>
    </row>
    <row r="577" spans="1:13" x14ac:dyDescent="0.3">
      <c r="A577" s="119">
        <v>45880.417800925927</v>
      </c>
      <c r="B577" s="119">
        <v>45880</v>
      </c>
      <c r="C577" s="120">
        <v>0</v>
      </c>
      <c r="D577" s="120">
        <v>120</v>
      </c>
      <c r="E577" s="120"/>
      <c r="F577" s="120" t="s">
        <v>1003</v>
      </c>
      <c r="G577" s="40">
        <v>0.65</v>
      </c>
      <c r="H577" s="120" t="s">
        <v>91</v>
      </c>
      <c r="I577" s="120" t="s">
        <v>1019</v>
      </c>
      <c r="J577" s="120"/>
      <c r="K577" s="120" t="s">
        <v>2248</v>
      </c>
      <c r="L577" s="120" t="s">
        <v>2483</v>
      </c>
      <c r="M577" s="120"/>
    </row>
    <row r="578" spans="1:13" x14ac:dyDescent="0.3">
      <c r="A578" s="99">
        <v>45881</v>
      </c>
      <c r="B578" s="99">
        <v>45881</v>
      </c>
      <c r="C578" s="100">
        <v>310</v>
      </c>
      <c r="D578" s="100">
        <v>0</v>
      </c>
      <c r="E578" s="100"/>
      <c r="F578" s="100" t="s">
        <v>981</v>
      </c>
      <c r="G578" s="40">
        <v>0.8</v>
      </c>
      <c r="H578" s="100" t="s">
        <v>1053</v>
      </c>
      <c r="I578" s="100" t="s">
        <v>1680</v>
      </c>
      <c r="J578" s="100"/>
      <c r="K578" s="100" t="s">
        <v>1090</v>
      </c>
      <c r="L578" s="100" t="s">
        <v>2484</v>
      </c>
      <c r="M578" s="100"/>
    </row>
    <row r="579" spans="1:13" x14ac:dyDescent="0.3">
      <c r="A579" s="25">
        <v>45881</v>
      </c>
      <c r="B579" s="25">
        <v>45881</v>
      </c>
      <c r="C579" s="26">
        <v>0</v>
      </c>
      <c r="D579" s="26">
        <v>52763.88</v>
      </c>
      <c r="E579" s="26"/>
      <c r="F579" s="26" t="s">
        <v>3</v>
      </c>
      <c r="G579" s="24">
        <v>0.93</v>
      </c>
      <c r="H579" s="26" t="s">
        <v>49</v>
      </c>
      <c r="I579" s="26" t="s">
        <v>1779</v>
      </c>
      <c r="J579" s="26"/>
      <c r="K579" s="26" t="s">
        <v>405</v>
      </c>
      <c r="L579" s="26" t="s">
        <v>2482</v>
      </c>
      <c r="M579" s="26"/>
    </row>
    <row r="580" spans="1:13" x14ac:dyDescent="0.3">
      <c r="A580" s="25">
        <v>45881</v>
      </c>
      <c r="B580" s="25">
        <v>45881</v>
      </c>
      <c r="C580" s="26">
        <v>0</v>
      </c>
      <c r="D580" s="26">
        <v>1157.2</v>
      </c>
      <c r="E580" s="26"/>
      <c r="F580" s="26" t="s">
        <v>3</v>
      </c>
      <c r="G580" s="24">
        <v>0.93</v>
      </c>
      <c r="H580" s="26" t="s">
        <v>49</v>
      </c>
      <c r="I580" s="26" t="s">
        <v>1779</v>
      </c>
      <c r="J580" s="26"/>
      <c r="K580" s="26" t="s">
        <v>407</v>
      </c>
      <c r="L580" s="26" t="s">
        <v>2482</v>
      </c>
      <c r="M580" s="26"/>
    </row>
    <row r="581" spans="1:13" x14ac:dyDescent="0.3">
      <c r="A581" s="49">
        <v>45881</v>
      </c>
      <c r="B581" s="49">
        <v>45881</v>
      </c>
      <c r="C581" s="50">
        <v>0</v>
      </c>
      <c r="D581" s="50">
        <v>650</v>
      </c>
      <c r="E581" s="50"/>
      <c r="F581" s="50" t="s">
        <v>17</v>
      </c>
      <c r="G581" s="24">
        <v>0.88</v>
      </c>
      <c r="H581" s="50" t="s">
        <v>17</v>
      </c>
      <c r="I581" s="50" t="s">
        <v>1779</v>
      </c>
      <c r="J581" s="50"/>
      <c r="K581" s="50" t="s">
        <v>410</v>
      </c>
      <c r="L581" s="50" t="s">
        <v>2482</v>
      </c>
      <c r="M581" s="50"/>
    </row>
    <row r="582" spans="1:13" x14ac:dyDescent="0.3">
      <c r="A582" s="89">
        <v>45881</v>
      </c>
      <c r="B582" s="89">
        <v>45881</v>
      </c>
      <c r="C582" s="90">
        <v>140</v>
      </c>
      <c r="D582" s="90">
        <v>0</v>
      </c>
      <c r="E582" s="90" t="s">
        <v>1092</v>
      </c>
      <c r="F582" s="90" t="s">
        <v>975</v>
      </c>
      <c r="G582" s="39">
        <v>0.55000000000000004</v>
      </c>
      <c r="H582" s="90" t="s">
        <v>91</v>
      </c>
      <c r="I582" s="90" t="s">
        <v>1680</v>
      </c>
      <c r="J582" s="90"/>
      <c r="K582" s="90" t="s">
        <v>1091</v>
      </c>
      <c r="L582" s="90" t="s">
        <v>2484</v>
      </c>
      <c r="M582" s="90"/>
    </row>
    <row r="583" spans="1:13" x14ac:dyDescent="0.3">
      <c r="A583" s="27">
        <v>45881</v>
      </c>
      <c r="B583" s="27">
        <v>45881</v>
      </c>
      <c r="C583" s="28">
        <v>16461.12</v>
      </c>
      <c r="D583" s="28">
        <v>0</v>
      </c>
      <c r="E583" s="28"/>
      <c r="F583" s="28" t="s">
        <v>4</v>
      </c>
      <c r="G583" s="24">
        <v>0.97</v>
      </c>
      <c r="H583" s="28" t="s">
        <v>49</v>
      </c>
      <c r="I583" s="28" t="s">
        <v>1779</v>
      </c>
      <c r="J583" s="28"/>
      <c r="K583" s="28" t="s">
        <v>50</v>
      </c>
      <c r="L583" s="28" t="s">
        <v>2482</v>
      </c>
      <c r="M583" s="28"/>
    </row>
    <row r="584" spans="1:13" x14ac:dyDescent="0.3">
      <c r="A584" s="27">
        <v>45881</v>
      </c>
      <c r="B584" s="27">
        <v>45881</v>
      </c>
      <c r="C584" s="28">
        <v>44.68</v>
      </c>
      <c r="D584" s="28">
        <v>0</v>
      </c>
      <c r="E584" s="28"/>
      <c r="F584" s="28" t="s">
        <v>4</v>
      </c>
      <c r="G584" s="24">
        <v>0.97</v>
      </c>
      <c r="H584" s="28" t="s">
        <v>49</v>
      </c>
      <c r="I584" s="28" t="s">
        <v>1779</v>
      </c>
      <c r="J584" s="28"/>
      <c r="K584" s="28" t="s">
        <v>50</v>
      </c>
      <c r="L584" s="28" t="s">
        <v>2482</v>
      </c>
      <c r="M584" s="28"/>
    </row>
    <row r="585" spans="1:13" x14ac:dyDescent="0.3">
      <c r="A585" s="27">
        <v>45881</v>
      </c>
      <c r="B585" s="27">
        <v>45881</v>
      </c>
      <c r="C585" s="28">
        <v>5806.54</v>
      </c>
      <c r="D585" s="28">
        <v>0</v>
      </c>
      <c r="E585" s="28"/>
      <c r="F585" s="28" t="s">
        <v>4</v>
      </c>
      <c r="G585" s="24">
        <v>0.97</v>
      </c>
      <c r="H585" s="28" t="s">
        <v>49</v>
      </c>
      <c r="I585" s="28" t="s">
        <v>1779</v>
      </c>
      <c r="J585" s="28"/>
      <c r="K585" s="28" t="s">
        <v>50</v>
      </c>
      <c r="L585" s="28" t="s">
        <v>2482</v>
      </c>
      <c r="M585" s="28"/>
    </row>
    <row r="586" spans="1:13" x14ac:dyDescent="0.3">
      <c r="A586" s="59">
        <v>45881.335833333331</v>
      </c>
      <c r="B586" s="59">
        <v>45881</v>
      </c>
      <c r="C586" s="60">
        <v>0</v>
      </c>
      <c r="D586" s="60">
        <v>501</v>
      </c>
      <c r="E586" s="60"/>
      <c r="F586" s="60" t="s">
        <v>29</v>
      </c>
      <c r="G586" s="24">
        <v>0.85</v>
      </c>
      <c r="H586" s="60" t="s">
        <v>606</v>
      </c>
      <c r="I586" s="60" t="s">
        <v>1019</v>
      </c>
      <c r="J586" s="60"/>
      <c r="K586" s="60" t="s">
        <v>2250</v>
      </c>
      <c r="L586" s="60" t="s">
        <v>2483</v>
      </c>
      <c r="M586" s="60"/>
    </row>
    <row r="587" spans="1:13" x14ac:dyDescent="0.3">
      <c r="A587" s="27">
        <v>45882</v>
      </c>
      <c r="B587" s="27">
        <v>45882</v>
      </c>
      <c r="C587" s="28">
        <v>37.159999999999997</v>
      </c>
      <c r="D587" s="28">
        <v>0</v>
      </c>
      <c r="E587" s="28"/>
      <c r="F587" s="28" t="s">
        <v>4</v>
      </c>
      <c r="G587" s="24">
        <v>0.97</v>
      </c>
      <c r="H587" s="28" t="s">
        <v>49</v>
      </c>
      <c r="I587" s="28" t="s">
        <v>1779</v>
      </c>
      <c r="J587" s="28"/>
      <c r="K587" s="28" t="s">
        <v>50</v>
      </c>
      <c r="L587" s="28" t="s">
        <v>2482</v>
      </c>
      <c r="M587" s="28"/>
    </row>
    <row r="588" spans="1:13" x14ac:dyDescent="0.3">
      <c r="A588" s="27">
        <v>45882</v>
      </c>
      <c r="B588" s="27">
        <v>45882</v>
      </c>
      <c r="C588" s="28">
        <v>14994</v>
      </c>
      <c r="D588" s="28">
        <v>0</v>
      </c>
      <c r="E588" s="28"/>
      <c r="F588" s="28" t="s">
        <v>26</v>
      </c>
      <c r="G588" s="40">
        <v>0.8</v>
      </c>
      <c r="H588" s="28" t="s">
        <v>417</v>
      </c>
      <c r="I588" s="28" t="s">
        <v>1779</v>
      </c>
      <c r="J588" s="28"/>
      <c r="K588" s="28" t="s">
        <v>415</v>
      </c>
      <c r="L588" s="28" t="s">
        <v>2482</v>
      </c>
      <c r="M588" s="28"/>
    </row>
    <row r="589" spans="1:13" x14ac:dyDescent="0.3">
      <c r="A589" s="27">
        <v>45882</v>
      </c>
      <c r="B589" s="27">
        <v>45882</v>
      </c>
      <c r="C589" s="28">
        <v>10011.120000000001</v>
      </c>
      <c r="D589" s="28">
        <v>0</v>
      </c>
      <c r="E589" s="28"/>
      <c r="F589" s="28" t="s">
        <v>4</v>
      </c>
      <c r="G589" s="24">
        <v>0.97</v>
      </c>
      <c r="H589" s="28" t="s">
        <v>49</v>
      </c>
      <c r="I589" s="28" t="s">
        <v>1779</v>
      </c>
      <c r="J589" s="28"/>
      <c r="K589" s="28" t="s">
        <v>50</v>
      </c>
      <c r="L589" s="28" t="s">
        <v>2482</v>
      </c>
      <c r="M589" s="28"/>
    </row>
    <row r="590" spans="1:13" x14ac:dyDescent="0.3">
      <c r="A590" s="25">
        <v>45883</v>
      </c>
      <c r="B590" s="25">
        <v>45883</v>
      </c>
      <c r="C590" s="26">
        <v>0</v>
      </c>
      <c r="D590" s="26">
        <v>15603.92</v>
      </c>
      <c r="E590" s="26"/>
      <c r="F590" s="26" t="s">
        <v>3</v>
      </c>
      <c r="G590" s="24">
        <v>0.93</v>
      </c>
      <c r="H590" s="26" t="s">
        <v>49</v>
      </c>
      <c r="I590" s="26" t="s">
        <v>1779</v>
      </c>
      <c r="J590" s="26"/>
      <c r="K590" s="26" t="s">
        <v>419</v>
      </c>
      <c r="L590" s="26" t="s">
        <v>2482</v>
      </c>
      <c r="M590" s="26"/>
    </row>
    <row r="591" spans="1:13" x14ac:dyDescent="0.3">
      <c r="A591" s="27">
        <v>45883</v>
      </c>
      <c r="B591" s="27">
        <v>45883</v>
      </c>
      <c r="C591" s="28">
        <v>43.31</v>
      </c>
      <c r="D591" s="28">
        <v>0</v>
      </c>
      <c r="E591" s="28"/>
      <c r="F591" s="28" t="s">
        <v>4</v>
      </c>
      <c r="G591" s="24">
        <v>0.97</v>
      </c>
      <c r="H591" s="28" t="s">
        <v>49</v>
      </c>
      <c r="I591" s="28" t="s">
        <v>1779</v>
      </c>
      <c r="J591" s="28"/>
      <c r="K591" s="28" t="s">
        <v>50</v>
      </c>
      <c r="L591" s="28" t="s">
        <v>2482</v>
      </c>
      <c r="M591" s="28"/>
    </row>
    <row r="592" spans="1:13" x14ac:dyDescent="0.3">
      <c r="A592" s="37">
        <v>45883</v>
      </c>
      <c r="B592" s="37">
        <v>45883</v>
      </c>
      <c r="C592" s="38">
        <v>0</v>
      </c>
      <c r="D592" s="38">
        <v>100</v>
      </c>
      <c r="E592" s="38"/>
      <c r="F592" s="38" t="s">
        <v>1663</v>
      </c>
      <c r="G592" s="39">
        <v>0.55000000000000004</v>
      </c>
      <c r="H592" s="38" t="s">
        <v>91</v>
      </c>
      <c r="I592" s="38" t="s">
        <v>837</v>
      </c>
      <c r="J592" s="38"/>
      <c r="K592" s="38" t="s">
        <v>1722</v>
      </c>
      <c r="L592" s="38" t="s">
        <v>2486</v>
      </c>
      <c r="M592" s="38"/>
    </row>
    <row r="593" spans="1:13" x14ac:dyDescent="0.3">
      <c r="A593" s="49">
        <v>45883</v>
      </c>
      <c r="B593" s="49">
        <v>45883</v>
      </c>
      <c r="C593" s="50">
        <v>0</v>
      </c>
      <c r="D593" s="50">
        <v>210</v>
      </c>
      <c r="E593" s="50"/>
      <c r="F593" s="50" t="s">
        <v>17</v>
      </c>
      <c r="G593" s="24">
        <v>0.88</v>
      </c>
      <c r="H593" s="50" t="s">
        <v>17</v>
      </c>
      <c r="I593" s="50" t="s">
        <v>1779</v>
      </c>
      <c r="J593" s="50"/>
      <c r="K593" s="50" t="s">
        <v>422</v>
      </c>
      <c r="L593" s="50" t="s">
        <v>2482</v>
      </c>
      <c r="M593" s="50"/>
    </row>
    <row r="594" spans="1:13" x14ac:dyDescent="0.3">
      <c r="A594" s="37">
        <v>45883</v>
      </c>
      <c r="B594" s="37">
        <v>45883</v>
      </c>
      <c r="C594" s="38">
        <v>0</v>
      </c>
      <c r="D594" s="38">
        <v>30000</v>
      </c>
      <c r="E594" s="38"/>
      <c r="F594" s="38" t="s">
        <v>27</v>
      </c>
      <c r="G594" s="39">
        <v>0.55000000000000004</v>
      </c>
      <c r="H594" s="38" t="s">
        <v>91</v>
      </c>
      <c r="I594" s="38" t="s">
        <v>1779</v>
      </c>
      <c r="J594" s="38"/>
      <c r="K594" s="38" t="s">
        <v>424</v>
      </c>
      <c r="L594" s="38" t="s">
        <v>2482</v>
      </c>
      <c r="M594" s="38"/>
    </row>
    <row r="595" spans="1:13" x14ac:dyDescent="0.3">
      <c r="A595" s="27">
        <v>45883</v>
      </c>
      <c r="B595" s="27">
        <v>45883</v>
      </c>
      <c r="C595" s="28">
        <v>330</v>
      </c>
      <c r="D595" s="28">
        <v>0</v>
      </c>
      <c r="E595" s="28"/>
      <c r="F595" s="28" t="s">
        <v>4</v>
      </c>
      <c r="G595" s="24">
        <v>0.97</v>
      </c>
      <c r="H595" s="28" t="s">
        <v>49</v>
      </c>
      <c r="I595" s="28" t="s">
        <v>1779</v>
      </c>
      <c r="J595" s="28"/>
      <c r="K595" s="28" t="s">
        <v>50</v>
      </c>
      <c r="L595" s="28" t="s">
        <v>2482</v>
      </c>
      <c r="M595" s="28"/>
    </row>
    <row r="596" spans="1:13" x14ac:dyDescent="0.3">
      <c r="A596" s="37">
        <v>45884</v>
      </c>
      <c r="B596" s="37">
        <v>45884</v>
      </c>
      <c r="C596" s="38">
        <v>0</v>
      </c>
      <c r="D596" s="38">
        <v>150</v>
      </c>
      <c r="E596" s="38"/>
      <c r="F596" s="38" t="s">
        <v>1664</v>
      </c>
      <c r="G596" s="39">
        <v>0.55000000000000004</v>
      </c>
      <c r="H596" s="38" t="s">
        <v>91</v>
      </c>
      <c r="I596" s="38" t="s">
        <v>837</v>
      </c>
      <c r="J596" s="38"/>
      <c r="K596" s="38" t="s">
        <v>1723</v>
      </c>
      <c r="L596" s="38" t="s">
        <v>2486</v>
      </c>
      <c r="M596" s="38"/>
    </row>
    <row r="597" spans="1:13" x14ac:dyDescent="0.3">
      <c r="A597" s="89">
        <v>45884</v>
      </c>
      <c r="B597" s="89">
        <v>45884</v>
      </c>
      <c r="C597" s="90">
        <v>100</v>
      </c>
      <c r="D597" s="90">
        <v>0</v>
      </c>
      <c r="E597" s="90" t="s">
        <v>1094</v>
      </c>
      <c r="F597" s="90" t="s">
        <v>975</v>
      </c>
      <c r="G597" s="39">
        <v>0.55000000000000004</v>
      </c>
      <c r="H597" s="90" t="s">
        <v>91</v>
      </c>
      <c r="I597" s="90" t="s">
        <v>1680</v>
      </c>
      <c r="J597" s="90"/>
      <c r="K597" s="90" t="s">
        <v>1093</v>
      </c>
      <c r="L597" s="90" t="s">
        <v>2484</v>
      </c>
      <c r="M597" s="90"/>
    </row>
    <row r="598" spans="1:13" x14ac:dyDescent="0.3">
      <c r="A598" s="47">
        <v>45884</v>
      </c>
      <c r="B598" s="47">
        <v>45884</v>
      </c>
      <c r="C598" s="48">
        <v>30000</v>
      </c>
      <c r="D598" s="48">
        <v>0</v>
      </c>
      <c r="E598" s="48"/>
      <c r="F598" s="48" t="s">
        <v>24</v>
      </c>
      <c r="G598" s="24">
        <v>0.88</v>
      </c>
      <c r="H598" s="48" t="s">
        <v>157</v>
      </c>
      <c r="I598" s="48" t="s">
        <v>1779</v>
      </c>
      <c r="J598" s="48"/>
      <c r="K598" s="48" t="s">
        <v>427</v>
      </c>
      <c r="L598" s="48" t="s">
        <v>2482</v>
      </c>
      <c r="M598" s="48"/>
    </row>
    <row r="599" spans="1:13" x14ac:dyDescent="0.3">
      <c r="A599" s="49">
        <v>45885.301423611112</v>
      </c>
      <c r="B599" s="49">
        <v>45885</v>
      </c>
      <c r="C599" s="50">
        <v>0</v>
      </c>
      <c r="D599" s="50">
        <v>275</v>
      </c>
      <c r="E599" s="50"/>
      <c r="F599" s="50" t="s">
        <v>17</v>
      </c>
      <c r="G599" s="24">
        <v>0.93</v>
      </c>
      <c r="H599" s="50" t="s">
        <v>17</v>
      </c>
      <c r="I599" s="50" t="s">
        <v>1019</v>
      </c>
      <c r="J599" s="50"/>
      <c r="K599" s="50" t="s">
        <v>2252</v>
      </c>
      <c r="L599" s="50" t="s">
        <v>2483</v>
      </c>
      <c r="M599" s="50"/>
    </row>
    <row r="600" spans="1:13" x14ac:dyDescent="0.3">
      <c r="A600" s="89">
        <v>45886</v>
      </c>
      <c r="B600" s="89">
        <v>45886</v>
      </c>
      <c r="C600" s="90">
        <v>80</v>
      </c>
      <c r="D600" s="90">
        <v>0</v>
      </c>
      <c r="E600" s="90" t="s">
        <v>1096</v>
      </c>
      <c r="F600" s="90" t="s">
        <v>975</v>
      </c>
      <c r="G600" s="39">
        <v>0.55000000000000004</v>
      </c>
      <c r="H600" s="90" t="s">
        <v>91</v>
      </c>
      <c r="I600" s="90" t="s">
        <v>1680</v>
      </c>
      <c r="J600" s="90"/>
      <c r="K600" s="90" t="s">
        <v>1095</v>
      </c>
      <c r="L600" s="90" t="s">
        <v>2484</v>
      </c>
      <c r="M600" s="90"/>
    </row>
    <row r="601" spans="1:13" x14ac:dyDescent="0.3">
      <c r="A601" s="27">
        <v>45887</v>
      </c>
      <c r="B601" s="27">
        <v>45887</v>
      </c>
      <c r="C601" s="28">
        <v>211.32</v>
      </c>
      <c r="D601" s="28">
        <v>0</v>
      </c>
      <c r="E601" s="28"/>
      <c r="F601" s="28" t="s">
        <v>4</v>
      </c>
      <c r="G601" s="24">
        <v>0.97</v>
      </c>
      <c r="H601" s="28" t="s">
        <v>49</v>
      </c>
      <c r="I601" s="28" t="s">
        <v>1779</v>
      </c>
      <c r="J601" s="28"/>
      <c r="K601" s="28" t="s">
        <v>50</v>
      </c>
      <c r="L601" s="28" t="s">
        <v>2482</v>
      </c>
      <c r="M601" s="28"/>
    </row>
    <row r="602" spans="1:13" x14ac:dyDescent="0.3">
      <c r="A602" s="27">
        <v>45887</v>
      </c>
      <c r="B602" s="27">
        <v>45887</v>
      </c>
      <c r="C602" s="28">
        <v>9465.2800000000007</v>
      </c>
      <c r="D602" s="28">
        <v>0</v>
      </c>
      <c r="E602" s="28"/>
      <c r="F602" s="28" t="s">
        <v>4</v>
      </c>
      <c r="G602" s="24">
        <v>0.97</v>
      </c>
      <c r="H602" s="28" t="s">
        <v>49</v>
      </c>
      <c r="I602" s="28" t="s">
        <v>1779</v>
      </c>
      <c r="J602" s="28"/>
      <c r="K602" s="28" t="s">
        <v>50</v>
      </c>
      <c r="L602" s="28" t="s">
        <v>2482</v>
      </c>
      <c r="M602" s="28"/>
    </row>
    <row r="603" spans="1:13" x14ac:dyDescent="0.3">
      <c r="A603" s="27">
        <v>45888</v>
      </c>
      <c r="B603" s="27">
        <v>45888</v>
      </c>
      <c r="C603" s="28">
        <v>49.46</v>
      </c>
      <c r="D603" s="28">
        <v>0</v>
      </c>
      <c r="E603" s="28"/>
      <c r="F603" s="28" t="s">
        <v>4</v>
      </c>
      <c r="G603" s="24">
        <v>0.97</v>
      </c>
      <c r="H603" s="28" t="s">
        <v>49</v>
      </c>
      <c r="I603" s="28" t="s">
        <v>1779</v>
      </c>
      <c r="J603" s="28"/>
      <c r="K603" s="28" t="s">
        <v>50</v>
      </c>
      <c r="L603" s="28" t="s">
        <v>2482</v>
      </c>
      <c r="M603" s="28"/>
    </row>
    <row r="604" spans="1:13" x14ac:dyDescent="0.3">
      <c r="A604" s="101">
        <v>45888</v>
      </c>
      <c r="B604" s="101">
        <v>45888</v>
      </c>
      <c r="C604" s="102">
        <v>1000</v>
      </c>
      <c r="D604" s="102">
        <v>0</v>
      </c>
      <c r="E604" s="102"/>
      <c r="F604" s="102" t="s">
        <v>976</v>
      </c>
      <c r="G604" s="24">
        <v>0.85</v>
      </c>
      <c r="H604" s="102" t="s">
        <v>1028</v>
      </c>
      <c r="I604" s="102" t="s">
        <v>1680</v>
      </c>
      <c r="J604" s="102"/>
      <c r="K604" s="102" t="s">
        <v>1097</v>
      </c>
      <c r="L604" s="102" t="s">
        <v>2484</v>
      </c>
      <c r="M604" s="102"/>
    </row>
    <row r="605" spans="1:13" x14ac:dyDescent="0.3">
      <c r="A605" s="27">
        <v>45889</v>
      </c>
      <c r="B605" s="27">
        <v>45889</v>
      </c>
      <c r="C605" s="28">
        <v>60.58</v>
      </c>
      <c r="D605" s="28">
        <v>0</v>
      </c>
      <c r="E605" s="28"/>
      <c r="F605" s="28" t="s">
        <v>4</v>
      </c>
      <c r="G605" s="24">
        <v>0.97</v>
      </c>
      <c r="H605" s="28" t="s">
        <v>49</v>
      </c>
      <c r="I605" s="28" t="s">
        <v>1779</v>
      </c>
      <c r="J605" s="28"/>
      <c r="K605" s="28" t="s">
        <v>50</v>
      </c>
      <c r="L605" s="28" t="s">
        <v>2482</v>
      </c>
      <c r="M605" s="28"/>
    </row>
    <row r="606" spans="1:13" x14ac:dyDescent="0.3">
      <c r="A606" s="89">
        <v>45889</v>
      </c>
      <c r="B606" s="89">
        <v>45889</v>
      </c>
      <c r="C606" s="90">
        <v>870</v>
      </c>
      <c r="D606" s="90">
        <v>0</v>
      </c>
      <c r="E606" s="90" t="s">
        <v>1099</v>
      </c>
      <c r="F606" s="90" t="s">
        <v>975</v>
      </c>
      <c r="G606" s="39">
        <v>0.55000000000000004</v>
      </c>
      <c r="H606" s="90" t="s">
        <v>91</v>
      </c>
      <c r="I606" s="90" t="s">
        <v>1680</v>
      </c>
      <c r="J606" s="90"/>
      <c r="K606" s="90" t="s">
        <v>1098</v>
      </c>
      <c r="L606" s="90" t="s">
        <v>2484</v>
      </c>
      <c r="M606" s="90"/>
    </row>
    <row r="607" spans="1:13" x14ac:dyDescent="0.3">
      <c r="A607" s="101">
        <v>45889</v>
      </c>
      <c r="B607" s="101">
        <v>45889</v>
      </c>
      <c r="C607" s="102">
        <v>1000</v>
      </c>
      <c r="D607" s="102">
        <v>0</v>
      </c>
      <c r="E607" s="102"/>
      <c r="F607" s="102" t="s">
        <v>976</v>
      </c>
      <c r="G607" s="24">
        <v>0.85</v>
      </c>
      <c r="H607" s="102" t="s">
        <v>1028</v>
      </c>
      <c r="I607" s="102" t="s">
        <v>1680</v>
      </c>
      <c r="J607" s="102"/>
      <c r="K607" s="102" t="s">
        <v>1100</v>
      </c>
      <c r="L607" s="102" t="s">
        <v>2484</v>
      </c>
      <c r="M607" s="102"/>
    </row>
    <row r="608" spans="1:13" x14ac:dyDescent="0.3">
      <c r="A608" s="49">
        <v>45889</v>
      </c>
      <c r="B608" s="49">
        <v>45889</v>
      </c>
      <c r="C608" s="50">
        <v>0</v>
      </c>
      <c r="D608" s="50">
        <v>21</v>
      </c>
      <c r="E608" s="50"/>
      <c r="F608" s="50" t="s">
        <v>17</v>
      </c>
      <c r="G608" s="24">
        <v>0.88</v>
      </c>
      <c r="H608" s="50" t="s">
        <v>17</v>
      </c>
      <c r="I608" s="50" t="s">
        <v>1779</v>
      </c>
      <c r="J608" s="50"/>
      <c r="K608" s="50" t="s">
        <v>435</v>
      </c>
      <c r="L608" s="50" t="s">
        <v>2482</v>
      </c>
      <c r="M608" s="50"/>
    </row>
    <row r="609" spans="1:13" x14ac:dyDescent="0.3">
      <c r="A609" s="25">
        <v>45889</v>
      </c>
      <c r="B609" s="25">
        <v>45889</v>
      </c>
      <c r="C609" s="26">
        <v>0</v>
      </c>
      <c r="D609" s="26">
        <v>898.9</v>
      </c>
      <c r="E609" s="26"/>
      <c r="F609" s="26" t="s">
        <v>3</v>
      </c>
      <c r="G609" s="24">
        <v>0.93</v>
      </c>
      <c r="H609" s="26" t="s">
        <v>49</v>
      </c>
      <c r="I609" s="26" t="s">
        <v>1779</v>
      </c>
      <c r="J609" s="26"/>
      <c r="K609" s="26" t="s">
        <v>432</v>
      </c>
      <c r="L609" s="26" t="s">
        <v>2482</v>
      </c>
      <c r="M609" s="26"/>
    </row>
    <row r="610" spans="1:13" x14ac:dyDescent="0.3">
      <c r="A610" s="27">
        <v>45890</v>
      </c>
      <c r="B610" s="27">
        <v>45890</v>
      </c>
      <c r="C610" s="28">
        <v>60.9</v>
      </c>
      <c r="D610" s="28">
        <v>0</v>
      </c>
      <c r="E610" s="28"/>
      <c r="F610" s="28" t="s">
        <v>4</v>
      </c>
      <c r="G610" s="24">
        <v>0.97</v>
      </c>
      <c r="H610" s="28" t="s">
        <v>49</v>
      </c>
      <c r="I610" s="28" t="s">
        <v>1779</v>
      </c>
      <c r="J610" s="28"/>
      <c r="K610" s="28" t="s">
        <v>50</v>
      </c>
      <c r="L610" s="28" t="s">
        <v>2482</v>
      </c>
      <c r="M610" s="28"/>
    </row>
    <row r="611" spans="1:13" x14ac:dyDescent="0.3">
      <c r="A611" s="25">
        <v>45890</v>
      </c>
      <c r="B611" s="25">
        <v>45890</v>
      </c>
      <c r="C611" s="26">
        <v>0</v>
      </c>
      <c r="D611" s="26">
        <v>317.25</v>
      </c>
      <c r="E611" s="26"/>
      <c r="F611" s="26" t="s">
        <v>3</v>
      </c>
      <c r="G611" s="24">
        <v>0.93</v>
      </c>
      <c r="H611" s="26" t="s">
        <v>49</v>
      </c>
      <c r="I611" s="26" t="s">
        <v>1779</v>
      </c>
      <c r="J611" s="26"/>
      <c r="K611" s="26" t="s">
        <v>437</v>
      </c>
      <c r="L611" s="26" t="s">
        <v>2482</v>
      </c>
      <c r="M611" s="26"/>
    </row>
    <row r="612" spans="1:13" x14ac:dyDescent="0.3">
      <c r="A612" s="89">
        <v>45890</v>
      </c>
      <c r="B612" s="89">
        <v>45890</v>
      </c>
      <c r="C612" s="90">
        <v>1500</v>
      </c>
      <c r="D612" s="90">
        <v>0</v>
      </c>
      <c r="E612" s="90" t="s">
        <v>1102</v>
      </c>
      <c r="F612" s="90" t="s">
        <v>975</v>
      </c>
      <c r="G612" s="39">
        <v>0.55000000000000004</v>
      </c>
      <c r="H612" s="90" t="s">
        <v>91</v>
      </c>
      <c r="I612" s="90" t="s">
        <v>1680</v>
      </c>
      <c r="J612" s="90"/>
      <c r="K612" s="90" t="s">
        <v>1101</v>
      </c>
      <c r="L612" s="90" t="s">
        <v>2484</v>
      </c>
      <c r="M612" s="90"/>
    </row>
    <row r="613" spans="1:13" x14ac:dyDescent="0.3">
      <c r="A613" s="101">
        <v>45890</v>
      </c>
      <c r="B613" s="101">
        <v>45890</v>
      </c>
      <c r="C613" s="102">
        <v>1000</v>
      </c>
      <c r="D613" s="102">
        <v>0</v>
      </c>
      <c r="E613" s="102"/>
      <c r="F613" s="102" t="s">
        <v>976</v>
      </c>
      <c r="G613" s="24">
        <v>0.85</v>
      </c>
      <c r="H613" s="102" t="s">
        <v>1028</v>
      </c>
      <c r="I613" s="102" t="s">
        <v>1680</v>
      </c>
      <c r="J613" s="102"/>
      <c r="K613" s="102" t="s">
        <v>1103</v>
      </c>
      <c r="L613" s="102" t="s">
        <v>2484</v>
      </c>
      <c r="M613" s="102"/>
    </row>
    <row r="614" spans="1:13" x14ac:dyDescent="0.3">
      <c r="A614" s="27">
        <v>45890</v>
      </c>
      <c r="B614" s="27">
        <v>45890</v>
      </c>
      <c r="C614" s="28">
        <v>44.35</v>
      </c>
      <c r="D614" s="28">
        <v>0</v>
      </c>
      <c r="E614" s="28"/>
      <c r="F614" s="28" t="s">
        <v>4</v>
      </c>
      <c r="G614" s="24">
        <v>0.97</v>
      </c>
      <c r="H614" s="28" t="s">
        <v>49</v>
      </c>
      <c r="I614" s="28" t="s">
        <v>1779</v>
      </c>
      <c r="J614" s="28"/>
      <c r="K614" s="28" t="s">
        <v>50</v>
      </c>
      <c r="L614" s="28" t="s">
        <v>2482</v>
      </c>
      <c r="M614" s="28"/>
    </row>
    <row r="615" spans="1:13" x14ac:dyDescent="0.3">
      <c r="A615" s="49">
        <v>45890.472812499997</v>
      </c>
      <c r="B615" s="49">
        <v>45890</v>
      </c>
      <c r="C615" s="50">
        <v>0</v>
      </c>
      <c r="D615" s="50">
        <v>154</v>
      </c>
      <c r="E615" s="50"/>
      <c r="F615" s="50" t="s">
        <v>17</v>
      </c>
      <c r="G615" s="24">
        <v>0.93</v>
      </c>
      <c r="H615" s="50" t="s">
        <v>17</v>
      </c>
      <c r="I615" s="50" t="s">
        <v>1019</v>
      </c>
      <c r="J615" s="50"/>
      <c r="K615" s="50" t="s">
        <v>2254</v>
      </c>
      <c r="L615" s="50" t="s">
        <v>2483</v>
      </c>
      <c r="M615" s="50"/>
    </row>
    <row r="616" spans="1:13" x14ac:dyDescent="0.3">
      <c r="A616" s="101">
        <v>45891</v>
      </c>
      <c r="B616" s="101">
        <v>45891</v>
      </c>
      <c r="C616" s="102">
        <v>1000</v>
      </c>
      <c r="D616" s="102">
        <v>0</v>
      </c>
      <c r="E616" s="102"/>
      <c r="F616" s="102" t="s">
        <v>976</v>
      </c>
      <c r="G616" s="24">
        <v>0.85</v>
      </c>
      <c r="H616" s="102" t="s">
        <v>1028</v>
      </c>
      <c r="I616" s="102" t="s">
        <v>1680</v>
      </c>
      <c r="J616" s="102"/>
      <c r="K616" s="102" t="s">
        <v>1104</v>
      </c>
      <c r="L616" s="102" t="s">
        <v>2484</v>
      </c>
      <c r="M616" s="102"/>
    </row>
    <row r="617" spans="1:13" x14ac:dyDescent="0.3">
      <c r="A617" s="27">
        <v>45891</v>
      </c>
      <c r="B617" s="27">
        <v>45891</v>
      </c>
      <c r="C617" s="28">
        <v>61</v>
      </c>
      <c r="D617" s="28">
        <v>0</v>
      </c>
      <c r="E617" s="28"/>
      <c r="F617" s="28" t="s">
        <v>4</v>
      </c>
      <c r="G617" s="24">
        <v>0.97</v>
      </c>
      <c r="H617" s="28" t="s">
        <v>49</v>
      </c>
      <c r="I617" s="28" t="s">
        <v>1779</v>
      </c>
      <c r="J617" s="28"/>
      <c r="K617" s="28" t="s">
        <v>50</v>
      </c>
      <c r="L617" s="28" t="s">
        <v>2482</v>
      </c>
      <c r="M617" s="28"/>
    </row>
    <row r="618" spans="1:13" x14ac:dyDescent="0.3">
      <c r="A618" s="35">
        <v>45891</v>
      </c>
      <c r="B618" s="35">
        <v>45891</v>
      </c>
      <c r="C618" s="36">
        <v>460.2</v>
      </c>
      <c r="D618" s="36">
        <v>0</v>
      </c>
      <c r="E618" s="36"/>
      <c r="F618" s="36" t="s">
        <v>9</v>
      </c>
      <c r="G618" s="24">
        <v>0.93</v>
      </c>
      <c r="H618" s="36" t="s">
        <v>9</v>
      </c>
      <c r="I618" s="36" t="s">
        <v>1779</v>
      </c>
      <c r="J618" s="36"/>
      <c r="K618" s="36" t="s">
        <v>442</v>
      </c>
      <c r="L618" s="36" t="s">
        <v>2482</v>
      </c>
      <c r="M618" s="36"/>
    </row>
    <row r="619" spans="1:13" x14ac:dyDescent="0.3">
      <c r="A619" s="89">
        <v>45892</v>
      </c>
      <c r="B619" s="89">
        <v>45892</v>
      </c>
      <c r="C619" s="90">
        <v>30</v>
      </c>
      <c r="D619" s="90">
        <v>0</v>
      </c>
      <c r="E619" s="90" t="s">
        <v>1109</v>
      </c>
      <c r="F619" s="90" t="s">
        <v>975</v>
      </c>
      <c r="G619" s="39">
        <v>0.55000000000000004</v>
      </c>
      <c r="H619" s="90" t="s">
        <v>91</v>
      </c>
      <c r="I619" s="90" t="s">
        <v>1680</v>
      </c>
      <c r="J619" s="90"/>
      <c r="K619" s="90" t="s">
        <v>1108</v>
      </c>
      <c r="L619" s="90" t="s">
        <v>2484</v>
      </c>
      <c r="M619" s="90"/>
    </row>
    <row r="620" spans="1:13" x14ac:dyDescent="0.3">
      <c r="A620" s="101">
        <v>45892</v>
      </c>
      <c r="B620" s="101">
        <v>45892</v>
      </c>
      <c r="C620" s="102">
        <v>1000</v>
      </c>
      <c r="D620" s="102">
        <v>0</v>
      </c>
      <c r="E620" s="102"/>
      <c r="F620" s="102" t="s">
        <v>976</v>
      </c>
      <c r="G620" s="24">
        <v>0.85</v>
      </c>
      <c r="H620" s="102" t="s">
        <v>1028</v>
      </c>
      <c r="I620" s="102" t="s">
        <v>1680</v>
      </c>
      <c r="J620" s="102"/>
      <c r="K620" s="102" t="s">
        <v>1110</v>
      </c>
      <c r="L620" s="102" t="s">
        <v>2484</v>
      </c>
      <c r="M620" s="102" t="s">
        <v>2485</v>
      </c>
    </row>
    <row r="621" spans="1:13" x14ac:dyDescent="0.3">
      <c r="A621" s="89">
        <v>45892</v>
      </c>
      <c r="B621" s="89">
        <v>45892</v>
      </c>
      <c r="C621" s="90">
        <v>200</v>
      </c>
      <c r="D621" s="90">
        <v>0</v>
      </c>
      <c r="E621" s="90" t="s">
        <v>1107</v>
      </c>
      <c r="F621" s="90" t="s">
        <v>975</v>
      </c>
      <c r="G621" s="39">
        <v>0.55000000000000004</v>
      </c>
      <c r="H621" s="90" t="s">
        <v>91</v>
      </c>
      <c r="I621" s="90" t="s">
        <v>1680</v>
      </c>
      <c r="J621" s="90"/>
      <c r="K621" s="90" t="s">
        <v>1106</v>
      </c>
      <c r="L621" s="90" t="s">
        <v>2484</v>
      </c>
      <c r="M621" s="90"/>
    </row>
    <row r="622" spans="1:13" x14ac:dyDescent="0.3">
      <c r="A622" s="101">
        <v>45892</v>
      </c>
      <c r="B622" s="101">
        <v>45892</v>
      </c>
      <c r="C622" s="102">
        <v>1000</v>
      </c>
      <c r="D622" s="102">
        <v>0</v>
      </c>
      <c r="E622" s="102"/>
      <c r="F622" s="102" t="s">
        <v>976</v>
      </c>
      <c r="G622" s="24">
        <v>0.85</v>
      </c>
      <c r="H622" s="102" t="s">
        <v>1028</v>
      </c>
      <c r="I622" s="102" t="s">
        <v>1680</v>
      </c>
      <c r="J622" s="102"/>
      <c r="K622" s="102" t="s">
        <v>1105</v>
      </c>
      <c r="L622" s="102" t="s">
        <v>2484</v>
      </c>
      <c r="M622" s="102" t="s">
        <v>2485</v>
      </c>
    </row>
    <row r="623" spans="1:13" x14ac:dyDescent="0.3">
      <c r="A623" s="47">
        <v>45893</v>
      </c>
      <c r="B623" s="47">
        <v>45893</v>
      </c>
      <c r="C623" s="48">
        <v>35000</v>
      </c>
      <c r="D623" s="48">
        <v>0</v>
      </c>
      <c r="E623" s="48"/>
      <c r="F623" s="48" t="s">
        <v>24</v>
      </c>
      <c r="G623" s="24">
        <v>0.88</v>
      </c>
      <c r="H623" s="48" t="s">
        <v>157</v>
      </c>
      <c r="I623" s="48" t="s">
        <v>1779</v>
      </c>
      <c r="J623" s="48"/>
      <c r="K623" s="48" t="s">
        <v>443</v>
      </c>
      <c r="L623" s="48" t="s">
        <v>2482</v>
      </c>
      <c r="M623" s="48"/>
    </row>
    <row r="624" spans="1:13" x14ac:dyDescent="0.3">
      <c r="A624" s="27">
        <v>45894</v>
      </c>
      <c r="B624" s="27">
        <v>45894</v>
      </c>
      <c r="C624" s="28">
        <v>183</v>
      </c>
      <c r="D624" s="28">
        <v>0</v>
      </c>
      <c r="E624" s="28"/>
      <c r="F624" s="28" t="s">
        <v>4</v>
      </c>
      <c r="G624" s="24">
        <v>0.97</v>
      </c>
      <c r="H624" s="28" t="s">
        <v>49</v>
      </c>
      <c r="I624" s="28" t="s">
        <v>1779</v>
      </c>
      <c r="J624" s="28"/>
      <c r="K624" s="28" t="s">
        <v>50</v>
      </c>
      <c r="L624" s="28" t="s">
        <v>2482</v>
      </c>
      <c r="M624" s="28"/>
    </row>
    <row r="625" spans="1:13" x14ac:dyDescent="0.3">
      <c r="A625" s="27">
        <v>45894</v>
      </c>
      <c r="B625" s="27">
        <v>45894</v>
      </c>
      <c r="C625" s="28">
        <v>244.42</v>
      </c>
      <c r="D625" s="28">
        <v>0</v>
      </c>
      <c r="E625" s="28"/>
      <c r="F625" s="28" t="s">
        <v>4</v>
      </c>
      <c r="G625" s="24">
        <v>0.97</v>
      </c>
      <c r="H625" s="28" t="s">
        <v>49</v>
      </c>
      <c r="I625" s="28" t="s">
        <v>1779</v>
      </c>
      <c r="J625" s="28"/>
      <c r="K625" s="28" t="s">
        <v>50</v>
      </c>
      <c r="L625" s="28" t="s">
        <v>2482</v>
      </c>
      <c r="M625" s="28"/>
    </row>
    <row r="626" spans="1:13" x14ac:dyDescent="0.3">
      <c r="A626" s="101">
        <v>45894</v>
      </c>
      <c r="B626" s="101">
        <v>45894</v>
      </c>
      <c r="C626" s="102">
        <v>1875.87</v>
      </c>
      <c r="D626" s="102">
        <v>0</v>
      </c>
      <c r="E626" s="102"/>
      <c r="F626" s="102" t="s">
        <v>976</v>
      </c>
      <c r="G626" s="24">
        <v>0.85</v>
      </c>
      <c r="H626" s="102" t="s">
        <v>1028</v>
      </c>
      <c r="I626" s="102" t="s">
        <v>1680</v>
      </c>
      <c r="J626" s="102"/>
      <c r="K626" s="102" t="s">
        <v>1111</v>
      </c>
      <c r="L626" s="102" t="s">
        <v>2484</v>
      </c>
      <c r="M626" s="102"/>
    </row>
    <row r="627" spans="1:13" x14ac:dyDescent="0.3">
      <c r="A627" s="25">
        <v>45894</v>
      </c>
      <c r="B627" s="25">
        <v>45894</v>
      </c>
      <c r="C627" s="26">
        <v>0</v>
      </c>
      <c r="D627" s="26">
        <v>12107.89</v>
      </c>
      <c r="E627" s="26"/>
      <c r="F627" s="26" t="s">
        <v>3</v>
      </c>
      <c r="G627" s="24">
        <v>0.93</v>
      </c>
      <c r="H627" s="26" t="s">
        <v>49</v>
      </c>
      <c r="I627" s="26" t="s">
        <v>1779</v>
      </c>
      <c r="J627" s="26"/>
      <c r="K627" s="26" t="s">
        <v>445</v>
      </c>
      <c r="L627" s="26" t="s">
        <v>2482</v>
      </c>
      <c r="M627" s="26"/>
    </row>
    <row r="628" spans="1:13" x14ac:dyDescent="0.3">
      <c r="A628" s="27">
        <v>45895</v>
      </c>
      <c r="B628" s="27">
        <v>45895</v>
      </c>
      <c r="C628" s="28">
        <v>57.24</v>
      </c>
      <c r="D628" s="28">
        <v>0</v>
      </c>
      <c r="E628" s="28"/>
      <c r="F628" s="28" t="s">
        <v>4</v>
      </c>
      <c r="G628" s="24">
        <v>0.97</v>
      </c>
      <c r="H628" s="28" t="s">
        <v>49</v>
      </c>
      <c r="I628" s="28" t="s">
        <v>1779</v>
      </c>
      <c r="J628" s="28"/>
      <c r="K628" s="28" t="s">
        <v>50</v>
      </c>
      <c r="L628" s="28" t="s">
        <v>2482</v>
      </c>
      <c r="M628" s="28"/>
    </row>
    <row r="629" spans="1:13" x14ac:dyDescent="0.3">
      <c r="A629" s="27">
        <v>45895</v>
      </c>
      <c r="B629" s="27">
        <v>45896</v>
      </c>
      <c r="C629" s="28">
        <v>2406.0700000000002</v>
      </c>
      <c r="D629" s="28">
        <v>0</v>
      </c>
      <c r="E629" s="28"/>
      <c r="F629" s="28" t="s">
        <v>4</v>
      </c>
      <c r="G629" s="24">
        <v>0.97</v>
      </c>
      <c r="H629" s="28" t="s">
        <v>49</v>
      </c>
      <c r="I629" s="28" t="s">
        <v>1779</v>
      </c>
      <c r="J629" s="28"/>
      <c r="K629" s="28" t="s">
        <v>50</v>
      </c>
      <c r="L629" s="28" t="s">
        <v>2482</v>
      </c>
      <c r="M629" s="28"/>
    </row>
    <row r="630" spans="1:13" x14ac:dyDescent="0.3">
      <c r="A630" s="89">
        <v>45895</v>
      </c>
      <c r="B630" s="89">
        <v>45895</v>
      </c>
      <c r="C630" s="90">
        <v>87</v>
      </c>
      <c r="D630" s="90">
        <v>0</v>
      </c>
      <c r="E630" s="90" t="s">
        <v>1113</v>
      </c>
      <c r="F630" s="90" t="s">
        <v>975</v>
      </c>
      <c r="G630" s="39">
        <v>0.55000000000000004</v>
      </c>
      <c r="H630" s="90" t="s">
        <v>91</v>
      </c>
      <c r="I630" s="90" t="s">
        <v>1680</v>
      </c>
      <c r="J630" s="90"/>
      <c r="K630" s="90" t="s">
        <v>1112</v>
      </c>
      <c r="L630" s="90" t="s">
        <v>2484</v>
      </c>
      <c r="M630" s="90"/>
    </row>
    <row r="631" spans="1:13" x14ac:dyDescent="0.3">
      <c r="A631" s="89">
        <v>45895</v>
      </c>
      <c r="B631" s="89">
        <v>45895</v>
      </c>
      <c r="C631" s="90">
        <v>80</v>
      </c>
      <c r="D631" s="90">
        <v>0</v>
      </c>
      <c r="E631" s="90" t="s">
        <v>1115</v>
      </c>
      <c r="F631" s="90" t="s">
        <v>975</v>
      </c>
      <c r="G631" s="39">
        <v>0.55000000000000004</v>
      </c>
      <c r="H631" s="90" t="s">
        <v>91</v>
      </c>
      <c r="I631" s="90" t="s">
        <v>1680</v>
      </c>
      <c r="J631" s="90"/>
      <c r="K631" s="90" t="s">
        <v>1114</v>
      </c>
      <c r="L631" s="90" t="s">
        <v>2484</v>
      </c>
      <c r="M631" s="90"/>
    </row>
    <row r="632" spans="1:13" x14ac:dyDescent="0.3">
      <c r="A632" s="89">
        <v>45896</v>
      </c>
      <c r="B632" s="89">
        <v>45896</v>
      </c>
      <c r="C632" s="90">
        <v>67</v>
      </c>
      <c r="D632" s="90">
        <v>0</v>
      </c>
      <c r="E632" s="90" t="s">
        <v>1121</v>
      </c>
      <c r="F632" s="90" t="s">
        <v>975</v>
      </c>
      <c r="G632" s="39">
        <v>0.55000000000000004</v>
      </c>
      <c r="H632" s="90" t="s">
        <v>91</v>
      </c>
      <c r="I632" s="90" t="s">
        <v>1680</v>
      </c>
      <c r="J632" s="90"/>
      <c r="K632" s="90" t="s">
        <v>1120</v>
      </c>
      <c r="L632" s="90" t="s">
        <v>2484</v>
      </c>
      <c r="M632" s="90"/>
    </row>
    <row r="633" spans="1:13" x14ac:dyDescent="0.3">
      <c r="A633" s="89">
        <v>45896</v>
      </c>
      <c r="B633" s="89">
        <v>45896</v>
      </c>
      <c r="C633" s="90">
        <v>150</v>
      </c>
      <c r="D633" s="90">
        <v>0</v>
      </c>
      <c r="E633" s="90" t="s">
        <v>1117</v>
      </c>
      <c r="F633" s="90" t="s">
        <v>975</v>
      </c>
      <c r="G633" s="39">
        <v>0.55000000000000004</v>
      </c>
      <c r="H633" s="90" t="s">
        <v>91</v>
      </c>
      <c r="I633" s="90" t="s">
        <v>1680</v>
      </c>
      <c r="J633" s="90"/>
      <c r="K633" s="90" t="s">
        <v>1116</v>
      </c>
      <c r="L633" s="90" t="s">
        <v>2484</v>
      </c>
      <c r="M633" s="90" t="s">
        <v>2485</v>
      </c>
    </row>
    <row r="634" spans="1:13" x14ac:dyDescent="0.3">
      <c r="A634" s="89">
        <v>45896</v>
      </c>
      <c r="B634" s="89">
        <v>45896</v>
      </c>
      <c r="C634" s="90">
        <v>100</v>
      </c>
      <c r="D634" s="90">
        <v>0</v>
      </c>
      <c r="E634" s="90" t="s">
        <v>1119</v>
      </c>
      <c r="F634" s="90" t="s">
        <v>975</v>
      </c>
      <c r="G634" s="39">
        <v>0.55000000000000004</v>
      </c>
      <c r="H634" s="90" t="s">
        <v>91</v>
      </c>
      <c r="I634" s="90" t="s">
        <v>1680</v>
      </c>
      <c r="J634" s="90"/>
      <c r="K634" s="90" t="s">
        <v>1118</v>
      </c>
      <c r="L634" s="90" t="s">
        <v>2484</v>
      </c>
      <c r="M634" s="90"/>
    </row>
    <row r="635" spans="1:13" x14ac:dyDescent="0.3">
      <c r="A635" s="89">
        <v>45896</v>
      </c>
      <c r="B635" s="89">
        <v>45896</v>
      </c>
      <c r="C635" s="90">
        <v>210</v>
      </c>
      <c r="D635" s="90">
        <v>0</v>
      </c>
      <c r="E635" s="90" t="s">
        <v>1123</v>
      </c>
      <c r="F635" s="90" t="s">
        <v>975</v>
      </c>
      <c r="G635" s="39">
        <v>0.55000000000000004</v>
      </c>
      <c r="H635" s="90" t="s">
        <v>91</v>
      </c>
      <c r="I635" s="90" t="s">
        <v>1680</v>
      </c>
      <c r="J635" s="90"/>
      <c r="K635" s="90" t="s">
        <v>1122</v>
      </c>
      <c r="L635" s="90" t="s">
        <v>2484</v>
      </c>
      <c r="M635" s="90"/>
    </row>
    <row r="636" spans="1:13" x14ac:dyDescent="0.3">
      <c r="A636" s="89">
        <v>45896</v>
      </c>
      <c r="B636" s="89">
        <v>45896</v>
      </c>
      <c r="C636" s="90">
        <v>150</v>
      </c>
      <c r="D636" s="90">
        <v>0</v>
      </c>
      <c r="E636" s="90" t="s">
        <v>1125</v>
      </c>
      <c r="F636" s="90" t="s">
        <v>975</v>
      </c>
      <c r="G636" s="39">
        <v>0.55000000000000004</v>
      </c>
      <c r="H636" s="90" t="s">
        <v>91</v>
      </c>
      <c r="I636" s="90" t="s">
        <v>1680</v>
      </c>
      <c r="J636" s="90"/>
      <c r="K636" s="90" t="s">
        <v>1124</v>
      </c>
      <c r="L636" s="90" t="s">
        <v>2484</v>
      </c>
      <c r="M636" s="90" t="s">
        <v>2485</v>
      </c>
    </row>
    <row r="637" spans="1:13" x14ac:dyDescent="0.3">
      <c r="A637" s="89">
        <v>45896</v>
      </c>
      <c r="B637" s="89">
        <v>45896</v>
      </c>
      <c r="C637" s="90">
        <v>87</v>
      </c>
      <c r="D637" s="90">
        <v>0</v>
      </c>
      <c r="E637" s="90" t="s">
        <v>1127</v>
      </c>
      <c r="F637" s="90" t="s">
        <v>975</v>
      </c>
      <c r="G637" s="39">
        <v>0.55000000000000004</v>
      </c>
      <c r="H637" s="90" t="s">
        <v>91</v>
      </c>
      <c r="I637" s="90" t="s">
        <v>1680</v>
      </c>
      <c r="J637" s="90"/>
      <c r="K637" s="90" t="s">
        <v>1126</v>
      </c>
      <c r="L637" s="90" t="s">
        <v>2484</v>
      </c>
      <c r="M637" s="90"/>
    </row>
    <row r="638" spans="1:13" x14ac:dyDescent="0.3">
      <c r="A638" s="22">
        <v>45897</v>
      </c>
      <c r="B638" s="22">
        <v>45897</v>
      </c>
      <c r="C638" s="23">
        <v>5000</v>
      </c>
      <c r="D638" s="23">
        <v>0</v>
      </c>
      <c r="E638" s="23"/>
      <c r="F638" s="23" t="s">
        <v>2</v>
      </c>
      <c r="G638" s="24">
        <v>0.95</v>
      </c>
      <c r="H638" s="23" t="s">
        <v>2</v>
      </c>
      <c r="I638" s="23" t="s">
        <v>1779</v>
      </c>
      <c r="J638" s="23"/>
      <c r="K638" s="23" t="s">
        <v>451</v>
      </c>
      <c r="L638" s="23" t="s">
        <v>2482</v>
      </c>
      <c r="M638" s="23"/>
    </row>
    <row r="639" spans="1:13" x14ac:dyDescent="0.3">
      <c r="A639" s="89">
        <v>45897</v>
      </c>
      <c r="B639" s="89">
        <v>45897</v>
      </c>
      <c r="C639" s="90">
        <v>100</v>
      </c>
      <c r="D639" s="90">
        <v>0</v>
      </c>
      <c r="E639" s="90" t="s">
        <v>1135</v>
      </c>
      <c r="F639" s="90" t="s">
        <v>975</v>
      </c>
      <c r="G639" s="39">
        <v>0.55000000000000004</v>
      </c>
      <c r="H639" s="90" t="s">
        <v>91</v>
      </c>
      <c r="I639" s="90" t="s">
        <v>1680</v>
      </c>
      <c r="J639" s="90"/>
      <c r="K639" s="90" t="s">
        <v>1134</v>
      </c>
      <c r="L639" s="90" t="s">
        <v>2484</v>
      </c>
      <c r="M639" s="90"/>
    </row>
    <row r="640" spans="1:13" x14ac:dyDescent="0.3">
      <c r="A640" s="89">
        <v>45897</v>
      </c>
      <c r="B640" s="89">
        <v>45897</v>
      </c>
      <c r="C640" s="90">
        <v>95</v>
      </c>
      <c r="D640" s="90">
        <v>0</v>
      </c>
      <c r="E640" s="90" t="s">
        <v>1133</v>
      </c>
      <c r="F640" s="90" t="s">
        <v>975</v>
      </c>
      <c r="G640" s="39">
        <v>0.55000000000000004</v>
      </c>
      <c r="H640" s="90" t="s">
        <v>91</v>
      </c>
      <c r="I640" s="90" t="s">
        <v>1680</v>
      </c>
      <c r="J640" s="90"/>
      <c r="K640" s="90" t="s">
        <v>1132</v>
      </c>
      <c r="L640" s="90" t="s">
        <v>2484</v>
      </c>
      <c r="M640" s="90"/>
    </row>
    <row r="641" spans="1:13" x14ac:dyDescent="0.3">
      <c r="A641" s="89">
        <v>45897</v>
      </c>
      <c r="B641" s="89">
        <v>45897</v>
      </c>
      <c r="C641" s="90">
        <v>181</v>
      </c>
      <c r="D641" s="90">
        <v>0</v>
      </c>
      <c r="E641" s="90" t="s">
        <v>1129</v>
      </c>
      <c r="F641" s="90" t="s">
        <v>975</v>
      </c>
      <c r="G641" s="39">
        <v>0.55000000000000004</v>
      </c>
      <c r="H641" s="90" t="s">
        <v>91</v>
      </c>
      <c r="I641" s="90" t="s">
        <v>1680</v>
      </c>
      <c r="J641" s="90"/>
      <c r="K641" s="90" t="s">
        <v>1128</v>
      </c>
      <c r="L641" s="90" t="s">
        <v>2484</v>
      </c>
      <c r="M641" s="90"/>
    </row>
    <row r="642" spans="1:13" x14ac:dyDescent="0.3">
      <c r="A642" s="89">
        <v>45897</v>
      </c>
      <c r="B642" s="89">
        <v>45897</v>
      </c>
      <c r="C642" s="90">
        <v>25</v>
      </c>
      <c r="D642" s="90">
        <v>0</v>
      </c>
      <c r="E642" s="90" t="s">
        <v>1131</v>
      </c>
      <c r="F642" s="90" t="s">
        <v>975</v>
      </c>
      <c r="G642" s="39">
        <v>0.55000000000000004</v>
      </c>
      <c r="H642" s="90" t="s">
        <v>91</v>
      </c>
      <c r="I642" s="90" t="s">
        <v>1680</v>
      </c>
      <c r="J642" s="90"/>
      <c r="K642" s="90" t="s">
        <v>1130</v>
      </c>
      <c r="L642" s="90" t="s">
        <v>2484</v>
      </c>
      <c r="M642" s="90"/>
    </row>
    <row r="643" spans="1:13" x14ac:dyDescent="0.3">
      <c r="A643" s="27">
        <v>45897</v>
      </c>
      <c r="B643" s="27">
        <v>45897</v>
      </c>
      <c r="C643" s="28">
        <v>112.76</v>
      </c>
      <c r="D643" s="28">
        <v>0</v>
      </c>
      <c r="E643" s="28"/>
      <c r="F643" s="28" t="s">
        <v>4</v>
      </c>
      <c r="G643" s="24">
        <v>0.97</v>
      </c>
      <c r="H643" s="28" t="s">
        <v>49</v>
      </c>
      <c r="I643" s="28" t="s">
        <v>1779</v>
      </c>
      <c r="J643" s="28"/>
      <c r="K643" s="28" t="s">
        <v>50</v>
      </c>
      <c r="L643" s="28" t="s">
        <v>2482</v>
      </c>
      <c r="M643" s="28"/>
    </row>
    <row r="644" spans="1:13" x14ac:dyDescent="0.3">
      <c r="A644" s="49">
        <v>45897</v>
      </c>
      <c r="B644" s="49">
        <v>45897</v>
      </c>
      <c r="C644" s="50">
        <v>0</v>
      </c>
      <c r="D644" s="50">
        <v>1</v>
      </c>
      <c r="E644" s="50"/>
      <c r="F644" s="50" t="s">
        <v>17</v>
      </c>
      <c r="G644" s="24">
        <v>0.88</v>
      </c>
      <c r="H644" s="50" t="s">
        <v>17</v>
      </c>
      <c r="I644" s="50" t="s">
        <v>1779</v>
      </c>
      <c r="J644" s="50"/>
      <c r="K644" s="50" t="s">
        <v>454</v>
      </c>
      <c r="L644" s="50" t="s">
        <v>2482</v>
      </c>
      <c r="M644" s="50"/>
    </row>
    <row r="645" spans="1:13" x14ac:dyDescent="0.3">
      <c r="A645" s="27">
        <v>45897</v>
      </c>
      <c r="B645" s="27">
        <v>45897</v>
      </c>
      <c r="C645" s="28">
        <v>1661.64</v>
      </c>
      <c r="D645" s="28">
        <v>0</v>
      </c>
      <c r="E645" s="28"/>
      <c r="F645" s="28" t="s">
        <v>4</v>
      </c>
      <c r="G645" s="24">
        <v>0.97</v>
      </c>
      <c r="H645" s="28" t="s">
        <v>49</v>
      </c>
      <c r="I645" s="28" t="s">
        <v>1779</v>
      </c>
      <c r="J645" s="28"/>
      <c r="K645" s="28" t="s">
        <v>50</v>
      </c>
      <c r="L645" s="28" t="s">
        <v>2482</v>
      </c>
      <c r="M645" s="28"/>
    </row>
    <row r="646" spans="1:13" x14ac:dyDescent="0.3">
      <c r="A646" s="101">
        <v>45897.259502314817</v>
      </c>
      <c r="B646" s="101">
        <v>45897</v>
      </c>
      <c r="C646" s="102">
        <v>238</v>
      </c>
      <c r="D646" s="102">
        <v>0</v>
      </c>
      <c r="E646" s="102"/>
      <c r="F646" s="102" t="s">
        <v>985</v>
      </c>
      <c r="G646" s="24">
        <v>0.85</v>
      </c>
      <c r="H646" s="102" t="s">
        <v>91</v>
      </c>
      <c r="I646" s="102" t="s">
        <v>1019</v>
      </c>
      <c r="J646" s="102"/>
      <c r="K646" s="102" t="s">
        <v>2256</v>
      </c>
      <c r="L646" s="102" t="s">
        <v>2483</v>
      </c>
      <c r="M646" s="102"/>
    </row>
    <row r="647" spans="1:13" x14ac:dyDescent="0.3">
      <c r="A647" s="22">
        <v>45897.315370370372</v>
      </c>
      <c r="B647" s="22">
        <v>45897</v>
      </c>
      <c r="C647" s="23">
        <v>7000</v>
      </c>
      <c r="D647" s="23">
        <v>0</v>
      </c>
      <c r="E647" s="23"/>
      <c r="F647" s="23" t="s">
        <v>2</v>
      </c>
      <c r="G647" s="24">
        <v>0.96</v>
      </c>
      <c r="H647" s="23" t="s">
        <v>2</v>
      </c>
      <c r="I647" s="23" t="s">
        <v>1019</v>
      </c>
      <c r="J647" s="23"/>
      <c r="K647" s="23" t="s">
        <v>2258</v>
      </c>
      <c r="L647" s="23" t="s">
        <v>2483</v>
      </c>
      <c r="M647" s="23"/>
    </row>
    <row r="648" spans="1:13" x14ac:dyDescent="0.3">
      <c r="A648" s="146">
        <v>45897.584131944437</v>
      </c>
      <c r="B648" s="146">
        <v>45897</v>
      </c>
      <c r="C648" s="147">
        <v>0</v>
      </c>
      <c r="D648" s="147">
        <v>82.79</v>
      </c>
      <c r="E648" s="147"/>
      <c r="F648" s="147" t="s">
        <v>1678</v>
      </c>
      <c r="G648" s="24">
        <v>0.88</v>
      </c>
      <c r="H648" s="147" t="s">
        <v>1658</v>
      </c>
      <c r="I648" s="147" t="s">
        <v>1019</v>
      </c>
      <c r="J648" s="147"/>
      <c r="K648" s="147" t="s">
        <v>2260</v>
      </c>
      <c r="L648" s="147" t="s">
        <v>2483</v>
      </c>
      <c r="M648" s="147"/>
    </row>
    <row r="649" spans="1:13" x14ac:dyDescent="0.3">
      <c r="A649" s="43">
        <v>45898</v>
      </c>
      <c r="B649" s="43">
        <v>45898</v>
      </c>
      <c r="C649" s="44">
        <v>800</v>
      </c>
      <c r="D649" s="44">
        <v>0</v>
      </c>
      <c r="E649" s="44"/>
      <c r="F649" s="44" t="s">
        <v>984</v>
      </c>
      <c r="G649" s="24">
        <v>0.85</v>
      </c>
      <c r="H649" s="44" t="s">
        <v>137</v>
      </c>
      <c r="I649" s="44" t="s">
        <v>1680</v>
      </c>
      <c r="J649" s="44"/>
      <c r="K649" s="44" t="s">
        <v>1136</v>
      </c>
      <c r="L649" s="44" t="s">
        <v>2484</v>
      </c>
      <c r="M649" s="44"/>
    </row>
    <row r="650" spans="1:13" x14ac:dyDescent="0.3">
      <c r="A650" s="89">
        <v>45898</v>
      </c>
      <c r="B650" s="89">
        <v>45898</v>
      </c>
      <c r="C650" s="90">
        <v>80</v>
      </c>
      <c r="D650" s="90">
        <v>0</v>
      </c>
      <c r="E650" s="90" t="s">
        <v>1138</v>
      </c>
      <c r="F650" s="90" t="s">
        <v>975</v>
      </c>
      <c r="G650" s="39">
        <v>0.55000000000000004</v>
      </c>
      <c r="H650" s="90" t="s">
        <v>91</v>
      </c>
      <c r="I650" s="90" t="s">
        <v>1680</v>
      </c>
      <c r="J650" s="90"/>
      <c r="K650" s="90" t="s">
        <v>1137</v>
      </c>
      <c r="L650" s="90" t="s">
        <v>2484</v>
      </c>
      <c r="M650" s="90"/>
    </row>
    <row r="651" spans="1:13" x14ac:dyDescent="0.3">
      <c r="A651" s="89">
        <v>45898</v>
      </c>
      <c r="B651" s="89">
        <v>45898</v>
      </c>
      <c r="C651" s="90">
        <v>15</v>
      </c>
      <c r="D651" s="90">
        <v>0</v>
      </c>
      <c r="E651" s="90" t="s">
        <v>1140</v>
      </c>
      <c r="F651" s="90" t="s">
        <v>975</v>
      </c>
      <c r="G651" s="39">
        <v>0.55000000000000004</v>
      </c>
      <c r="H651" s="90" t="s">
        <v>91</v>
      </c>
      <c r="I651" s="90" t="s">
        <v>1680</v>
      </c>
      <c r="J651" s="90"/>
      <c r="K651" s="90" t="s">
        <v>1139</v>
      </c>
      <c r="L651" s="90" t="s">
        <v>2484</v>
      </c>
      <c r="M651" s="90"/>
    </row>
    <row r="652" spans="1:13" x14ac:dyDescent="0.3">
      <c r="A652" s="49">
        <v>45898</v>
      </c>
      <c r="B652" s="49">
        <v>45898</v>
      </c>
      <c r="C652" s="50">
        <v>0</v>
      </c>
      <c r="D652" s="50">
        <v>22</v>
      </c>
      <c r="E652" s="50"/>
      <c r="F652" s="50" t="s">
        <v>17</v>
      </c>
      <c r="G652" s="24">
        <v>0.88</v>
      </c>
      <c r="H652" s="50" t="s">
        <v>17</v>
      </c>
      <c r="I652" s="50" t="s">
        <v>1779</v>
      </c>
      <c r="J652" s="50"/>
      <c r="K652" s="50" t="s">
        <v>458</v>
      </c>
      <c r="L652" s="50" t="s">
        <v>2482</v>
      </c>
      <c r="M652" s="50"/>
    </row>
    <row r="653" spans="1:13" x14ac:dyDescent="0.3">
      <c r="A653" s="27">
        <v>45898</v>
      </c>
      <c r="B653" s="27">
        <v>45898</v>
      </c>
      <c r="C653" s="28">
        <v>722.74</v>
      </c>
      <c r="D653" s="28">
        <v>0</v>
      </c>
      <c r="E653" s="28"/>
      <c r="F653" s="28" t="s">
        <v>4</v>
      </c>
      <c r="G653" s="24">
        <v>0.97</v>
      </c>
      <c r="H653" s="28" t="s">
        <v>49</v>
      </c>
      <c r="I653" s="28" t="s">
        <v>1779</v>
      </c>
      <c r="J653" s="28"/>
      <c r="K653" s="28" t="s">
        <v>50</v>
      </c>
      <c r="L653" s="28" t="s">
        <v>2482</v>
      </c>
      <c r="M653" s="28"/>
    </row>
    <row r="654" spans="1:13" x14ac:dyDescent="0.3">
      <c r="A654" s="27">
        <v>45898</v>
      </c>
      <c r="B654" s="27">
        <v>45898</v>
      </c>
      <c r="C654" s="28">
        <v>55.79</v>
      </c>
      <c r="D654" s="28">
        <v>0</v>
      </c>
      <c r="E654" s="28"/>
      <c r="F654" s="28" t="s">
        <v>4</v>
      </c>
      <c r="G654" s="24">
        <v>0.97</v>
      </c>
      <c r="H654" s="28" t="s">
        <v>49</v>
      </c>
      <c r="I654" s="28" t="s">
        <v>1779</v>
      </c>
      <c r="J654" s="28"/>
      <c r="K654" s="28" t="s">
        <v>50</v>
      </c>
      <c r="L654" s="28" t="s">
        <v>2482</v>
      </c>
      <c r="M654" s="28"/>
    </row>
    <row r="655" spans="1:13" x14ac:dyDescent="0.3">
      <c r="A655" s="49">
        <v>45898.81658564815</v>
      </c>
      <c r="B655" s="49">
        <v>45898</v>
      </c>
      <c r="C655" s="50">
        <v>0</v>
      </c>
      <c r="D655" s="50">
        <v>110</v>
      </c>
      <c r="E655" s="50"/>
      <c r="F655" s="50" t="s">
        <v>17</v>
      </c>
      <c r="G655" s="24">
        <v>0.93</v>
      </c>
      <c r="H655" s="50" t="s">
        <v>17</v>
      </c>
      <c r="I655" s="50" t="s">
        <v>1019</v>
      </c>
      <c r="J655" s="50"/>
      <c r="K655" s="50" t="s">
        <v>2262</v>
      </c>
      <c r="L655" s="50" t="s">
        <v>2483</v>
      </c>
      <c r="M655" s="50"/>
    </row>
    <row r="656" spans="1:13" x14ac:dyDescent="0.3">
      <c r="A656" s="101">
        <v>45899</v>
      </c>
      <c r="B656" s="101">
        <v>45899</v>
      </c>
      <c r="C656" s="102">
        <v>1000</v>
      </c>
      <c r="D656" s="102">
        <v>0</v>
      </c>
      <c r="E656" s="102"/>
      <c r="F656" s="102" t="s">
        <v>976</v>
      </c>
      <c r="G656" s="24">
        <v>0.85</v>
      </c>
      <c r="H656" s="102" t="s">
        <v>1028</v>
      </c>
      <c r="I656" s="102" t="s">
        <v>1680</v>
      </c>
      <c r="J656" s="102"/>
      <c r="K656" s="102" t="s">
        <v>1143</v>
      </c>
      <c r="L656" s="102" t="s">
        <v>2484</v>
      </c>
      <c r="M656" s="102"/>
    </row>
    <row r="657" spans="1:13" x14ac:dyDescent="0.3">
      <c r="A657" s="89">
        <v>45899</v>
      </c>
      <c r="B657" s="89">
        <v>45899</v>
      </c>
      <c r="C657" s="90">
        <v>27</v>
      </c>
      <c r="D657" s="90">
        <v>0</v>
      </c>
      <c r="E657" s="90" t="s">
        <v>1142</v>
      </c>
      <c r="F657" s="90" t="s">
        <v>975</v>
      </c>
      <c r="G657" s="39">
        <v>0.55000000000000004</v>
      </c>
      <c r="H657" s="90" t="s">
        <v>91</v>
      </c>
      <c r="I657" s="90" t="s">
        <v>1680</v>
      </c>
      <c r="J657" s="90"/>
      <c r="K657" s="90" t="s">
        <v>1141</v>
      </c>
      <c r="L657" s="90" t="s">
        <v>2484</v>
      </c>
      <c r="M657" s="90"/>
    </row>
    <row r="658" spans="1:13" x14ac:dyDescent="0.3">
      <c r="A658" s="47">
        <v>45900</v>
      </c>
      <c r="B658" s="47">
        <v>45900</v>
      </c>
      <c r="C658" s="48">
        <v>1</v>
      </c>
      <c r="D658" s="48">
        <v>0</v>
      </c>
      <c r="E658" s="48"/>
      <c r="F658" s="48" t="s">
        <v>24</v>
      </c>
      <c r="G658" s="24">
        <v>0.88</v>
      </c>
      <c r="H658" s="48" t="s">
        <v>157</v>
      </c>
      <c r="I658" s="48" t="s">
        <v>1680</v>
      </c>
      <c r="J658" s="48"/>
      <c r="K658" s="48" t="s">
        <v>1145</v>
      </c>
      <c r="L658" s="48" t="s">
        <v>2484</v>
      </c>
      <c r="M658" s="48"/>
    </row>
    <row r="659" spans="1:13" x14ac:dyDescent="0.3">
      <c r="A659" s="99">
        <v>45900</v>
      </c>
      <c r="B659" s="99">
        <v>45900</v>
      </c>
      <c r="C659" s="100">
        <v>310</v>
      </c>
      <c r="D659" s="100">
        <v>0</v>
      </c>
      <c r="E659" s="100"/>
      <c r="F659" s="100" t="s">
        <v>981</v>
      </c>
      <c r="G659" s="40">
        <v>0.8</v>
      </c>
      <c r="H659" s="100" t="s">
        <v>1053</v>
      </c>
      <c r="I659" s="100" t="s">
        <v>1680</v>
      </c>
      <c r="J659" s="100"/>
      <c r="K659" s="100" t="s">
        <v>1144</v>
      </c>
      <c r="L659" s="100" t="s">
        <v>2484</v>
      </c>
      <c r="M659" s="100"/>
    </row>
    <row r="660" spans="1:13" x14ac:dyDescent="0.3">
      <c r="A660" s="101">
        <v>45900.500520833331</v>
      </c>
      <c r="B660" s="101">
        <v>45900</v>
      </c>
      <c r="C660" s="102">
        <v>500</v>
      </c>
      <c r="D660" s="102">
        <v>0</v>
      </c>
      <c r="E660" s="102"/>
      <c r="F660" s="102" t="s">
        <v>985</v>
      </c>
      <c r="G660" s="24">
        <v>0.85</v>
      </c>
      <c r="H660" s="102" t="s">
        <v>91</v>
      </c>
      <c r="I660" s="102" t="s">
        <v>1019</v>
      </c>
      <c r="J660" s="102"/>
      <c r="K660" s="102" t="s">
        <v>2264</v>
      </c>
      <c r="L660" s="102" t="s">
        <v>2483</v>
      </c>
      <c r="M660" s="102"/>
    </row>
    <row r="661" spans="1:13" x14ac:dyDescent="0.3">
      <c r="A661" s="101">
        <v>45900.56832175926</v>
      </c>
      <c r="B661" s="101">
        <v>45900</v>
      </c>
      <c r="C661" s="102">
        <v>297</v>
      </c>
      <c r="D661" s="102">
        <v>0</v>
      </c>
      <c r="E661" s="102"/>
      <c r="F661" s="102" t="s">
        <v>985</v>
      </c>
      <c r="G661" s="24">
        <v>0.85</v>
      </c>
      <c r="H661" s="102" t="s">
        <v>91</v>
      </c>
      <c r="I661" s="102" t="s">
        <v>1019</v>
      </c>
      <c r="J661" s="102"/>
      <c r="K661" s="102" t="s">
        <v>2266</v>
      </c>
      <c r="L661" s="102" t="s">
        <v>2483</v>
      </c>
      <c r="M661" s="102"/>
    </row>
    <row r="662" spans="1:13" x14ac:dyDescent="0.3">
      <c r="A662" s="51">
        <v>45901</v>
      </c>
      <c r="B662" s="51">
        <v>45901</v>
      </c>
      <c r="C662" s="52">
        <v>18200</v>
      </c>
      <c r="D662" s="52">
        <v>0</v>
      </c>
      <c r="E662" s="52"/>
      <c r="F662" s="52" t="s">
        <v>18</v>
      </c>
      <c r="G662" s="24">
        <v>0.85</v>
      </c>
      <c r="H662" s="52" t="s">
        <v>181</v>
      </c>
      <c r="I662" s="52" t="s">
        <v>1680</v>
      </c>
      <c r="J662" s="52"/>
      <c r="K662" s="52" t="s">
        <v>1149</v>
      </c>
      <c r="L662" s="52" t="s">
        <v>2484</v>
      </c>
      <c r="M662" s="52"/>
    </row>
    <row r="663" spans="1:13" x14ac:dyDescent="0.3">
      <c r="A663" s="27">
        <v>45901</v>
      </c>
      <c r="B663" s="27">
        <v>45901</v>
      </c>
      <c r="C663" s="28">
        <v>0</v>
      </c>
      <c r="D663" s="28">
        <v>40000</v>
      </c>
      <c r="E663" s="28"/>
      <c r="F663" s="28" t="s">
        <v>1656</v>
      </c>
      <c r="G663" s="24">
        <v>0.9</v>
      </c>
      <c r="H663" s="28" t="s">
        <v>1680</v>
      </c>
      <c r="I663" s="28" t="s">
        <v>837</v>
      </c>
      <c r="J663" s="28"/>
      <c r="K663" s="28" t="s">
        <v>1726</v>
      </c>
      <c r="L663" s="28" t="s">
        <v>2486</v>
      </c>
      <c r="M663" s="28"/>
    </row>
    <row r="664" spans="1:13" x14ac:dyDescent="0.3">
      <c r="A664" s="49">
        <v>45901</v>
      </c>
      <c r="B664" s="49">
        <v>45901</v>
      </c>
      <c r="C664" s="50">
        <v>0</v>
      </c>
      <c r="D664" s="50">
        <v>130</v>
      </c>
      <c r="E664" s="50"/>
      <c r="F664" s="50" t="s">
        <v>17</v>
      </c>
      <c r="G664" s="24">
        <v>0.88</v>
      </c>
      <c r="H664" s="50" t="s">
        <v>17</v>
      </c>
      <c r="I664" s="50" t="s">
        <v>1779</v>
      </c>
      <c r="J664" s="50"/>
      <c r="K664" s="50" t="s">
        <v>461</v>
      </c>
      <c r="L664" s="50" t="s">
        <v>2482</v>
      </c>
      <c r="M664" s="50"/>
    </row>
    <row r="665" spans="1:13" x14ac:dyDescent="0.3">
      <c r="A665" s="45">
        <v>45901</v>
      </c>
      <c r="B665" s="45">
        <v>45901</v>
      </c>
      <c r="C665" s="46">
        <v>20000</v>
      </c>
      <c r="D665" s="46">
        <v>0</v>
      </c>
      <c r="E665" s="46"/>
      <c r="F665" s="46" t="s">
        <v>15</v>
      </c>
      <c r="G665" s="24">
        <v>0.88</v>
      </c>
      <c r="H665" s="46" t="s">
        <v>149</v>
      </c>
      <c r="I665" s="46" t="s">
        <v>837</v>
      </c>
      <c r="J665" s="46"/>
      <c r="K665" s="46" t="s">
        <v>1727</v>
      </c>
      <c r="L665" s="46" t="s">
        <v>2486</v>
      </c>
      <c r="M665" s="46"/>
    </row>
    <row r="666" spans="1:13" x14ac:dyDescent="0.3">
      <c r="A666" s="47">
        <v>45901</v>
      </c>
      <c r="B666" s="47">
        <v>45901</v>
      </c>
      <c r="C666" s="48">
        <v>0</v>
      </c>
      <c r="D666" s="48">
        <v>48000</v>
      </c>
      <c r="E666" s="48"/>
      <c r="F666" s="48" t="s">
        <v>16</v>
      </c>
      <c r="G666" s="24">
        <v>0.88</v>
      </c>
      <c r="H666" s="48" t="s">
        <v>157</v>
      </c>
      <c r="I666" s="48" t="s">
        <v>837</v>
      </c>
      <c r="J666" s="48"/>
      <c r="K666" s="48" t="s">
        <v>1728</v>
      </c>
      <c r="L666" s="48" t="s">
        <v>2486</v>
      </c>
      <c r="M666" s="48"/>
    </row>
    <row r="667" spans="1:13" x14ac:dyDescent="0.3">
      <c r="A667" s="47">
        <v>45901</v>
      </c>
      <c r="B667" s="47">
        <v>45901</v>
      </c>
      <c r="C667" s="48">
        <v>30000</v>
      </c>
      <c r="D667" s="48">
        <v>0</v>
      </c>
      <c r="E667" s="48"/>
      <c r="F667" s="48" t="s">
        <v>24</v>
      </c>
      <c r="G667" s="24">
        <v>0.88</v>
      </c>
      <c r="H667" s="48" t="s">
        <v>157</v>
      </c>
      <c r="I667" s="48" t="s">
        <v>837</v>
      </c>
      <c r="J667" s="48"/>
      <c r="K667" s="48" t="s">
        <v>1725</v>
      </c>
      <c r="L667" s="48" t="s">
        <v>2486</v>
      </c>
      <c r="M667" s="48"/>
    </row>
    <row r="668" spans="1:13" x14ac:dyDescent="0.3">
      <c r="A668" s="27">
        <v>45901</v>
      </c>
      <c r="B668" s="27">
        <v>45901</v>
      </c>
      <c r="C668" s="28">
        <v>0</v>
      </c>
      <c r="D668" s="28">
        <v>25000</v>
      </c>
      <c r="E668" s="28"/>
      <c r="F668" s="28" t="s">
        <v>1656</v>
      </c>
      <c r="G668" s="24">
        <v>0.9</v>
      </c>
      <c r="H668" s="28" t="s">
        <v>1680</v>
      </c>
      <c r="I668" s="28" t="s">
        <v>837</v>
      </c>
      <c r="J668" s="28"/>
      <c r="K668" s="28" t="s">
        <v>1724</v>
      </c>
      <c r="L668" s="28" t="s">
        <v>2486</v>
      </c>
      <c r="M668" s="28"/>
    </row>
    <row r="669" spans="1:13" x14ac:dyDescent="0.3">
      <c r="A669" s="47">
        <v>45901</v>
      </c>
      <c r="B669" s="47">
        <v>45901</v>
      </c>
      <c r="C669" s="48">
        <v>20000</v>
      </c>
      <c r="D669" s="48">
        <v>0</v>
      </c>
      <c r="E669" s="48"/>
      <c r="F669" s="48" t="s">
        <v>24</v>
      </c>
      <c r="G669" s="24">
        <v>0.88</v>
      </c>
      <c r="H669" s="48" t="s">
        <v>157</v>
      </c>
      <c r="I669" s="48" t="s">
        <v>1680</v>
      </c>
      <c r="J669" s="48"/>
      <c r="K669" s="48" t="s">
        <v>1145</v>
      </c>
      <c r="L669" s="48" t="s">
        <v>2484</v>
      </c>
      <c r="M669" s="48"/>
    </row>
    <row r="670" spans="1:13" x14ac:dyDescent="0.3">
      <c r="A670" s="27">
        <v>45901</v>
      </c>
      <c r="B670" s="27">
        <v>45901</v>
      </c>
      <c r="C670" s="28">
        <v>25000</v>
      </c>
      <c r="D670" s="28">
        <v>0</v>
      </c>
      <c r="E670" s="28"/>
      <c r="F670" s="28" t="s">
        <v>30</v>
      </c>
      <c r="G670" s="24">
        <v>0.9</v>
      </c>
      <c r="H670" s="28" t="s">
        <v>837</v>
      </c>
      <c r="I670" s="28" t="s">
        <v>1680</v>
      </c>
      <c r="J670" s="28"/>
      <c r="K670" s="28" t="s">
        <v>1146</v>
      </c>
      <c r="L670" s="28" t="s">
        <v>2484</v>
      </c>
      <c r="M670" s="28"/>
    </row>
    <row r="671" spans="1:13" x14ac:dyDescent="0.3">
      <c r="A671" s="78">
        <v>45901</v>
      </c>
      <c r="B671" s="78">
        <v>45901</v>
      </c>
      <c r="C671" s="79">
        <v>0</v>
      </c>
      <c r="D671" s="79">
        <v>114240</v>
      </c>
      <c r="E671" s="79"/>
      <c r="F671" s="79" t="s">
        <v>972</v>
      </c>
      <c r="G671" s="24">
        <v>0.97</v>
      </c>
      <c r="H671" s="79" t="s">
        <v>972</v>
      </c>
      <c r="I671" s="79" t="s">
        <v>1680</v>
      </c>
      <c r="J671" s="79"/>
      <c r="K671" s="79" t="s">
        <v>1147</v>
      </c>
      <c r="L671" s="79" t="s">
        <v>2484</v>
      </c>
      <c r="M671" s="79"/>
    </row>
    <row r="672" spans="1:13" x14ac:dyDescent="0.3">
      <c r="A672" s="47">
        <v>45901</v>
      </c>
      <c r="B672" s="47">
        <v>45901</v>
      </c>
      <c r="C672" s="48">
        <v>0</v>
      </c>
      <c r="D672" s="48">
        <v>20000</v>
      </c>
      <c r="E672" s="48"/>
      <c r="F672" s="48" t="s">
        <v>16</v>
      </c>
      <c r="G672" s="24">
        <v>0.88</v>
      </c>
      <c r="H672" s="48" t="s">
        <v>157</v>
      </c>
      <c r="I672" s="48" t="s">
        <v>1680</v>
      </c>
      <c r="J672" s="48"/>
      <c r="K672" s="48" t="s">
        <v>1150</v>
      </c>
      <c r="L672" s="48" t="s">
        <v>2484</v>
      </c>
      <c r="M672" s="48"/>
    </row>
    <row r="673" spans="1:13" x14ac:dyDescent="0.3">
      <c r="A673" s="27">
        <v>45901</v>
      </c>
      <c r="B673" s="27">
        <v>45901</v>
      </c>
      <c r="C673" s="28">
        <v>40000</v>
      </c>
      <c r="D673" s="28">
        <v>0</v>
      </c>
      <c r="E673" s="28"/>
      <c r="F673" s="28" t="s">
        <v>30</v>
      </c>
      <c r="G673" s="24">
        <v>0.9</v>
      </c>
      <c r="H673" s="28" t="s">
        <v>837</v>
      </c>
      <c r="I673" s="28" t="s">
        <v>1680</v>
      </c>
      <c r="J673" s="28"/>
      <c r="K673" s="28" t="s">
        <v>1148</v>
      </c>
      <c r="L673" s="28" t="s">
        <v>2484</v>
      </c>
      <c r="M673" s="28"/>
    </row>
    <row r="674" spans="1:13" x14ac:dyDescent="0.3">
      <c r="A674" s="51">
        <v>45901.689432870371</v>
      </c>
      <c r="B674" s="51">
        <v>45901</v>
      </c>
      <c r="C674" s="52">
        <v>0</v>
      </c>
      <c r="D674" s="52">
        <v>10</v>
      </c>
      <c r="E674" s="52"/>
      <c r="F674" s="52" t="s">
        <v>20</v>
      </c>
      <c r="G674" s="24">
        <v>0.85</v>
      </c>
      <c r="H674" s="52" t="s">
        <v>181</v>
      </c>
      <c r="I674" s="52" t="s">
        <v>1019</v>
      </c>
      <c r="J674" s="52"/>
      <c r="K674" s="52" t="s">
        <v>2268</v>
      </c>
      <c r="L674" s="52" t="s">
        <v>2483</v>
      </c>
      <c r="M674" s="52"/>
    </row>
    <row r="675" spans="1:13" x14ac:dyDescent="0.3">
      <c r="A675" s="107">
        <v>45901.95684027778</v>
      </c>
      <c r="B675" s="107">
        <v>45901</v>
      </c>
      <c r="C675" s="108">
        <v>1377</v>
      </c>
      <c r="D675" s="108">
        <v>0</v>
      </c>
      <c r="E675" s="108"/>
      <c r="F675" s="108" t="s">
        <v>1817</v>
      </c>
      <c r="G675" s="24">
        <v>0.85</v>
      </c>
      <c r="H675" s="108" t="s">
        <v>1189</v>
      </c>
      <c r="I675" s="108" t="s">
        <v>1019</v>
      </c>
      <c r="J675" s="108"/>
      <c r="K675" s="108" t="s">
        <v>2270</v>
      </c>
      <c r="L675" s="108" t="s">
        <v>2483</v>
      </c>
      <c r="M675" s="108"/>
    </row>
    <row r="676" spans="1:13" x14ac:dyDescent="0.3">
      <c r="A676" s="89">
        <v>45902</v>
      </c>
      <c r="B676" s="89">
        <v>45902</v>
      </c>
      <c r="C676" s="90">
        <v>315</v>
      </c>
      <c r="D676" s="90">
        <v>0</v>
      </c>
      <c r="E676" s="90" t="s">
        <v>1102</v>
      </c>
      <c r="F676" s="90" t="s">
        <v>975</v>
      </c>
      <c r="G676" s="39">
        <v>0.55000000000000004</v>
      </c>
      <c r="H676" s="90" t="s">
        <v>91</v>
      </c>
      <c r="I676" s="90" t="s">
        <v>1680</v>
      </c>
      <c r="J676" s="90"/>
      <c r="K676" s="90" t="s">
        <v>1151</v>
      </c>
      <c r="L676" s="90" t="s">
        <v>2484</v>
      </c>
      <c r="M676" s="90"/>
    </row>
    <row r="677" spans="1:13" x14ac:dyDescent="0.3">
      <c r="A677" s="25">
        <v>45902</v>
      </c>
      <c r="B677" s="25">
        <v>45902</v>
      </c>
      <c r="C677" s="26">
        <v>0</v>
      </c>
      <c r="D677" s="26">
        <v>2392.4499999999998</v>
      </c>
      <c r="E677" s="26"/>
      <c r="F677" s="26" t="s">
        <v>3</v>
      </c>
      <c r="G677" s="24">
        <v>0.93</v>
      </c>
      <c r="H677" s="26" t="s">
        <v>49</v>
      </c>
      <c r="I677" s="26" t="s">
        <v>1779</v>
      </c>
      <c r="J677" s="26"/>
      <c r="K677" s="26" t="s">
        <v>463</v>
      </c>
      <c r="L677" s="26" t="s">
        <v>2482</v>
      </c>
      <c r="M677" s="26"/>
    </row>
    <row r="678" spans="1:13" x14ac:dyDescent="0.3">
      <c r="A678" s="89">
        <v>45902</v>
      </c>
      <c r="B678" s="89">
        <v>45902</v>
      </c>
      <c r="C678" s="90">
        <v>347.56</v>
      </c>
      <c r="D678" s="90">
        <v>0</v>
      </c>
      <c r="E678" s="90" t="s">
        <v>1153</v>
      </c>
      <c r="F678" s="90" t="s">
        <v>975</v>
      </c>
      <c r="G678" s="39">
        <v>0.55000000000000004</v>
      </c>
      <c r="H678" s="90" t="s">
        <v>91</v>
      </c>
      <c r="I678" s="90" t="s">
        <v>1680</v>
      </c>
      <c r="J678" s="90"/>
      <c r="K678" s="90" t="s">
        <v>1152</v>
      </c>
      <c r="L678" s="90" t="s">
        <v>2484</v>
      </c>
      <c r="M678" s="90"/>
    </row>
    <row r="679" spans="1:13" x14ac:dyDescent="0.3">
      <c r="A679" s="49">
        <v>45903</v>
      </c>
      <c r="B679" s="49">
        <v>45903</v>
      </c>
      <c r="C679" s="50">
        <v>0</v>
      </c>
      <c r="D679" s="50">
        <v>605</v>
      </c>
      <c r="E679" s="50"/>
      <c r="F679" s="50" t="s">
        <v>17</v>
      </c>
      <c r="G679" s="24">
        <v>0.88</v>
      </c>
      <c r="H679" s="50" t="s">
        <v>17</v>
      </c>
      <c r="I679" s="50" t="s">
        <v>1779</v>
      </c>
      <c r="J679" s="50"/>
      <c r="K679" s="50" t="s">
        <v>465</v>
      </c>
      <c r="L679" s="50" t="s">
        <v>2482</v>
      </c>
      <c r="M679" s="50"/>
    </row>
    <row r="680" spans="1:13" x14ac:dyDescent="0.3">
      <c r="A680" s="89">
        <v>45903</v>
      </c>
      <c r="B680" s="89">
        <v>45903</v>
      </c>
      <c r="C680" s="90">
        <v>412</v>
      </c>
      <c r="D680" s="90">
        <v>0</v>
      </c>
      <c r="E680" s="90" t="s">
        <v>1155</v>
      </c>
      <c r="F680" s="90" t="s">
        <v>975</v>
      </c>
      <c r="G680" s="39">
        <v>0.55000000000000004</v>
      </c>
      <c r="H680" s="90" t="s">
        <v>91</v>
      </c>
      <c r="I680" s="90" t="s">
        <v>1680</v>
      </c>
      <c r="J680" s="90"/>
      <c r="K680" s="90" t="s">
        <v>1154</v>
      </c>
      <c r="L680" s="90" t="s">
        <v>2484</v>
      </c>
      <c r="M680" s="90"/>
    </row>
    <row r="681" spans="1:13" x14ac:dyDescent="0.3">
      <c r="A681" s="27">
        <v>45903</v>
      </c>
      <c r="B681" s="27">
        <v>45903</v>
      </c>
      <c r="C681" s="28">
        <v>258.49</v>
      </c>
      <c r="D681" s="28">
        <v>0</v>
      </c>
      <c r="E681" s="28"/>
      <c r="F681" s="28" t="s">
        <v>4</v>
      </c>
      <c r="G681" s="24">
        <v>0.97</v>
      </c>
      <c r="H681" s="28" t="s">
        <v>49</v>
      </c>
      <c r="I681" s="28" t="s">
        <v>1779</v>
      </c>
      <c r="J681" s="28"/>
      <c r="K681" s="28" t="s">
        <v>50</v>
      </c>
      <c r="L681" s="28" t="s">
        <v>2482</v>
      </c>
      <c r="M681" s="28"/>
    </row>
    <row r="682" spans="1:13" x14ac:dyDescent="0.3">
      <c r="A682" s="95">
        <v>45903</v>
      </c>
      <c r="B682" s="95">
        <v>45903</v>
      </c>
      <c r="C682" s="96">
        <v>23000</v>
      </c>
      <c r="D682" s="96">
        <v>0</v>
      </c>
      <c r="E682" s="96"/>
      <c r="F682" s="96" t="s">
        <v>990</v>
      </c>
      <c r="G682" s="24">
        <v>0.9</v>
      </c>
      <c r="H682" s="96" t="s">
        <v>990</v>
      </c>
      <c r="I682" s="96" t="s">
        <v>837</v>
      </c>
      <c r="J682" s="96"/>
      <c r="K682" s="96" t="s">
        <v>1729</v>
      </c>
      <c r="L682" s="96" t="s">
        <v>2486</v>
      </c>
      <c r="M682" s="96"/>
    </row>
    <row r="683" spans="1:13" x14ac:dyDescent="0.3">
      <c r="A683" s="49">
        <v>45903.812997685192</v>
      </c>
      <c r="B683" s="49">
        <v>45903</v>
      </c>
      <c r="C683" s="50">
        <v>0</v>
      </c>
      <c r="D683" s="50">
        <v>10.5</v>
      </c>
      <c r="E683" s="50"/>
      <c r="F683" s="50" t="s">
        <v>17</v>
      </c>
      <c r="G683" s="24">
        <v>0.93</v>
      </c>
      <c r="H683" s="50" t="s">
        <v>17</v>
      </c>
      <c r="I683" s="50" t="s">
        <v>1019</v>
      </c>
      <c r="J683" s="50"/>
      <c r="K683" s="50" t="s">
        <v>2272</v>
      </c>
      <c r="L683" s="50" t="s">
        <v>2483</v>
      </c>
      <c r="M683" s="50"/>
    </row>
    <row r="684" spans="1:13" x14ac:dyDescent="0.3">
      <c r="A684" s="27">
        <v>45904</v>
      </c>
      <c r="B684" s="27">
        <v>45904</v>
      </c>
      <c r="C684" s="28">
        <v>56.39</v>
      </c>
      <c r="D684" s="28">
        <v>0</v>
      </c>
      <c r="E684" s="28"/>
      <c r="F684" s="28" t="s">
        <v>4</v>
      </c>
      <c r="G684" s="24">
        <v>0.97</v>
      </c>
      <c r="H684" s="28" t="s">
        <v>49</v>
      </c>
      <c r="I684" s="28" t="s">
        <v>1779</v>
      </c>
      <c r="J684" s="28"/>
      <c r="K684" s="28" t="s">
        <v>50</v>
      </c>
      <c r="L684" s="28" t="s">
        <v>2482</v>
      </c>
      <c r="M684" s="28"/>
    </row>
    <row r="685" spans="1:13" x14ac:dyDescent="0.3">
      <c r="A685" s="27">
        <v>45904</v>
      </c>
      <c r="B685" s="27">
        <v>45905</v>
      </c>
      <c r="C685" s="28">
        <v>372.96</v>
      </c>
      <c r="D685" s="28">
        <v>0</v>
      </c>
      <c r="E685" s="28"/>
      <c r="F685" s="28" t="s">
        <v>4</v>
      </c>
      <c r="G685" s="24">
        <v>0.97</v>
      </c>
      <c r="H685" s="28" t="s">
        <v>49</v>
      </c>
      <c r="I685" s="28" t="s">
        <v>1779</v>
      </c>
      <c r="J685" s="28"/>
      <c r="K685" s="28" t="s">
        <v>50</v>
      </c>
      <c r="L685" s="28" t="s">
        <v>2482</v>
      </c>
      <c r="M685" s="28"/>
    </row>
    <row r="686" spans="1:13" x14ac:dyDescent="0.3">
      <c r="A686" s="37">
        <v>45904</v>
      </c>
      <c r="B686" s="37">
        <v>45904</v>
      </c>
      <c r="C686" s="38">
        <v>0</v>
      </c>
      <c r="D686" s="38">
        <v>11855</v>
      </c>
      <c r="E686" s="38"/>
      <c r="F686" s="38" t="s">
        <v>28</v>
      </c>
      <c r="G686" s="39">
        <v>0.55000000000000004</v>
      </c>
      <c r="H686" s="38" t="s">
        <v>91</v>
      </c>
      <c r="I686" s="38" t="s">
        <v>1779</v>
      </c>
      <c r="J686" s="38"/>
      <c r="K686" s="38" t="s">
        <v>472</v>
      </c>
      <c r="L686" s="38" t="s">
        <v>2482</v>
      </c>
      <c r="M686" s="38"/>
    </row>
    <row r="687" spans="1:13" x14ac:dyDescent="0.3">
      <c r="A687" s="25">
        <v>45904</v>
      </c>
      <c r="B687" s="25">
        <v>45904</v>
      </c>
      <c r="C687" s="26">
        <v>0</v>
      </c>
      <c r="D687" s="26">
        <v>545.79999999999995</v>
      </c>
      <c r="E687" s="26"/>
      <c r="F687" s="26" t="s">
        <v>3</v>
      </c>
      <c r="G687" s="24">
        <v>0.93</v>
      </c>
      <c r="H687" s="26" t="s">
        <v>49</v>
      </c>
      <c r="I687" s="26" t="s">
        <v>1779</v>
      </c>
      <c r="J687" s="26"/>
      <c r="K687" s="26" t="s">
        <v>470</v>
      </c>
      <c r="L687" s="26" t="s">
        <v>2482</v>
      </c>
      <c r="M687" s="26"/>
    </row>
    <row r="688" spans="1:13" x14ac:dyDescent="0.3">
      <c r="A688" s="25">
        <v>45904</v>
      </c>
      <c r="B688" s="25">
        <v>45904</v>
      </c>
      <c r="C688" s="26">
        <v>0</v>
      </c>
      <c r="D688" s="26">
        <v>258.49</v>
      </c>
      <c r="E688" s="26"/>
      <c r="F688" s="26" t="s">
        <v>3</v>
      </c>
      <c r="G688" s="24">
        <v>0.93</v>
      </c>
      <c r="H688" s="26" t="s">
        <v>49</v>
      </c>
      <c r="I688" s="26" t="s">
        <v>1779</v>
      </c>
      <c r="J688" s="26"/>
      <c r="K688" s="26" t="s">
        <v>468</v>
      </c>
      <c r="L688" s="26" t="s">
        <v>2482</v>
      </c>
      <c r="M688" s="26"/>
    </row>
    <row r="689" spans="1:13" x14ac:dyDescent="0.3">
      <c r="A689" s="37">
        <v>45905</v>
      </c>
      <c r="B689" s="37">
        <v>45905</v>
      </c>
      <c r="C689" s="38">
        <v>0</v>
      </c>
      <c r="D689" s="38">
        <v>5</v>
      </c>
      <c r="E689" s="38"/>
      <c r="F689" s="38" t="s">
        <v>1665</v>
      </c>
      <c r="G689" s="39">
        <v>0.55000000000000004</v>
      </c>
      <c r="H689" s="38" t="s">
        <v>91</v>
      </c>
      <c r="I689" s="38" t="s">
        <v>837</v>
      </c>
      <c r="J689" s="38"/>
      <c r="K689" s="38" t="s">
        <v>1730</v>
      </c>
      <c r="L689" s="38" t="s">
        <v>2486</v>
      </c>
      <c r="M689" s="38"/>
    </row>
    <row r="690" spans="1:13" x14ac:dyDescent="0.3">
      <c r="A690" s="27">
        <v>45905</v>
      </c>
      <c r="B690" s="27">
        <v>45905</v>
      </c>
      <c r="C690" s="28">
        <v>56.54</v>
      </c>
      <c r="D690" s="28">
        <v>0</v>
      </c>
      <c r="E690" s="28"/>
      <c r="F690" s="28" t="s">
        <v>4</v>
      </c>
      <c r="G690" s="24">
        <v>0.97</v>
      </c>
      <c r="H690" s="28" t="s">
        <v>49</v>
      </c>
      <c r="I690" s="28" t="s">
        <v>1779</v>
      </c>
      <c r="J690" s="28"/>
      <c r="K690" s="28" t="s">
        <v>50</v>
      </c>
      <c r="L690" s="28" t="s">
        <v>2482</v>
      </c>
      <c r="M690" s="28"/>
    </row>
    <row r="691" spans="1:13" x14ac:dyDescent="0.3">
      <c r="A691" s="140">
        <v>45906</v>
      </c>
      <c r="B691" s="140">
        <v>45906</v>
      </c>
      <c r="C691" s="141">
        <v>0</v>
      </c>
      <c r="D691" s="141">
        <v>7220</v>
      </c>
      <c r="E691" s="141"/>
      <c r="F691" s="141" t="s">
        <v>1666</v>
      </c>
      <c r="G691" s="24">
        <v>0.95</v>
      </c>
      <c r="H691" s="141" t="s">
        <v>1732</v>
      </c>
      <c r="I691" s="141" t="s">
        <v>837</v>
      </c>
      <c r="J691" s="141"/>
      <c r="K691" s="141" t="s">
        <v>1731</v>
      </c>
      <c r="L691" s="141" t="s">
        <v>2486</v>
      </c>
      <c r="M691" s="141"/>
    </row>
    <row r="692" spans="1:13" x14ac:dyDescent="0.3">
      <c r="A692" s="101">
        <v>45906</v>
      </c>
      <c r="B692" s="101">
        <v>45906</v>
      </c>
      <c r="C692" s="102">
        <v>1000</v>
      </c>
      <c r="D692" s="102">
        <v>0</v>
      </c>
      <c r="E692" s="102"/>
      <c r="F692" s="102" t="s">
        <v>976</v>
      </c>
      <c r="G692" s="24">
        <v>0.85</v>
      </c>
      <c r="H692" s="102" t="s">
        <v>1028</v>
      </c>
      <c r="I692" s="102" t="s">
        <v>1680</v>
      </c>
      <c r="J692" s="102"/>
      <c r="K692" s="102" t="s">
        <v>1158</v>
      </c>
      <c r="L692" s="102" t="s">
        <v>2484</v>
      </c>
      <c r="M692" s="102"/>
    </row>
    <row r="693" spans="1:13" x14ac:dyDescent="0.3">
      <c r="A693" s="89">
        <v>45906</v>
      </c>
      <c r="B693" s="89">
        <v>45906</v>
      </c>
      <c r="C693" s="90">
        <v>25</v>
      </c>
      <c r="D693" s="90">
        <v>0</v>
      </c>
      <c r="E693" s="90" t="s">
        <v>1157</v>
      </c>
      <c r="F693" s="90" t="s">
        <v>975</v>
      </c>
      <c r="G693" s="39">
        <v>0.55000000000000004</v>
      </c>
      <c r="H693" s="90" t="s">
        <v>91</v>
      </c>
      <c r="I693" s="90" t="s">
        <v>1680</v>
      </c>
      <c r="J693" s="90"/>
      <c r="K693" s="90" t="s">
        <v>1156</v>
      </c>
      <c r="L693" s="90" t="s">
        <v>2484</v>
      </c>
      <c r="M693" s="90"/>
    </row>
    <row r="694" spans="1:13" x14ac:dyDescent="0.3">
      <c r="A694" s="89">
        <v>45907</v>
      </c>
      <c r="B694" s="89">
        <v>45907</v>
      </c>
      <c r="C694" s="90">
        <v>310</v>
      </c>
      <c r="D694" s="90">
        <v>0</v>
      </c>
      <c r="E694" s="90" t="s">
        <v>1161</v>
      </c>
      <c r="F694" s="90" t="s">
        <v>975</v>
      </c>
      <c r="G694" s="39">
        <v>0.55000000000000004</v>
      </c>
      <c r="H694" s="90" t="s">
        <v>91</v>
      </c>
      <c r="I694" s="90" t="s">
        <v>1680</v>
      </c>
      <c r="J694" s="90"/>
      <c r="K694" s="90" t="s">
        <v>1160</v>
      </c>
      <c r="L694" s="90" t="s">
        <v>2484</v>
      </c>
      <c r="M694" s="90"/>
    </row>
    <row r="695" spans="1:13" x14ac:dyDescent="0.3">
      <c r="A695" s="101">
        <v>45907</v>
      </c>
      <c r="B695" s="101">
        <v>45907</v>
      </c>
      <c r="C695" s="102">
        <v>1000</v>
      </c>
      <c r="D695" s="102">
        <v>0</v>
      </c>
      <c r="E695" s="102"/>
      <c r="F695" s="102" t="s">
        <v>976</v>
      </c>
      <c r="G695" s="24">
        <v>0.85</v>
      </c>
      <c r="H695" s="102" t="s">
        <v>1028</v>
      </c>
      <c r="I695" s="102" t="s">
        <v>1680</v>
      </c>
      <c r="J695" s="102"/>
      <c r="K695" s="102" t="s">
        <v>1159</v>
      </c>
      <c r="L695" s="102" t="s">
        <v>2484</v>
      </c>
      <c r="M695" s="102"/>
    </row>
    <row r="696" spans="1:13" x14ac:dyDescent="0.3">
      <c r="A696" s="31">
        <v>45907</v>
      </c>
      <c r="B696" s="31">
        <v>45907</v>
      </c>
      <c r="C696" s="32">
        <v>0</v>
      </c>
      <c r="D696" s="32">
        <v>1880</v>
      </c>
      <c r="E696" s="32"/>
      <c r="F696" s="32" t="s">
        <v>6</v>
      </c>
      <c r="G696" s="24">
        <v>0.95</v>
      </c>
      <c r="H696" s="32" t="s">
        <v>63</v>
      </c>
      <c r="I696" s="32" t="s">
        <v>1779</v>
      </c>
      <c r="J696" s="32"/>
      <c r="K696" s="32" t="s">
        <v>477</v>
      </c>
      <c r="L696" s="32" t="s">
        <v>2482</v>
      </c>
      <c r="M696" s="32"/>
    </row>
    <row r="697" spans="1:13" x14ac:dyDescent="0.3">
      <c r="A697" s="49">
        <v>45908</v>
      </c>
      <c r="B697" s="49">
        <v>45908</v>
      </c>
      <c r="C697" s="50">
        <v>0</v>
      </c>
      <c r="D697" s="50">
        <v>190</v>
      </c>
      <c r="E697" s="50"/>
      <c r="F697" s="50" t="s">
        <v>17</v>
      </c>
      <c r="G697" s="24">
        <v>0.88</v>
      </c>
      <c r="H697" s="50" t="s">
        <v>17</v>
      </c>
      <c r="I697" s="50" t="s">
        <v>1779</v>
      </c>
      <c r="J697" s="50"/>
      <c r="K697" s="50" t="s">
        <v>479</v>
      </c>
      <c r="L697" s="50" t="s">
        <v>2482</v>
      </c>
      <c r="M697" s="50"/>
    </row>
    <row r="698" spans="1:13" x14ac:dyDescent="0.3">
      <c r="A698" s="27">
        <v>45908</v>
      </c>
      <c r="B698" s="27">
        <v>45908</v>
      </c>
      <c r="C698" s="28">
        <v>467.11</v>
      </c>
      <c r="D698" s="28">
        <v>0</v>
      </c>
      <c r="E698" s="28"/>
      <c r="F698" s="28" t="s">
        <v>4</v>
      </c>
      <c r="G698" s="24">
        <v>0.97</v>
      </c>
      <c r="H698" s="28" t="s">
        <v>49</v>
      </c>
      <c r="I698" s="28" t="s">
        <v>1779</v>
      </c>
      <c r="J698" s="28"/>
      <c r="K698" s="28" t="s">
        <v>50</v>
      </c>
      <c r="L698" s="28" t="s">
        <v>2482</v>
      </c>
      <c r="M698" s="28"/>
    </row>
    <row r="699" spans="1:13" x14ac:dyDescent="0.3">
      <c r="A699" s="89">
        <v>45908</v>
      </c>
      <c r="B699" s="89">
        <v>45908</v>
      </c>
      <c r="C699" s="90">
        <v>800</v>
      </c>
      <c r="D699" s="90">
        <v>0</v>
      </c>
      <c r="E699" s="90" t="s">
        <v>1163</v>
      </c>
      <c r="F699" s="90" t="s">
        <v>975</v>
      </c>
      <c r="G699" s="39">
        <v>0.55000000000000004</v>
      </c>
      <c r="H699" s="90" t="s">
        <v>91</v>
      </c>
      <c r="I699" s="90" t="s">
        <v>1680</v>
      </c>
      <c r="J699" s="90"/>
      <c r="K699" s="90" t="s">
        <v>1162</v>
      </c>
      <c r="L699" s="90" t="s">
        <v>2484</v>
      </c>
      <c r="M699" s="90"/>
    </row>
    <row r="700" spans="1:13" x14ac:dyDescent="0.3">
      <c r="A700" s="27">
        <v>45909</v>
      </c>
      <c r="B700" s="27">
        <v>45909</v>
      </c>
      <c r="C700" s="28">
        <v>157.87</v>
      </c>
      <c r="D700" s="28">
        <v>0</v>
      </c>
      <c r="E700" s="28"/>
      <c r="F700" s="28" t="s">
        <v>4</v>
      </c>
      <c r="G700" s="24">
        <v>0.97</v>
      </c>
      <c r="H700" s="28" t="s">
        <v>49</v>
      </c>
      <c r="I700" s="28" t="s">
        <v>1779</v>
      </c>
      <c r="J700" s="28"/>
      <c r="K700" s="28" t="s">
        <v>50</v>
      </c>
      <c r="L700" s="28" t="s">
        <v>2482</v>
      </c>
      <c r="M700" s="28"/>
    </row>
    <row r="701" spans="1:13" x14ac:dyDescent="0.3">
      <c r="A701" s="101">
        <v>45909</v>
      </c>
      <c r="B701" s="101">
        <v>45909</v>
      </c>
      <c r="C701" s="102">
        <v>1000</v>
      </c>
      <c r="D701" s="102">
        <v>0</v>
      </c>
      <c r="E701" s="102"/>
      <c r="F701" s="102" t="s">
        <v>976</v>
      </c>
      <c r="G701" s="24">
        <v>0.85</v>
      </c>
      <c r="H701" s="102" t="s">
        <v>1028</v>
      </c>
      <c r="I701" s="102" t="s">
        <v>1680</v>
      </c>
      <c r="J701" s="102"/>
      <c r="K701" s="102" t="s">
        <v>1164</v>
      </c>
      <c r="L701" s="102" t="s">
        <v>2484</v>
      </c>
      <c r="M701" s="102"/>
    </row>
    <row r="702" spans="1:13" x14ac:dyDescent="0.3">
      <c r="A702" s="27">
        <v>45909</v>
      </c>
      <c r="B702" s="27">
        <v>45909</v>
      </c>
      <c r="C702" s="28">
        <v>56.44</v>
      </c>
      <c r="D702" s="28">
        <v>0</v>
      </c>
      <c r="E702" s="28"/>
      <c r="F702" s="28" t="s">
        <v>4</v>
      </c>
      <c r="G702" s="24">
        <v>0.97</v>
      </c>
      <c r="H702" s="28" t="s">
        <v>49</v>
      </c>
      <c r="I702" s="28" t="s">
        <v>1779</v>
      </c>
      <c r="J702" s="28"/>
      <c r="K702" s="28" t="s">
        <v>50</v>
      </c>
      <c r="L702" s="28" t="s">
        <v>2482</v>
      </c>
      <c r="M702" s="28"/>
    </row>
    <row r="703" spans="1:13" x14ac:dyDescent="0.3">
      <c r="A703" s="83">
        <v>45909</v>
      </c>
      <c r="B703" s="83">
        <v>45909</v>
      </c>
      <c r="C703" s="84">
        <v>1418.6</v>
      </c>
      <c r="D703" s="84">
        <v>0</v>
      </c>
      <c r="E703" s="84"/>
      <c r="F703" s="84" t="s">
        <v>973</v>
      </c>
      <c r="G703" s="40">
        <v>0.68</v>
      </c>
      <c r="H703" s="84" t="s">
        <v>1014</v>
      </c>
      <c r="I703" s="84" t="s">
        <v>1680</v>
      </c>
      <c r="J703" s="84"/>
      <c r="K703" s="84" t="s">
        <v>1165</v>
      </c>
      <c r="L703" s="84" t="s">
        <v>2484</v>
      </c>
      <c r="M703" s="84"/>
    </row>
    <row r="704" spans="1:13" x14ac:dyDescent="0.3">
      <c r="A704" s="25">
        <v>45909</v>
      </c>
      <c r="B704" s="25">
        <v>45909</v>
      </c>
      <c r="C704" s="26">
        <v>0</v>
      </c>
      <c r="D704" s="26">
        <v>15853.91</v>
      </c>
      <c r="E704" s="26"/>
      <c r="F704" s="26" t="s">
        <v>3</v>
      </c>
      <c r="G704" s="24">
        <v>0.93</v>
      </c>
      <c r="H704" s="26" t="s">
        <v>49</v>
      </c>
      <c r="I704" s="26" t="s">
        <v>1779</v>
      </c>
      <c r="J704" s="26"/>
      <c r="K704" s="26" t="s">
        <v>482</v>
      </c>
      <c r="L704" s="26" t="s">
        <v>2482</v>
      </c>
      <c r="M704" s="26"/>
    </row>
    <row r="705" spans="1:13" x14ac:dyDescent="0.3">
      <c r="A705" s="49">
        <v>45909.32340277778</v>
      </c>
      <c r="B705" s="49">
        <v>45909</v>
      </c>
      <c r="C705" s="50">
        <v>0</v>
      </c>
      <c r="D705" s="50">
        <v>496</v>
      </c>
      <c r="E705" s="50"/>
      <c r="F705" s="50" t="s">
        <v>17</v>
      </c>
      <c r="G705" s="24">
        <v>0.93</v>
      </c>
      <c r="H705" s="50" t="s">
        <v>17</v>
      </c>
      <c r="I705" s="50" t="s">
        <v>1019</v>
      </c>
      <c r="J705" s="50"/>
      <c r="K705" s="50" t="s">
        <v>2274</v>
      </c>
      <c r="L705" s="50" t="s">
        <v>2483</v>
      </c>
      <c r="M705" s="50"/>
    </row>
    <row r="706" spans="1:13" x14ac:dyDescent="0.3">
      <c r="A706" s="89">
        <v>45910</v>
      </c>
      <c r="B706" s="89">
        <v>45910</v>
      </c>
      <c r="C706" s="90">
        <v>1030</v>
      </c>
      <c r="D706" s="90">
        <v>0</v>
      </c>
      <c r="E706" s="90" t="s">
        <v>1169</v>
      </c>
      <c r="F706" s="90" t="s">
        <v>975</v>
      </c>
      <c r="G706" s="39">
        <v>0.55000000000000004</v>
      </c>
      <c r="H706" s="90" t="s">
        <v>91</v>
      </c>
      <c r="I706" s="90" t="s">
        <v>1680</v>
      </c>
      <c r="J706" s="90"/>
      <c r="K706" s="90" t="s">
        <v>1168</v>
      </c>
      <c r="L706" s="90" t="s">
        <v>2484</v>
      </c>
      <c r="M706" s="90"/>
    </row>
    <row r="707" spans="1:13" x14ac:dyDescent="0.3">
      <c r="A707" s="89">
        <v>45910</v>
      </c>
      <c r="B707" s="89">
        <v>45910</v>
      </c>
      <c r="C707" s="90">
        <v>113</v>
      </c>
      <c r="D707" s="90">
        <v>0</v>
      </c>
      <c r="E707" s="90" t="s">
        <v>1171</v>
      </c>
      <c r="F707" s="90" t="s">
        <v>975</v>
      </c>
      <c r="G707" s="39">
        <v>0.55000000000000004</v>
      </c>
      <c r="H707" s="90" t="s">
        <v>91</v>
      </c>
      <c r="I707" s="90" t="s">
        <v>1680</v>
      </c>
      <c r="J707" s="90"/>
      <c r="K707" s="90" t="s">
        <v>1170</v>
      </c>
      <c r="L707" s="90" t="s">
        <v>2484</v>
      </c>
      <c r="M707" s="90"/>
    </row>
    <row r="708" spans="1:13" x14ac:dyDescent="0.3">
      <c r="A708" s="89">
        <v>45910</v>
      </c>
      <c r="B708" s="89">
        <v>45910</v>
      </c>
      <c r="C708" s="90">
        <v>500</v>
      </c>
      <c r="D708" s="90">
        <v>0</v>
      </c>
      <c r="E708" s="90" t="s">
        <v>1173</v>
      </c>
      <c r="F708" s="90" t="s">
        <v>975</v>
      </c>
      <c r="G708" s="39">
        <v>0.55000000000000004</v>
      </c>
      <c r="H708" s="90" t="s">
        <v>91</v>
      </c>
      <c r="I708" s="90" t="s">
        <v>1680</v>
      </c>
      <c r="J708" s="90"/>
      <c r="K708" s="90" t="s">
        <v>1172</v>
      </c>
      <c r="L708" s="90" t="s">
        <v>2484</v>
      </c>
      <c r="M708" s="90"/>
    </row>
    <row r="709" spans="1:13" x14ac:dyDescent="0.3">
      <c r="A709" s="101">
        <v>45910</v>
      </c>
      <c r="B709" s="101">
        <v>45910</v>
      </c>
      <c r="C709" s="102">
        <v>300</v>
      </c>
      <c r="D709" s="102">
        <v>0</v>
      </c>
      <c r="E709" s="102"/>
      <c r="F709" s="102" t="s">
        <v>985</v>
      </c>
      <c r="G709" s="40">
        <v>0.68</v>
      </c>
      <c r="H709" s="102" t="s">
        <v>91</v>
      </c>
      <c r="I709" s="102" t="s">
        <v>1680</v>
      </c>
      <c r="J709" s="102"/>
      <c r="K709" s="102" t="s">
        <v>1167</v>
      </c>
      <c r="L709" s="102" t="s">
        <v>2484</v>
      </c>
      <c r="M709" s="102"/>
    </row>
    <row r="710" spans="1:13" x14ac:dyDescent="0.3">
      <c r="A710" s="27">
        <v>45910</v>
      </c>
      <c r="B710" s="27">
        <v>45910</v>
      </c>
      <c r="C710" s="28">
        <v>56.38</v>
      </c>
      <c r="D710" s="28">
        <v>0</v>
      </c>
      <c r="E710" s="28"/>
      <c r="F710" s="28" t="s">
        <v>4</v>
      </c>
      <c r="G710" s="24">
        <v>0.97</v>
      </c>
      <c r="H710" s="28" t="s">
        <v>49</v>
      </c>
      <c r="I710" s="28" t="s">
        <v>1779</v>
      </c>
      <c r="J710" s="28"/>
      <c r="K710" s="28" t="s">
        <v>50</v>
      </c>
      <c r="L710" s="28" t="s">
        <v>2482</v>
      </c>
      <c r="M710" s="28"/>
    </row>
    <row r="711" spans="1:13" x14ac:dyDescent="0.3">
      <c r="A711" s="101">
        <v>45910</v>
      </c>
      <c r="B711" s="101">
        <v>45910</v>
      </c>
      <c r="C711" s="102">
        <v>1000</v>
      </c>
      <c r="D711" s="102">
        <v>0</v>
      </c>
      <c r="E711" s="102"/>
      <c r="F711" s="102" t="s">
        <v>976</v>
      </c>
      <c r="G711" s="24">
        <v>0.85</v>
      </c>
      <c r="H711" s="102" t="s">
        <v>1028</v>
      </c>
      <c r="I711" s="102" t="s">
        <v>1680</v>
      </c>
      <c r="J711" s="102"/>
      <c r="K711" s="102" t="s">
        <v>1166</v>
      </c>
      <c r="L711" s="102" t="s">
        <v>2484</v>
      </c>
      <c r="M711" s="102"/>
    </row>
    <row r="712" spans="1:13" x14ac:dyDescent="0.3">
      <c r="A712" s="59">
        <v>45910.358159722222</v>
      </c>
      <c r="B712" s="59">
        <v>45910</v>
      </c>
      <c r="C712" s="60">
        <v>0</v>
      </c>
      <c r="D712" s="60">
        <v>501</v>
      </c>
      <c r="E712" s="60"/>
      <c r="F712" s="60" t="s">
        <v>29</v>
      </c>
      <c r="G712" s="24">
        <v>0.85</v>
      </c>
      <c r="H712" s="60" t="s">
        <v>606</v>
      </c>
      <c r="I712" s="60" t="s">
        <v>1019</v>
      </c>
      <c r="J712" s="60"/>
      <c r="K712" s="60" t="s">
        <v>2276</v>
      </c>
      <c r="L712" s="60" t="s">
        <v>2483</v>
      </c>
      <c r="M712" s="60"/>
    </row>
    <row r="713" spans="1:13" x14ac:dyDescent="0.3">
      <c r="A713" s="105">
        <v>45911</v>
      </c>
      <c r="B713" s="105">
        <v>45911</v>
      </c>
      <c r="C713" s="106">
        <v>1030</v>
      </c>
      <c r="D713" s="106">
        <v>0</v>
      </c>
      <c r="E713" s="106"/>
      <c r="F713" s="106" t="s">
        <v>986</v>
      </c>
      <c r="G713" s="40">
        <v>0.82</v>
      </c>
      <c r="H713" s="106" t="s">
        <v>1176</v>
      </c>
      <c r="I713" s="106" t="s">
        <v>1680</v>
      </c>
      <c r="J713" s="106"/>
      <c r="K713" s="106" t="s">
        <v>1175</v>
      </c>
      <c r="L713" s="106" t="s">
        <v>2484</v>
      </c>
      <c r="M713" s="106"/>
    </row>
    <row r="714" spans="1:13" x14ac:dyDescent="0.3">
      <c r="A714" s="89">
        <v>45911</v>
      </c>
      <c r="B714" s="89">
        <v>45911</v>
      </c>
      <c r="C714" s="90">
        <v>525</v>
      </c>
      <c r="D714" s="90">
        <v>0</v>
      </c>
      <c r="E714" s="90" t="s">
        <v>1178</v>
      </c>
      <c r="F714" s="90" t="s">
        <v>975</v>
      </c>
      <c r="G714" s="39">
        <v>0.55000000000000004</v>
      </c>
      <c r="H714" s="90" t="s">
        <v>91</v>
      </c>
      <c r="I714" s="90" t="s">
        <v>1680</v>
      </c>
      <c r="J714" s="90"/>
      <c r="K714" s="90" t="s">
        <v>1177</v>
      </c>
      <c r="L714" s="90" t="s">
        <v>2484</v>
      </c>
      <c r="M714" s="90"/>
    </row>
    <row r="715" spans="1:13" x14ac:dyDescent="0.3">
      <c r="A715" s="89">
        <v>45911</v>
      </c>
      <c r="B715" s="89">
        <v>45911</v>
      </c>
      <c r="C715" s="90">
        <v>300</v>
      </c>
      <c r="D715" s="90">
        <v>0</v>
      </c>
      <c r="E715" s="90" t="s">
        <v>1180</v>
      </c>
      <c r="F715" s="90" t="s">
        <v>975</v>
      </c>
      <c r="G715" s="39">
        <v>0.55000000000000004</v>
      </c>
      <c r="H715" s="90" t="s">
        <v>91</v>
      </c>
      <c r="I715" s="90" t="s">
        <v>1680</v>
      </c>
      <c r="J715" s="90"/>
      <c r="K715" s="90" t="s">
        <v>1179</v>
      </c>
      <c r="L715" s="90" t="s">
        <v>2484</v>
      </c>
      <c r="M715" s="90"/>
    </row>
    <row r="716" spans="1:13" x14ac:dyDescent="0.3">
      <c r="A716" s="101">
        <v>45911</v>
      </c>
      <c r="B716" s="101">
        <v>45911</v>
      </c>
      <c r="C716" s="102">
        <v>1000</v>
      </c>
      <c r="D716" s="102">
        <v>0</v>
      </c>
      <c r="E716" s="102"/>
      <c r="F716" s="102" t="s">
        <v>976</v>
      </c>
      <c r="G716" s="24">
        <v>0.85</v>
      </c>
      <c r="H716" s="102" t="s">
        <v>1028</v>
      </c>
      <c r="I716" s="102" t="s">
        <v>1680</v>
      </c>
      <c r="J716" s="102"/>
      <c r="K716" s="102" t="s">
        <v>1174</v>
      </c>
      <c r="L716" s="102" t="s">
        <v>2484</v>
      </c>
      <c r="M716" s="102"/>
    </row>
    <row r="717" spans="1:13" x14ac:dyDescent="0.3">
      <c r="A717" s="25">
        <v>45911</v>
      </c>
      <c r="B717" s="25">
        <v>45911</v>
      </c>
      <c r="C717" s="26">
        <v>0</v>
      </c>
      <c r="D717" s="26">
        <v>722.92</v>
      </c>
      <c r="E717" s="26"/>
      <c r="F717" s="26" t="s">
        <v>3</v>
      </c>
      <c r="G717" s="24">
        <v>0.93</v>
      </c>
      <c r="H717" s="26" t="s">
        <v>49</v>
      </c>
      <c r="I717" s="26" t="s">
        <v>1779</v>
      </c>
      <c r="J717" s="26"/>
      <c r="K717" s="26" t="s">
        <v>487</v>
      </c>
      <c r="L717" s="26" t="s">
        <v>2482</v>
      </c>
      <c r="M717" s="26"/>
    </row>
    <row r="718" spans="1:13" x14ac:dyDescent="0.3">
      <c r="A718" s="33">
        <v>45911</v>
      </c>
      <c r="B718" s="33">
        <v>45911</v>
      </c>
      <c r="C718" s="34">
        <v>295</v>
      </c>
      <c r="D718" s="34">
        <v>0</v>
      </c>
      <c r="E718" s="34"/>
      <c r="F718" s="34" t="s">
        <v>7</v>
      </c>
      <c r="G718" s="24">
        <v>0.9</v>
      </c>
      <c r="H718" s="34" t="s">
        <v>7</v>
      </c>
      <c r="I718" s="34" t="s">
        <v>1779</v>
      </c>
      <c r="J718" s="34"/>
      <c r="K718" s="34" t="s">
        <v>489</v>
      </c>
      <c r="L718" s="34" t="s">
        <v>2482</v>
      </c>
      <c r="M718" s="34"/>
    </row>
    <row r="719" spans="1:13" x14ac:dyDescent="0.3">
      <c r="A719" s="27">
        <v>45911</v>
      </c>
      <c r="B719" s="27">
        <v>45911</v>
      </c>
      <c r="C719" s="28">
        <v>56.38</v>
      </c>
      <c r="D719" s="28">
        <v>0</v>
      </c>
      <c r="E719" s="28"/>
      <c r="F719" s="28" t="s">
        <v>4</v>
      </c>
      <c r="G719" s="24">
        <v>0.97</v>
      </c>
      <c r="H719" s="28" t="s">
        <v>49</v>
      </c>
      <c r="I719" s="28" t="s">
        <v>1779</v>
      </c>
      <c r="J719" s="28"/>
      <c r="K719" s="28" t="s">
        <v>50</v>
      </c>
      <c r="L719" s="28" t="s">
        <v>2482</v>
      </c>
      <c r="M719" s="28"/>
    </row>
    <row r="720" spans="1:13" x14ac:dyDescent="0.3">
      <c r="A720" s="27">
        <v>45911</v>
      </c>
      <c r="B720" s="27">
        <v>45911</v>
      </c>
      <c r="C720" s="28">
        <v>3033.61</v>
      </c>
      <c r="D720" s="28">
        <v>0</v>
      </c>
      <c r="E720" s="28"/>
      <c r="F720" s="28" t="s">
        <v>4</v>
      </c>
      <c r="G720" s="24">
        <v>0.97</v>
      </c>
      <c r="H720" s="28" t="s">
        <v>49</v>
      </c>
      <c r="I720" s="28" t="s">
        <v>1779</v>
      </c>
      <c r="J720" s="28"/>
      <c r="K720" s="28" t="s">
        <v>50</v>
      </c>
      <c r="L720" s="28" t="s">
        <v>2482</v>
      </c>
      <c r="M720" s="28"/>
    </row>
    <row r="721" spans="1:13" x14ac:dyDescent="0.3">
      <c r="A721" s="27">
        <v>45911</v>
      </c>
      <c r="B721" s="27">
        <v>45911</v>
      </c>
      <c r="C721" s="28">
        <v>17667.650000000001</v>
      </c>
      <c r="D721" s="28">
        <v>0</v>
      </c>
      <c r="E721" s="28"/>
      <c r="F721" s="28" t="s">
        <v>4</v>
      </c>
      <c r="G721" s="24">
        <v>0.97</v>
      </c>
      <c r="H721" s="28" t="s">
        <v>49</v>
      </c>
      <c r="I721" s="28" t="s">
        <v>1779</v>
      </c>
      <c r="J721" s="28"/>
      <c r="K721" s="28" t="s">
        <v>50</v>
      </c>
      <c r="L721" s="28" t="s">
        <v>2482</v>
      </c>
      <c r="M721" s="28"/>
    </row>
    <row r="722" spans="1:13" x14ac:dyDescent="0.3">
      <c r="A722" s="37">
        <v>45911.617974537039</v>
      </c>
      <c r="B722" s="37">
        <v>45911</v>
      </c>
      <c r="C722" s="38">
        <v>0</v>
      </c>
      <c r="D722" s="38">
        <v>600</v>
      </c>
      <c r="E722" s="38"/>
      <c r="F722" s="38" t="s">
        <v>1818</v>
      </c>
      <c r="G722" s="39">
        <v>0.55000000000000004</v>
      </c>
      <c r="H722" s="38" t="s">
        <v>91</v>
      </c>
      <c r="I722" s="38" t="s">
        <v>1019</v>
      </c>
      <c r="J722" s="38"/>
      <c r="K722" s="38" t="s">
        <v>2278</v>
      </c>
      <c r="L722" s="38" t="s">
        <v>2483</v>
      </c>
      <c r="M722" s="38"/>
    </row>
    <row r="723" spans="1:13" x14ac:dyDescent="0.3">
      <c r="A723" s="89">
        <v>45912</v>
      </c>
      <c r="B723" s="89">
        <v>45912</v>
      </c>
      <c r="C723" s="90">
        <v>452</v>
      </c>
      <c r="D723" s="90">
        <v>0</v>
      </c>
      <c r="E723" s="90" t="s">
        <v>1183</v>
      </c>
      <c r="F723" s="90" t="s">
        <v>975</v>
      </c>
      <c r="G723" s="39">
        <v>0.55000000000000004</v>
      </c>
      <c r="H723" s="90" t="s">
        <v>91</v>
      </c>
      <c r="I723" s="90" t="s">
        <v>1680</v>
      </c>
      <c r="J723" s="90"/>
      <c r="K723" s="90" t="s">
        <v>1182</v>
      </c>
      <c r="L723" s="90" t="s">
        <v>2484</v>
      </c>
      <c r="M723" s="90"/>
    </row>
    <row r="724" spans="1:13" x14ac:dyDescent="0.3">
      <c r="A724" s="101">
        <v>45912</v>
      </c>
      <c r="B724" s="101">
        <v>45912</v>
      </c>
      <c r="C724" s="102">
        <v>1000</v>
      </c>
      <c r="D724" s="102">
        <v>0</v>
      </c>
      <c r="E724" s="102"/>
      <c r="F724" s="102" t="s">
        <v>976</v>
      </c>
      <c r="G724" s="24">
        <v>0.85</v>
      </c>
      <c r="H724" s="102" t="s">
        <v>1028</v>
      </c>
      <c r="I724" s="102" t="s">
        <v>1680</v>
      </c>
      <c r="J724" s="102"/>
      <c r="K724" s="102" t="s">
        <v>1181</v>
      </c>
      <c r="L724" s="102" t="s">
        <v>2484</v>
      </c>
      <c r="M724" s="102"/>
    </row>
    <row r="725" spans="1:13" x14ac:dyDescent="0.3">
      <c r="A725" s="27">
        <v>45912</v>
      </c>
      <c r="B725" s="27">
        <v>45912</v>
      </c>
      <c r="C725" s="28">
        <v>49.26</v>
      </c>
      <c r="D725" s="28">
        <v>0</v>
      </c>
      <c r="E725" s="28"/>
      <c r="F725" s="28" t="s">
        <v>4</v>
      </c>
      <c r="G725" s="24">
        <v>0.97</v>
      </c>
      <c r="H725" s="28" t="s">
        <v>49</v>
      </c>
      <c r="I725" s="28" t="s">
        <v>1779</v>
      </c>
      <c r="J725" s="28"/>
      <c r="K725" s="28" t="s">
        <v>50</v>
      </c>
      <c r="L725" s="28" t="s">
        <v>2482</v>
      </c>
      <c r="M725" s="28"/>
    </row>
    <row r="726" spans="1:13" x14ac:dyDescent="0.3">
      <c r="A726" s="27">
        <v>45912</v>
      </c>
      <c r="B726" s="27">
        <v>45912</v>
      </c>
      <c r="C726" s="28">
        <v>12612.87</v>
      </c>
      <c r="D726" s="28">
        <v>0</v>
      </c>
      <c r="E726" s="28"/>
      <c r="F726" s="28" t="s">
        <v>4</v>
      </c>
      <c r="G726" s="24">
        <v>0.97</v>
      </c>
      <c r="H726" s="28" t="s">
        <v>49</v>
      </c>
      <c r="I726" s="28" t="s">
        <v>1779</v>
      </c>
      <c r="J726" s="28"/>
      <c r="K726" s="28" t="s">
        <v>50</v>
      </c>
      <c r="L726" s="28" t="s">
        <v>2482</v>
      </c>
      <c r="M726" s="28"/>
    </row>
    <row r="727" spans="1:13" x14ac:dyDescent="0.3">
      <c r="A727" s="103">
        <v>45913</v>
      </c>
      <c r="B727" s="103">
        <v>45913</v>
      </c>
      <c r="C727" s="104">
        <v>48</v>
      </c>
      <c r="D727" s="104">
        <v>0</v>
      </c>
      <c r="E727" s="104"/>
      <c r="F727" s="104" t="s">
        <v>983</v>
      </c>
      <c r="G727" s="40">
        <v>0.82</v>
      </c>
      <c r="H727" s="104" t="s">
        <v>131</v>
      </c>
      <c r="I727" s="104" t="s">
        <v>1680</v>
      </c>
      <c r="J727" s="104"/>
      <c r="K727" s="104" t="s">
        <v>1190</v>
      </c>
      <c r="L727" s="104" t="s">
        <v>2484</v>
      </c>
      <c r="M727" s="104"/>
    </row>
    <row r="728" spans="1:13" x14ac:dyDescent="0.3">
      <c r="A728" s="101">
        <v>45913</v>
      </c>
      <c r="B728" s="101">
        <v>45913</v>
      </c>
      <c r="C728" s="102">
        <v>1000</v>
      </c>
      <c r="D728" s="102">
        <v>0</v>
      </c>
      <c r="E728" s="102"/>
      <c r="F728" s="102" t="s">
        <v>976</v>
      </c>
      <c r="G728" s="24">
        <v>0.85</v>
      </c>
      <c r="H728" s="102" t="s">
        <v>1028</v>
      </c>
      <c r="I728" s="102" t="s">
        <v>1680</v>
      </c>
      <c r="J728" s="102"/>
      <c r="K728" s="102" t="s">
        <v>1184</v>
      </c>
      <c r="L728" s="102" t="s">
        <v>2484</v>
      </c>
      <c r="M728" s="102"/>
    </row>
    <row r="729" spans="1:13" x14ac:dyDescent="0.3">
      <c r="A729" s="101">
        <v>45913</v>
      </c>
      <c r="B729" s="101">
        <v>45913</v>
      </c>
      <c r="C729" s="102">
        <v>686.82</v>
      </c>
      <c r="D729" s="102">
        <v>0</v>
      </c>
      <c r="E729" s="102"/>
      <c r="F729" s="102" t="s">
        <v>985</v>
      </c>
      <c r="G729" s="40">
        <v>0.68</v>
      </c>
      <c r="H729" s="102" t="s">
        <v>1028</v>
      </c>
      <c r="I729" s="102" t="s">
        <v>1680</v>
      </c>
      <c r="J729" s="102"/>
      <c r="K729" s="102" t="s">
        <v>1185</v>
      </c>
      <c r="L729" s="102" t="s">
        <v>2484</v>
      </c>
      <c r="M729" s="102"/>
    </row>
    <row r="730" spans="1:13" x14ac:dyDescent="0.3">
      <c r="A730" s="105">
        <v>45913</v>
      </c>
      <c r="B730" s="105">
        <v>45913</v>
      </c>
      <c r="C730" s="106">
        <v>1030</v>
      </c>
      <c r="D730" s="106">
        <v>0</v>
      </c>
      <c r="E730" s="106"/>
      <c r="F730" s="106" t="s">
        <v>986</v>
      </c>
      <c r="G730" s="40">
        <v>0.82</v>
      </c>
      <c r="H730" s="106" t="s">
        <v>1176</v>
      </c>
      <c r="I730" s="106" t="s">
        <v>1680</v>
      </c>
      <c r="J730" s="106"/>
      <c r="K730" s="106" t="s">
        <v>1186</v>
      </c>
      <c r="L730" s="106" t="s">
        <v>2484</v>
      </c>
      <c r="M730" s="106" t="s">
        <v>2485</v>
      </c>
    </row>
    <row r="731" spans="1:13" x14ac:dyDescent="0.3">
      <c r="A731" s="105">
        <v>45913</v>
      </c>
      <c r="B731" s="105">
        <v>45913</v>
      </c>
      <c r="C731" s="106">
        <v>1030</v>
      </c>
      <c r="D731" s="106">
        <v>0</v>
      </c>
      <c r="E731" s="106"/>
      <c r="F731" s="106" t="s">
        <v>986</v>
      </c>
      <c r="G731" s="40">
        <v>0.82</v>
      </c>
      <c r="H731" s="106" t="s">
        <v>1176</v>
      </c>
      <c r="I731" s="106" t="s">
        <v>1680</v>
      </c>
      <c r="J731" s="106"/>
      <c r="K731" s="106" t="s">
        <v>1187</v>
      </c>
      <c r="L731" s="106" t="s">
        <v>2484</v>
      </c>
      <c r="M731" s="106" t="s">
        <v>2485</v>
      </c>
    </row>
    <row r="732" spans="1:13" x14ac:dyDescent="0.3">
      <c r="A732" s="107">
        <v>45913</v>
      </c>
      <c r="B732" s="107">
        <v>45913</v>
      </c>
      <c r="C732" s="108">
        <v>1005</v>
      </c>
      <c r="D732" s="108">
        <v>0</v>
      </c>
      <c r="E732" s="108"/>
      <c r="F732" s="108" t="s">
        <v>987</v>
      </c>
      <c r="G732" s="40">
        <v>0.82</v>
      </c>
      <c r="H732" s="108" t="s">
        <v>1189</v>
      </c>
      <c r="I732" s="108" t="s">
        <v>1680</v>
      </c>
      <c r="J732" s="108"/>
      <c r="K732" s="108" t="s">
        <v>1188</v>
      </c>
      <c r="L732" s="108" t="s">
        <v>2484</v>
      </c>
      <c r="M732" s="108"/>
    </row>
    <row r="733" spans="1:13" x14ac:dyDescent="0.3">
      <c r="A733" s="146">
        <v>45913.8903125</v>
      </c>
      <c r="B733" s="146">
        <v>45913</v>
      </c>
      <c r="C733" s="147">
        <v>0</v>
      </c>
      <c r="D733" s="147">
        <v>67</v>
      </c>
      <c r="E733" s="147"/>
      <c r="F733" s="147" t="s">
        <v>1678</v>
      </c>
      <c r="G733" s="24">
        <v>0.88</v>
      </c>
      <c r="H733" s="147" t="s">
        <v>1658</v>
      </c>
      <c r="I733" s="147" t="s">
        <v>1019</v>
      </c>
      <c r="J733" s="147"/>
      <c r="K733" s="147" t="s">
        <v>2280</v>
      </c>
      <c r="L733" s="147" t="s">
        <v>2483</v>
      </c>
      <c r="M733" s="147"/>
    </row>
    <row r="734" spans="1:13" x14ac:dyDescent="0.3">
      <c r="A734" s="89">
        <v>45914</v>
      </c>
      <c r="B734" s="89">
        <v>45914</v>
      </c>
      <c r="C734" s="90">
        <v>107</v>
      </c>
      <c r="D734" s="90">
        <v>0</v>
      </c>
      <c r="E734" s="90" t="s">
        <v>1193</v>
      </c>
      <c r="F734" s="90" t="s">
        <v>975</v>
      </c>
      <c r="G734" s="39">
        <v>0.55000000000000004</v>
      </c>
      <c r="H734" s="90" t="s">
        <v>91</v>
      </c>
      <c r="I734" s="90" t="s">
        <v>1680</v>
      </c>
      <c r="J734" s="90"/>
      <c r="K734" s="90" t="s">
        <v>1192</v>
      </c>
      <c r="L734" s="90" t="s">
        <v>2484</v>
      </c>
      <c r="M734" s="90"/>
    </row>
    <row r="735" spans="1:13" x14ac:dyDescent="0.3">
      <c r="A735" s="109">
        <v>45914</v>
      </c>
      <c r="B735" s="109">
        <v>45914</v>
      </c>
      <c r="C735" s="110">
        <v>2100</v>
      </c>
      <c r="D735" s="110">
        <v>0</v>
      </c>
      <c r="E735" s="110"/>
      <c r="F735" s="110" t="s">
        <v>988</v>
      </c>
      <c r="G735" s="24">
        <v>0.88</v>
      </c>
      <c r="H735" s="110" t="s">
        <v>988</v>
      </c>
      <c r="I735" s="110" t="s">
        <v>1680</v>
      </c>
      <c r="J735" s="110"/>
      <c r="K735" s="110" t="s">
        <v>1194</v>
      </c>
      <c r="L735" s="110" t="s">
        <v>2484</v>
      </c>
      <c r="M735" s="110"/>
    </row>
    <row r="736" spans="1:13" x14ac:dyDescent="0.3">
      <c r="A736" s="89">
        <v>45914</v>
      </c>
      <c r="B736" s="89">
        <v>45914</v>
      </c>
      <c r="C736" s="90">
        <v>100</v>
      </c>
      <c r="D736" s="90">
        <v>0</v>
      </c>
      <c r="E736" s="90" t="s">
        <v>1196</v>
      </c>
      <c r="F736" s="90" t="s">
        <v>975</v>
      </c>
      <c r="G736" s="39">
        <v>0.55000000000000004</v>
      </c>
      <c r="H736" s="90" t="s">
        <v>91</v>
      </c>
      <c r="I736" s="90" t="s">
        <v>1680</v>
      </c>
      <c r="J736" s="90"/>
      <c r="K736" s="90" t="s">
        <v>1195</v>
      </c>
      <c r="L736" s="90" t="s">
        <v>2484</v>
      </c>
      <c r="M736" s="90"/>
    </row>
    <row r="737" spans="1:13" x14ac:dyDescent="0.3">
      <c r="A737" s="101">
        <v>45914</v>
      </c>
      <c r="B737" s="101">
        <v>45914</v>
      </c>
      <c r="C737" s="102">
        <v>100</v>
      </c>
      <c r="D737" s="102">
        <v>0</v>
      </c>
      <c r="E737" s="102"/>
      <c r="F737" s="102" t="s">
        <v>985</v>
      </c>
      <c r="G737" s="40">
        <v>0.68</v>
      </c>
      <c r="H737" s="102" t="s">
        <v>91</v>
      </c>
      <c r="I737" s="102" t="s">
        <v>1680</v>
      </c>
      <c r="J737" s="102"/>
      <c r="K737" s="102" t="s">
        <v>1197</v>
      </c>
      <c r="L737" s="102" t="s">
        <v>2484</v>
      </c>
      <c r="M737" s="102"/>
    </row>
    <row r="738" spans="1:13" x14ac:dyDescent="0.3">
      <c r="A738" s="101">
        <v>45914</v>
      </c>
      <c r="B738" s="101">
        <v>45914</v>
      </c>
      <c r="C738" s="102">
        <v>1000</v>
      </c>
      <c r="D738" s="102">
        <v>0</v>
      </c>
      <c r="E738" s="102"/>
      <c r="F738" s="102" t="s">
        <v>976</v>
      </c>
      <c r="G738" s="24">
        <v>0.85</v>
      </c>
      <c r="H738" s="102" t="s">
        <v>1028</v>
      </c>
      <c r="I738" s="102" t="s">
        <v>1680</v>
      </c>
      <c r="J738" s="102"/>
      <c r="K738" s="102" t="s">
        <v>1191</v>
      </c>
      <c r="L738" s="102" t="s">
        <v>2484</v>
      </c>
      <c r="M738" s="102"/>
    </row>
    <row r="739" spans="1:13" x14ac:dyDescent="0.3">
      <c r="A739" s="89">
        <v>45914</v>
      </c>
      <c r="B739" s="89">
        <v>45914</v>
      </c>
      <c r="C739" s="90">
        <v>247</v>
      </c>
      <c r="D739" s="90">
        <v>0</v>
      </c>
      <c r="E739" s="90" t="s">
        <v>1199</v>
      </c>
      <c r="F739" s="90" t="s">
        <v>975</v>
      </c>
      <c r="G739" s="39">
        <v>0.55000000000000004</v>
      </c>
      <c r="H739" s="90" t="s">
        <v>91</v>
      </c>
      <c r="I739" s="90" t="s">
        <v>1680</v>
      </c>
      <c r="J739" s="90"/>
      <c r="K739" s="90" t="s">
        <v>1198</v>
      </c>
      <c r="L739" s="90" t="s">
        <v>2484</v>
      </c>
      <c r="M739" s="90"/>
    </row>
    <row r="740" spans="1:13" x14ac:dyDescent="0.3">
      <c r="A740" s="37">
        <v>45914.819340277783</v>
      </c>
      <c r="B740" s="37">
        <v>45914</v>
      </c>
      <c r="C740" s="38">
        <v>0</v>
      </c>
      <c r="D740" s="38">
        <v>600</v>
      </c>
      <c r="E740" s="38"/>
      <c r="F740" s="38" t="s">
        <v>1819</v>
      </c>
      <c r="G740" s="39">
        <v>0.55000000000000004</v>
      </c>
      <c r="H740" s="38" t="s">
        <v>91</v>
      </c>
      <c r="I740" s="38" t="s">
        <v>1019</v>
      </c>
      <c r="J740" s="38"/>
      <c r="K740" s="38" t="s">
        <v>2282</v>
      </c>
      <c r="L740" s="38" t="s">
        <v>2483</v>
      </c>
      <c r="M740" s="38"/>
    </row>
    <row r="741" spans="1:13" x14ac:dyDescent="0.3">
      <c r="A741" s="101">
        <v>45915</v>
      </c>
      <c r="B741" s="101">
        <v>45915</v>
      </c>
      <c r="C741" s="102">
        <v>1000</v>
      </c>
      <c r="D741" s="102">
        <v>0</v>
      </c>
      <c r="E741" s="102"/>
      <c r="F741" s="102" t="s">
        <v>976</v>
      </c>
      <c r="G741" s="24">
        <v>0.85</v>
      </c>
      <c r="H741" s="102" t="s">
        <v>1028</v>
      </c>
      <c r="I741" s="102" t="s">
        <v>1680</v>
      </c>
      <c r="J741" s="102"/>
      <c r="K741" s="102" t="s">
        <v>1200</v>
      </c>
      <c r="L741" s="102" t="s">
        <v>2484</v>
      </c>
      <c r="M741" s="102"/>
    </row>
    <row r="742" spans="1:13" x14ac:dyDescent="0.3">
      <c r="A742" s="103">
        <v>45915</v>
      </c>
      <c r="B742" s="103">
        <v>45915</v>
      </c>
      <c r="C742" s="104">
        <v>74</v>
      </c>
      <c r="D742" s="104">
        <v>0</v>
      </c>
      <c r="E742" s="104"/>
      <c r="F742" s="104" t="s">
        <v>983</v>
      </c>
      <c r="G742" s="40">
        <v>0.82</v>
      </c>
      <c r="H742" s="104" t="s">
        <v>131</v>
      </c>
      <c r="I742" s="104" t="s">
        <v>1680</v>
      </c>
      <c r="J742" s="104"/>
      <c r="K742" s="104" t="s">
        <v>1201</v>
      </c>
      <c r="L742" s="104" t="s">
        <v>2484</v>
      </c>
      <c r="M742" s="104"/>
    </row>
    <row r="743" spans="1:13" x14ac:dyDescent="0.3">
      <c r="A743" s="27">
        <v>45915</v>
      </c>
      <c r="B743" s="27">
        <v>45915</v>
      </c>
      <c r="C743" s="28">
        <v>182.85</v>
      </c>
      <c r="D743" s="28">
        <v>0</v>
      </c>
      <c r="E743" s="28"/>
      <c r="F743" s="28" t="s">
        <v>4</v>
      </c>
      <c r="G743" s="24">
        <v>0.97</v>
      </c>
      <c r="H743" s="28" t="s">
        <v>49</v>
      </c>
      <c r="I743" s="28" t="s">
        <v>1779</v>
      </c>
      <c r="J743" s="28"/>
      <c r="K743" s="28" t="s">
        <v>50</v>
      </c>
      <c r="L743" s="28" t="s">
        <v>2482</v>
      </c>
      <c r="M743" s="28"/>
    </row>
    <row r="744" spans="1:13" x14ac:dyDescent="0.3">
      <c r="A744" s="89">
        <v>45915.579837962963</v>
      </c>
      <c r="B744" s="89">
        <v>45915</v>
      </c>
      <c r="C744" s="90">
        <v>600</v>
      </c>
      <c r="D744" s="90">
        <v>0</v>
      </c>
      <c r="E744" s="90" t="s">
        <v>2286</v>
      </c>
      <c r="F744" s="90" t="s">
        <v>975</v>
      </c>
      <c r="G744" s="39">
        <v>0.55000000000000004</v>
      </c>
      <c r="H744" s="90" t="s">
        <v>91</v>
      </c>
      <c r="I744" s="90" t="s">
        <v>1019</v>
      </c>
      <c r="J744" s="90"/>
      <c r="K744" s="90" t="s">
        <v>2284</v>
      </c>
      <c r="L744" s="90" t="s">
        <v>2483</v>
      </c>
      <c r="M744" s="90"/>
    </row>
    <row r="745" spans="1:13" x14ac:dyDescent="0.3">
      <c r="A745" s="85">
        <v>45916</v>
      </c>
      <c r="B745" s="85">
        <v>45916</v>
      </c>
      <c r="C745" s="86">
        <v>30000</v>
      </c>
      <c r="D745" s="86">
        <v>0</v>
      </c>
      <c r="E745" s="86"/>
      <c r="F745" s="86" t="s">
        <v>974</v>
      </c>
      <c r="G745" s="24">
        <v>0.9</v>
      </c>
      <c r="H745" s="86" t="s">
        <v>1019</v>
      </c>
      <c r="I745" s="86" t="s">
        <v>837</v>
      </c>
      <c r="J745" s="86"/>
      <c r="K745" s="86" t="s">
        <v>1733</v>
      </c>
      <c r="L745" s="86" t="s">
        <v>2486</v>
      </c>
      <c r="M745" s="86"/>
    </row>
    <row r="746" spans="1:13" x14ac:dyDescent="0.3">
      <c r="A746" s="27">
        <v>45916</v>
      </c>
      <c r="B746" s="27">
        <v>45916</v>
      </c>
      <c r="C746" s="28">
        <v>69.86</v>
      </c>
      <c r="D746" s="28">
        <v>0</v>
      </c>
      <c r="E746" s="28"/>
      <c r="F746" s="28" t="s">
        <v>4</v>
      </c>
      <c r="G746" s="24">
        <v>0.97</v>
      </c>
      <c r="H746" s="28" t="s">
        <v>49</v>
      </c>
      <c r="I746" s="28" t="s">
        <v>1779</v>
      </c>
      <c r="J746" s="28"/>
      <c r="K746" s="28" t="s">
        <v>50</v>
      </c>
      <c r="L746" s="28" t="s">
        <v>2482</v>
      </c>
      <c r="M746" s="28"/>
    </row>
    <row r="747" spans="1:13" x14ac:dyDescent="0.3">
      <c r="A747" s="101">
        <v>45916</v>
      </c>
      <c r="B747" s="101">
        <v>45916</v>
      </c>
      <c r="C747" s="102">
        <v>1000</v>
      </c>
      <c r="D747" s="102">
        <v>0</v>
      </c>
      <c r="E747" s="102"/>
      <c r="F747" s="102" t="s">
        <v>976</v>
      </c>
      <c r="G747" s="24">
        <v>0.85</v>
      </c>
      <c r="H747" s="102" t="s">
        <v>1028</v>
      </c>
      <c r="I747" s="102" t="s">
        <v>1680</v>
      </c>
      <c r="J747" s="102"/>
      <c r="K747" s="102" t="s">
        <v>1202</v>
      </c>
      <c r="L747" s="102" t="s">
        <v>2484</v>
      </c>
      <c r="M747" s="102"/>
    </row>
    <row r="748" spans="1:13" x14ac:dyDescent="0.3">
      <c r="A748" s="25">
        <v>45916</v>
      </c>
      <c r="B748" s="25">
        <v>45916</v>
      </c>
      <c r="C748" s="26">
        <v>0</v>
      </c>
      <c r="D748" s="26">
        <v>1047.0899999999999</v>
      </c>
      <c r="E748" s="26"/>
      <c r="F748" s="26" t="s">
        <v>3</v>
      </c>
      <c r="G748" s="24">
        <v>0.93</v>
      </c>
      <c r="H748" s="26" t="s">
        <v>49</v>
      </c>
      <c r="I748" s="26" t="s">
        <v>1779</v>
      </c>
      <c r="J748" s="26"/>
      <c r="K748" s="26" t="s">
        <v>497</v>
      </c>
      <c r="L748" s="26" t="s">
        <v>2482</v>
      </c>
      <c r="M748" s="26"/>
    </row>
    <row r="749" spans="1:13" x14ac:dyDescent="0.3">
      <c r="A749" s="27">
        <v>45916.962071759262</v>
      </c>
      <c r="B749" s="27">
        <v>45916</v>
      </c>
      <c r="C749" s="28">
        <v>0</v>
      </c>
      <c r="D749" s="28">
        <v>30000</v>
      </c>
      <c r="E749" s="28"/>
      <c r="F749" s="28" t="s">
        <v>30</v>
      </c>
      <c r="G749" s="24">
        <v>0.95</v>
      </c>
      <c r="H749" s="28" t="s">
        <v>837</v>
      </c>
      <c r="I749" s="28" t="s">
        <v>1019</v>
      </c>
      <c r="J749" s="28"/>
      <c r="K749" s="28" t="s">
        <v>2287</v>
      </c>
      <c r="L749" s="28" t="s">
        <v>2483</v>
      </c>
      <c r="M749" s="28"/>
    </row>
    <row r="750" spans="1:13" x14ac:dyDescent="0.3">
      <c r="A750" s="22">
        <v>45916.963368055563</v>
      </c>
      <c r="B750" s="22">
        <v>45916</v>
      </c>
      <c r="C750" s="23">
        <v>38000</v>
      </c>
      <c r="D750" s="23">
        <v>0</v>
      </c>
      <c r="E750" s="23"/>
      <c r="F750" s="23" t="s">
        <v>1812</v>
      </c>
      <c r="G750" s="24">
        <v>0.88</v>
      </c>
      <c r="H750" s="23" t="s">
        <v>1701</v>
      </c>
      <c r="I750" s="23" t="s">
        <v>1019</v>
      </c>
      <c r="J750" s="23"/>
      <c r="K750" s="23" t="s">
        <v>2289</v>
      </c>
      <c r="L750" s="23" t="s">
        <v>2483</v>
      </c>
      <c r="M750" s="23"/>
    </row>
    <row r="751" spans="1:13" x14ac:dyDescent="0.3">
      <c r="A751" s="27">
        <v>45917</v>
      </c>
      <c r="B751" s="27">
        <v>45917</v>
      </c>
      <c r="C751" s="28">
        <v>70.23</v>
      </c>
      <c r="D751" s="28">
        <v>0</v>
      </c>
      <c r="E751" s="28"/>
      <c r="F751" s="28" t="s">
        <v>4</v>
      </c>
      <c r="G751" s="24">
        <v>0.97</v>
      </c>
      <c r="H751" s="28" t="s">
        <v>49</v>
      </c>
      <c r="I751" s="28" t="s">
        <v>1779</v>
      </c>
      <c r="J751" s="28"/>
      <c r="K751" s="28" t="s">
        <v>50</v>
      </c>
      <c r="L751" s="28" t="s">
        <v>2482</v>
      </c>
      <c r="M751" s="28"/>
    </row>
    <row r="752" spans="1:13" x14ac:dyDescent="0.3">
      <c r="A752" s="25">
        <v>45917</v>
      </c>
      <c r="B752" s="25">
        <v>45917</v>
      </c>
      <c r="C752" s="26">
        <v>0</v>
      </c>
      <c r="D752" s="26">
        <v>1073.49</v>
      </c>
      <c r="E752" s="26"/>
      <c r="F752" s="26" t="s">
        <v>3</v>
      </c>
      <c r="G752" s="24">
        <v>0.93</v>
      </c>
      <c r="H752" s="26" t="s">
        <v>49</v>
      </c>
      <c r="I752" s="26" t="s">
        <v>1779</v>
      </c>
      <c r="J752" s="26"/>
      <c r="K752" s="26" t="s">
        <v>500</v>
      </c>
      <c r="L752" s="26" t="s">
        <v>2482</v>
      </c>
      <c r="M752" s="26"/>
    </row>
    <row r="753" spans="1:13" x14ac:dyDescent="0.3">
      <c r="A753" s="101">
        <v>45917</v>
      </c>
      <c r="B753" s="101">
        <v>45917</v>
      </c>
      <c r="C753" s="102">
        <v>1000</v>
      </c>
      <c r="D753" s="102">
        <v>0</v>
      </c>
      <c r="E753" s="102"/>
      <c r="F753" s="102" t="s">
        <v>976</v>
      </c>
      <c r="G753" s="24">
        <v>0.85</v>
      </c>
      <c r="H753" s="102" t="s">
        <v>1028</v>
      </c>
      <c r="I753" s="102" t="s">
        <v>1680</v>
      </c>
      <c r="J753" s="102"/>
      <c r="K753" s="102" t="s">
        <v>1203</v>
      </c>
      <c r="L753" s="102" t="s">
        <v>2484</v>
      </c>
      <c r="M753" s="102"/>
    </row>
    <row r="754" spans="1:13" x14ac:dyDescent="0.3">
      <c r="A754" s="103">
        <v>45917</v>
      </c>
      <c r="B754" s="103">
        <v>45917</v>
      </c>
      <c r="C754" s="104">
        <v>126</v>
      </c>
      <c r="D754" s="104">
        <v>0</v>
      </c>
      <c r="E754" s="104"/>
      <c r="F754" s="104" t="s">
        <v>983</v>
      </c>
      <c r="G754" s="40">
        <v>0.82</v>
      </c>
      <c r="H754" s="104" t="s">
        <v>131</v>
      </c>
      <c r="I754" s="104" t="s">
        <v>1680</v>
      </c>
      <c r="J754" s="104"/>
      <c r="K754" s="104" t="s">
        <v>1204</v>
      </c>
      <c r="L754" s="104" t="s">
        <v>2484</v>
      </c>
      <c r="M754" s="104"/>
    </row>
    <row r="755" spans="1:13" x14ac:dyDescent="0.3">
      <c r="A755" s="35">
        <v>45917</v>
      </c>
      <c r="B755" s="35">
        <v>45917</v>
      </c>
      <c r="C755" s="36">
        <v>330.4</v>
      </c>
      <c r="D755" s="36">
        <v>0</v>
      </c>
      <c r="E755" s="36"/>
      <c r="F755" s="36" t="s">
        <v>9</v>
      </c>
      <c r="G755" s="24">
        <v>0.93</v>
      </c>
      <c r="H755" s="36" t="s">
        <v>9</v>
      </c>
      <c r="I755" s="36" t="s">
        <v>1779</v>
      </c>
      <c r="J755" s="36"/>
      <c r="K755" s="36" t="s">
        <v>503</v>
      </c>
      <c r="L755" s="36" t="s">
        <v>2482</v>
      </c>
      <c r="M755" s="36"/>
    </row>
    <row r="756" spans="1:13" x14ac:dyDescent="0.3">
      <c r="A756" s="41">
        <v>45917</v>
      </c>
      <c r="B756" s="41">
        <v>45917</v>
      </c>
      <c r="C756" s="42">
        <v>30</v>
      </c>
      <c r="D756" s="42">
        <v>0</v>
      </c>
      <c r="E756" s="42"/>
      <c r="F756" s="42" t="s">
        <v>13</v>
      </c>
      <c r="G756" s="40">
        <v>0.82</v>
      </c>
      <c r="H756" s="42" t="s">
        <v>131</v>
      </c>
      <c r="I756" s="42" t="s">
        <v>1680</v>
      </c>
      <c r="J756" s="42"/>
      <c r="K756" s="42" t="s">
        <v>1205</v>
      </c>
      <c r="L756" s="42" t="s">
        <v>2484</v>
      </c>
      <c r="M756" s="42"/>
    </row>
    <row r="757" spans="1:13" x14ac:dyDescent="0.3">
      <c r="A757" s="27">
        <v>45917</v>
      </c>
      <c r="B757" s="27">
        <v>45917</v>
      </c>
      <c r="C757" s="28">
        <v>11962.97</v>
      </c>
      <c r="D757" s="28">
        <v>0</v>
      </c>
      <c r="E757" s="28"/>
      <c r="F757" s="28" t="s">
        <v>4</v>
      </c>
      <c r="G757" s="24">
        <v>0.97</v>
      </c>
      <c r="H757" s="28" t="s">
        <v>49</v>
      </c>
      <c r="I757" s="28" t="s">
        <v>1779</v>
      </c>
      <c r="J757" s="28"/>
      <c r="K757" s="28" t="s">
        <v>50</v>
      </c>
      <c r="L757" s="28" t="s">
        <v>2482</v>
      </c>
      <c r="M757" s="28"/>
    </row>
    <row r="758" spans="1:13" x14ac:dyDescent="0.3">
      <c r="A758" s="37">
        <v>45917.645208333342</v>
      </c>
      <c r="B758" s="37">
        <v>45917</v>
      </c>
      <c r="C758" s="38">
        <v>0</v>
      </c>
      <c r="D758" s="38">
        <v>500</v>
      </c>
      <c r="E758" s="38"/>
      <c r="F758" s="38" t="s">
        <v>1820</v>
      </c>
      <c r="G758" s="39">
        <v>0.55000000000000004</v>
      </c>
      <c r="H758" s="38" t="s">
        <v>91</v>
      </c>
      <c r="I758" s="38" t="s">
        <v>1019</v>
      </c>
      <c r="J758" s="38"/>
      <c r="K758" s="38" t="s">
        <v>2291</v>
      </c>
      <c r="L758" s="38" t="s">
        <v>2483</v>
      </c>
      <c r="M758" s="38"/>
    </row>
    <row r="759" spans="1:13" x14ac:dyDescent="0.3">
      <c r="A759" s="101">
        <v>45918</v>
      </c>
      <c r="B759" s="101">
        <v>45918</v>
      </c>
      <c r="C759" s="102">
        <v>1000</v>
      </c>
      <c r="D759" s="102">
        <v>0</v>
      </c>
      <c r="E759" s="102"/>
      <c r="F759" s="102" t="s">
        <v>976</v>
      </c>
      <c r="G759" s="24">
        <v>0.85</v>
      </c>
      <c r="H759" s="102" t="s">
        <v>1028</v>
      </c>
      <c r="I759" s="102" t="s">
        <v>1680</v>
      </c>
      <c r="J759" s="102"/>
      <c r="K759" s="102" t="s">
        <v>1206</v>
      </c>
      <c r="L759" s="102" t="s">
        <v>2484</v>
      </c>
      <c r="M759" s="102"/>
    </row>
    <row r="760" spans="1:13" x14ac:dyDescent="0.3">
      <c r="A760" s="89">
        <v>45918</v>
      </c>
      <c r="B760" s="89">
        <v>45918</v>
      </c>
      <c r="C760" s="90">
        <v>160</v>
      </c>
      <c r="D760" s="90">
        <v>0</v>
      </c>
      <c r="E760" s="90" t="s">
        <v>1208</v>
      </c>
      <c r="F760" s="90" t="s">
        <v>975</v>
      </c>
      <c r="G760" s="39">
        <v>0.55000000000000004</v>
      </c>
      <c r="H760" s="90" t="s">
        <v>91</v>
      </c>
      <c r="I760" s="90" t="s">
        <v>1680</v>
      </c>
      <c r="J760" s="90"/>
      <c r="K760" s="90" t="s">
        <v>1207</v>
      </c>
      <c r="L760" s="90" t="s">
        <v>2484</v>
      </c>
      <c r="M760" s="90"/>
    </row>
    <row r="761" spans="1:13" x14ac:dyDescent="0.3">
      <c r="A761" s="25">
        <v>45918</v>
      </c>
      <c r="B761" s="25">
        <v>45918</v>
      </c>
      <c r="C761" s="26">
        <v>0</v>
      </c>
      <c r="D761" s="26">
        <v>12258.05</v>
      </c>
      <c r="E761" s="26"/>
      <c r="F761" s="26" t="s">
        <v>3</v>
      </c>
      <c r="G761" s="24">
        <v>0.93</v>
      </c>
      <c r="H761" s="26" t="s">
        <v>49</v>
      </c>
      <c r="I761" s="26" t="s">
        <v>1779</v>
      </c>
      <c r="J761" s="26"/>
      <c r="K761" s="26" t="s">
        <v>505</v>
      </c>
      <c r="L761" s="26" t="s">
        <v>2482</v>
      </c>
      <c r="M761" s="26"/>
    </row>
    <row r="762" spans="1:13" x14ac:dyDescent="0.3">
      <c r="A762" s="27">
        <v>45918</v>
      </c>
      <c r="B762" s="27">
        <v>45918</v>
      </c>
      <c r="C762" s="28">
        <v>66.349999999999994</v>
      </c>
      <c r="D762" s="28">
        <v>0</v>
      </c>
      <c r="E762" s="28"/>
      <c r="F762" s="28" t="s">
        <v>4</v>
      </c>
      <c r="G762" s="24">
        <v>0.97</v>
      </c>
      <c r="H762" s="28" t="s">
        <v>49</v>
      </c>
      <c r="I762" s="28" t="s">
        <v>1779</v>
      </c>
      <c r="J762" s="28"/>
      <c r="K762" s="28" t="s">
        <v>50</v>
      </c>
      <c r="L762" s="28" t="s">
        <v>2482</v>
      </c>
      <c r="M762" s="28"/>
    </row>
    <row r="763" spans="1:13" x14ac:dyDescent="0.3">
      <c r="A763" s="27">
        <v>45918</v>
      </c>
      <c r="B763" s="27">
        <v>45918</v>
      </c>
      <c r="C763" s="28">
        <v>647.36</v>
      </c>
      <c r="D763" s="28">
        <v>0</v>
      </c>
      <c r="E763" s="28"/>
      <c r="F763" s="28" t="s">
        <v>4</v>
      </c>
      <c r="G763" s="24">
        <v>0.97</v>
      </c>
      <c r="H763" s="28" t="s">
        <v>49</v>
      </c>
      <c r="I763" s="28" t="s">
        <v>1779</v>
      </c>
      <c r="J763" s="28"/>
      <c r="K763" s="28" t="s">
        <v>50</v>
      </c>
      <c r="L763" s="28" t="s">
        <v>2482</v>
      </c>
      <c r="M763" s="28"/>
    </row>
    <row r="764" spans="1:13" x14ac:dyDescent="0.3">
      <c r="A764" s="27">
        <v>45919</v>
      </c>
      <c r="B764" s="27">
        <v>45919</v>
      </c>
      <c r="C764" s="28">
        <v>77.5</v>
      </c>
      <c r="D764" s="28">
        <v>0</v>
      </c>
      <c r="E764" s="28"/>
      <c r="F764" s="28" t="s">
        <v>4</v>
      </c>
      <c r="G764" s="24">
        <v>0.97</v>
      </c>
      <c r="H764" s="28" t="s">
        <v>49</v>
      </c>
      <c r="I764" s="28" t="s">
        <v>1779</v>
      </c>
      <c r="J764" s="28"/>
      <c r="K764" s="28" t="s">
        <v>50</v>
      </c>
      <c r="L764" s="28" t="s">
        <v>2482</v>
      </c>
      <c r="M764" s="28"/>
    </row>
    <row r="765" spans="1:13" x14ac:dyDescent="0.3">
      <c r="A765" s="101">
        <v>45919</v>
      </c>
      <c r="B765" s="101">
        <v>45919</v>
      </c>
      <c r="C765" s="102">
        <v>1000</v>
      </c>
      <c r="D765" s="102">
        <v>0</v>
      </c>
      <c r="E765" s="102"/>
      <c r="F765" s="102" t="s">
        <v>976</v>
      </c>
      <c r="G765" s="24">
        <v>0.85</v>
      </c>
      <c r="H765" s="102" t="s">
        <v>1028</v>
      </c>
      <c r="I765" s="102" t="s">
        <v>1680</v>
      </c>
      <c r="J765" s="102"/>
      <c r="K765" s="102" t="s">
        <v>1209</v>
      </c>
      <c r="L765" s="102" t="s">
        <v>2484</v>
      </c>
      <c r="M765" s="102"/>
    </row>
    <row r="766" spans="1:13" x14ac:dyDescent="0.3">
      <c r="A766" s="103">
        <v>45920</v>
      </c>
      <c r="B766" s="103">
        <v>45920</v>
      </c>
      <c r="C766" s="104">
        <v>28</v>
      </c>
      <c r="D766" s="104">
        <v>0</v>
      </c>
      <c r="E766" s="104"/>
      <c r="F766" s="104" t="s">
        <v>983</v>
      </c>
      <c r="G766" s="40">
        <v>0.82</v>
      </c>
      <c r="H766" s="104" t="s">
        <v>131</v>
      </c>
      <c r="I766" s="104" t="s">
        <v>1680</v>
      </c>
      <c r="J766" s="104"/>
      <c r="K766" s="104" t="s">
        <v>1211</v>
      </c>
      <c r="L766" s="104" t="s">
        <v>2484</v>
      </c>
      <c r="M766" s="104"/>
    </row>
    <row r="767" spans="1:13" x14ac:dyDescent="0.3">
      <c r="A767" s="101">
        <v>45920</v>
      </c>
      <c r="B767" s="101">
        <v>45920</v>
      </c>
      <c r="C767" s="102">
        <v>1000</v>
      </c>
      <c r="D767" s="102">
        <v>0</v>
      </c>
      <c r="E767" s="102"/>
      <c r="F767" s="102" t="s">
        <v>976</v>
      </c>
      <c r="G767" s="24">
        <v>0.85</v>
      </c>
      <c r="H767" s="102" t="s">
        <v>1028</v>
      </c>
      <c r="I767" s="102" t="s">
        <v>1680</v>
      </c>
      <c r="J767" s="102"/>
      <c r="K767" s="102" t="s">
        <v>1210</v>
      </c>
      <c r="L767" s="102" t="s">
        <v>2484</v>
      </c>
      <c r="M767" s="102"/>
    </row>
    <row r="768" spans="1:13" x14ac:dyDescent="0.3">
      <c r="A768" s="101">
        <v>45921</v>
      </c>
      <c r="B768" s="101">
        <v>45921</v>
      </c>
      <c r="C768" s="102">
        <v>1000</v>
      </c>
      <c r="D768" s="102">
        <v>0</v>
      </c>
      <c r="E768" s="102"/>
      <c r="F768" s="102" t="s">
        <v>976</v>
      </c>
      <c r="G768" s="24">
        <v>0.85</v>
      </c>
      <c r="H768" s="102" t="s">
        <v>1028</v>
      </c>
      <c r="I768" s="102" t="s">
        <v>1680</v>
      </c>
      <c r="J768" s="102"/>
      <c r="K768" s="102" t="s">
        <v>1212</v>
      </c>
      <c r="L768" s="102" t="s">
        <v>2484</v>
      </c>
      <c r="M768" s="102"/>
    </row>
    <row r="769" spans="1:13" x14ac:dyDescent="0.3">
      <c r="A769" s="49">
        <v>45922</v>
      </c>
      <c r="B769" s="49">
        <v>45922</v>
      </c>
      <c r="C769" s="50">
        <v>0</v>
      </c>
      <c r="D769" s="50">
        <v>150</v>
      </c>
      <c r="E769" s="50"/>
      <c r="F769" s="50" t="s">
        <v>17</v>
      </c>
      <c r="G769" s="24">
        <v>0.85</v>
      </c>
      <c r="H769" s="50" t="s">
        <v>17</v>
      </c>
      <c r="I769" s="50" t="s">
        <v>1779</v>
      </c>
      <c r="J769" s="50"/>
      <c r="K769" s="50" t="s">
        <v>512</v>
      </c>
      <c r="L769" s="50" t="s">
        <v>2482</v>
      </c>
      <c r="M769" s="50"/>
    </row>
    <row r="770" spans="1:13" x14ac:dyDescent="0.3">
      <c r="A770" s="103">
        <v>45922</v>
      </c>
      <c r="B770" s="103">
        <v>45922</v>
      </c>
      <c r="C770" s="104">
        <v>26</v>
      </c>
      <c r="D770" s="104">
        <v>0</v>
      </c>
      <c r="E770" s="104"/>
      <c r="F770" s="104" t="s">
        <v>983</v>
      </c>
      <c r="G770" s="40">
        <v>0.82</v>
      </c>
      <c r="H770" s="104" t="s">
        <v>131</v>
      </c>
      <c r="I770" s="104" t="s">
        <v>1680</v>
      </c>
      <c r="J770" s="104"/>
      <c r="K770" s="104" t="s">
        <v>1214</v>
      </c>
      <c r="L770" s="104" t="s">
        <v>2484</v>
      </c>
      <c r="M770" s="104"/>
    </row>
    <row r="771" spans="1:13" x14ac:dyDescent="0.3">
      <c r="A771" s="101">
        <v>45922</v>
      </c>
      <c r="B771" s="101">
        <v>45922</v>
      </c>
      <c r="C771" s="102">
        <v>1500</v>
      </c>
      <c r="D771" s="102">
        <v>0</v>
      </c>
      <c r="E771" s="102"/>
      <c r="F771" s="102" t="s">
        <v>976</v>
      </c>
      <c r="G771" s="24">
        <v>0.85</v>
      </c>
      <c r="H771" s="102" t="s">
        <v>1028</v>
      </c>
      <c r="I771" s="102" t="s">
        <v>1680</v>
      </c>
      <c r="J771" s="102"/>
      <c r="K771" s="102" t="s">
        <v>1213</v>
      </c>
      <c r="L771" s="102" t="s">
        <v>2484</v>
      </c>
      <c r="M771" s="102"/>
    </row>
    <row r="772" spans="1:13" x14ac:dyDescent="0.3">
      <c r="A772" s="25">
        <v>45922</v>
      </c>
      <c r="B772" s="25">
        <v>45922</v>
      </c>
      <c r="C772" s="26">
        <v>0</v>
      </c>
      <c r="D772" s="26">
        <v>7815</v>
      </c>
      <c r="E772" s="26"/>
      <c r="F772" s="26" t="s">
        <v>3</v>
      </c>
      <c r="G772" s="24">
        <v>0.93</v>
      </c>
      <c r="H772" s="26" t="s">
        <v>49</v>
      </c>
      <c r="I772" s="26" t="s">
        <v>1779</v>
      </c>
      <c r="J772" s="26"/>
      <c r="K772" s="26" t="s">
        <v>510</v>
      </c>
      <c r="L772" s="26" t="s">
        <v>2482</v>
      </c>
      <c r="M772" s="26"/>
    </row>
    <row r="773" spans="1:13" x14ac:dyDescent="0.3">
      <c r="A773" s="27">
        <v>45922</v>
      </c>
      <c r="B773" s="27">
        <v>45922</v>
      </c>
      <c r="C773" s="28">
        <v>232.5</v>
      </c>
      <c r="D773" s="28">
        <v>0</v>
      </c>
      <c r="E773" s="28"/>
      <c r="F773" s="28" t="s">
        <v>4</v>
      </c>
      <c r="G773" s="24">
        <v>0.97</v>
      </c>
      <c r="H773" s="28" t="s">
        <v>49</v>
      </c>
      <c r="I773" s="28" t="s">
        <v>1779</v>
      </c>
      <c r="J773" s="28"/>
      <c r="K773" s="28" t="s">
        <v>50</v>
      </c>
      <c r="L773" s="28" t="s">
        <v>2482</v>
      </c>
      <c r="M773" s="28"/>
    </row>
    <row r="774" spans="1:13" x14ac:dyDescent="0.3">
      <c r="A774" s="103">
        <v>45923</v>
      </c>
      <c r="B774" s="103">
        <v>45923</v>
      </c>
      <c r="C774" s="104">
        <v>46</v>
      </c>
      <c r="D774" s="104">
        <v>0</v>
      </c>
      <c r="E774" s="104"/>
      <c r="F774" s="104" t="s">
        <v>983</v>
      </c>
      <c r="G774" s="40">
        <v>0.82</v>
      </c>
      <c r="H774" s="104" t="s">
        <v>131</v>
      </c>
      <c r="I774" s="104" t="s">
        <v>1680</v>
      </c>
      <c r="J774" s="104"/>
      <c r="K774" s="104" t="s">
        <v>1216</v>
      </c>
      <c r="L774" s="104" t="s">
        <v>2484</v>
      </c>
      <c r="M774" s="104"/>
    </row>
    <row r="775" spans="1:13" x14ac:dyDescent="0.3">
      <c r="A775" s="101">
        <v>45923</v>
      </c>
      <c r="B775" s="101">
        <v>45923</v>
      </c>
      <c r="C775" s="102">
        <v>1500</v>
      </c>
      <c r="D775" s="102">
        <v>0</v>
      </c>
      <c r="E775" s="102"/>
      <c r="F775" s="102" t="s">
        <v>976</v>
      </c>
      <c r="G775" s="24">
        <v>0.85</v>
      </c>
      <c r="H775" s="102" t="s">
        <v>1028</v>
      </c>
      <c r="I775" s="102" t="s">
        <v>1680</v>
      </c>
      <c r="J775" s="102"/>
      <c r="K775" s="102" t="s">
        <v>1215</v>
      </c>
      <c r="L775" s="102" t="s">
        <v>2484</v>
      </c>
      <c r="M775" s="102"/>
    </row>
    <row r="776" spans="1:13" x14ac:dyDescent="0.3">
      <c r="A776" s="27">
        <v>45923</v>
      </c>
      <c r="B776" s="27">
        <v>45923</v>
      </c>
      <c r="C776" s="28">
        <v>4903.6499999999996</v>
      </c>
      <c r="D776" s="28">
        <v>0</v>
      </c>
      <c r="E776" s="28"/>
      <c r="F776" s="28" t="s">
        <v>4</v>
      </c>
      <c r="G776" s="24">
        <v>0.97</v>
      </c>
      <c r="H776" s="28" t="s">
        <v>49</v>
      </c>
      <c r="I776" s="28" t="s">
        <v>1779</v>
      </c>
      <c r="J776" s="28"/>
      <c r="K776" s="28" t="s">
        <v>50</v>
      </c>
      <c r="L776" s="28" t="s">
        <v>2482</v>
      </c>
      <c r="M776" s="28"/>
    </row>
    <row r="777" spans="1:13" x14ac:dyDescent="0.3">
      <c r="A777" s="49">
        <v>45923</v>
      </c>
      <c r="B777" s="49">
        <v>45923</v>
      </c>
      <c r="C777" s="50">
        <v>0</v>
      </c>
      <c r="D777" s="50">
        <v>112.5</v>
      </c>
      <c r="E777" s="50"/>
      <c r="F777" s="50" t="s">
        <v>17</v>
      </c>
      <c r="G777" s="24">
        <v>0.85</v>
      </c>
      <c r="H777" s="50" t="s">
        <v>17</v>
      </c>
      <c r="I777" s="50" t="s">
        <v>1779</v>
      </c>
      <c r="J777" s="50"/>
      <c r="K777" s="50" t="s">
        <v>518</v>
      </c>
      <c r="L777" s="50" t="s">
        <v>2482</v>
      </c>
      <c r="M777" s="50"/>
    </row>
    <row r="778" spans="1:13" x14ac:dyDescent="0.3">
      <c r="A778" s="27">
        <v>45923</v>
      </c>
      <c r="B778" s="27">
        <v>45923</v>
      </c>
      <c r="C778" s="28">
        <v>74.92</v>
      </c>
      <c r="D778" s="28">
        <v>0</v>
      </c>
      <c r="E778" s="28"/>
      <c r="F778" s="28" t="s">
        <v>4</v>
      </c>
      <c r="G778" s="24">
        <v>0.97</v>
      </c>
      <c r="H778" s="28" t="s">
        <v>49</v>
      </c>
      <c r="I778" s="28" t="s">
        <v>1779</v>
      </c>
      <c r="J778" s="28"/>
      <c r="K778" s="28" t="s">
        <v>50</v>
      </c>
      <c r="L778" s="28" t="s">
        <v>2482</v>
      </c>
      <c r="M778" s="28"/>
    </row>
    <row r="779" spans="1:13" x14ac:dyDescent="0.3">
      <c r="A779" s="25">
        <v>45923</v>
      </c>
      <c r="B779" s="25">
        <v>45923</v>
      </c>
      <c r="C779" s="26">
        <v>0</v>
      </c>
      <c r="D779" s="26">
        <v>5999.63</v>
      </c>
      <c r="E779" s="26"/>
      <c r="F779" s="26" t="s">
        <v>3</v>
      </c>
      <c r="G779" s="24">
        <v>0.93</v>
      </c>
      <c r="H779" s="26" t="s">
        <v>49</v>
      </c>
      <c r="I779" s="26" t="s">
        <v>1779</v>
      </c>
      <c r="J779" s="26"/>
      <c r="K779" s="26" t="s">
        <v>515</v>
      </c>
      <c r="L779" s="26" t="s">
        <v>2482</v>
      </c>
      <c r="M779" s="26"/>
    </row>
    <row r="780" spans="1:13" x14ac:dyDescent="0.3">
      <c r="A780" s="27">
        <v>45924</v>
      </c>
      <c r="B780" s="27">
        <v>45924</v>
      </c>
      <c r="C780" s="28">
        <v>897.38</v>
      </c>
      <c r="D780" s="28">
        <v>0</v>
      </c>
      <c r="E780" s="28"/>
      <c r="F780" s="28" t="s">
        <v>4</v>
      </c>
      <c r="G780" s="24">
        <v>0.97</v>
      </c>
      <c r="H780" s="28" t="s">
        <v>49</v>
      </c>
      <c r="I780" s="28" t="s">
        <v>1779</v>
      </c>
      <c r="J780" s="28"/>
      <c r="K780" s="28" t="s">
        <v>50</v>
      </c>
      <c r="L780" s="28" t="s">
        <v>2482</v>
      </c>
      <c r="M780" s="28"/>
    </row>
    <row r="781" spans="1:13" x14ac:dyDescent="0.3">
      <c r="A781" s="27">
        <v>45924</v>
      </c>
      <c r="B781" s="27">
        <v>45924</v>
      </c>
      <c r="C781" s="28">
        <v>66.010000000000005</v>
      </c>
      <c r="D781" s="28">
        <v>0</v>
      </c>
      <c r="E781" s="28"/>
      <c r="F781" s="28" t="s">
        <v>4</v>
      </c>
      <c r="G781" s="24">
        <v>0.97</v>
      </c>
      <c r="H781" s="28" t="s">
        <v>49</v>
      </c>
      <c r="I781" s="28" t="s">
        <v>1779</v>
      </c>
      <c r="J781" s="28"/>
      <c r="K781" s="28" t="s">
        <v>50</v>
      </c>
      <c r="L781" s="28" t="s">
        <v>2482</v>
      </c>
      <c r="M781" s="28"/>
    </row>
    <row r="782" spans="1:13" x14ac:dyDescent="0.3">
      <c r="A782" s="101">
        <v>45924</v>
      </c>
      <c r="B782" s="101">
        <v>45924</v>
      </c>
      <c r="C782" s="102">
        <v>1500</v>
      </c>
      <c r="D782" s="102">
        <v>0</v>
      </c>
      <c r="E782" s="102"/>
      <c r="F782" s="102" t="s">
        <v>976</v>
      </c>
      <c r="G782" s="24">
        <v>0.85</v>
      </c>
      <c r="H782" s="102" t="s">
        <v>1028</v>
      </c>
      <c r="I782" s="102" t="s">
        <v>1680</v>
      </c>
      <c r="J782" s="102"/>
      <c r="K782" s="102" t="s">
        <v>1219</v>
      </c>
      <c r="L782" s="102" t="s">
        <v>2484</v>
      </c>
      <c r="M782" s="102" t="s">
        <v>2485</v>
      </c>
    </row>
    <row r="783" spans="1:13" x14ac:dyDescent="0.3">
      <c r="A783" s="101">
        <v>45924</v>
      </c>
      <c r="B783" s="101">
        <v>45924</v>
      </c>
      <c r="C783" s="102">
        <v>1500</v>
      </c>
      <c r="D783" s="102">
        <v>0</v>
      </c>
      <c r="E783" s="102"/>
      <c r="F783" s="102" t="s">
        <v>976</v>
      </c>
      <c r="G783" s="24">
        <v>0.85</v>
      </c>
      <c r="H783" s="102" t="s">
        <v>1028</v>
      </c>
      <c r="I783" s="102" t="s">
        <v>1680</v>
      </c>
      <c r="J783" s="102"/>
      <c r="K783" s="102" t="s">
        <v>1217</v>
      </c>
      <c r="L783" s="102" t="s">
        <v>2484</v>
      </c>
      <c r="M783" s="102" t="s">
        <v>2485</v>
      </c>
    </row>
    <row r="784" spans="1:13" x14ac:dyDescent="0.3">
      <c r="A784" s="103">
        <v>45924</v>
      </c>
      <c r="B784" s="103">
        <v>45924</v>
      </c>
      <c r="C784" s="104">
        <v>52</v>
      </c>
      <c r="D784" s="104">
        <v>0</v>
      </c>
      <c r="E784" s="104"/>
      <c r="F784" s="104" t="s">
        <v>983</v>
      </c>
      <c r="G784" s="40">
        <v>0.82</v>
      </c>
      <c r="H784" s="104" t="s">
        <v>131</v>
      </c>
      <c r="I784" s="104" t="s">
        <v>1680</v>
      </c>
      <c r="J784" s="104"/>
      <c r="K784" s="104" t="s">
        <v>1218</v>
      </c>
      <c r="L784" s="104" t="s">
        <v>2484</v>
      </c>
      <c r="M784" s="104"/>
    </row>
    <row r="785" spans="1:13" x14ac:dyDescent="0.3">
      <c r="A785" s="55">
        <v>45925</v>
      </c>
      <c r="B785" s="55">
        <v>45925</v>
      </c>
      <c r="C785" s="56">
        <v>0</v>
      </c>
      <c r="D785" s="56">
        <v>135</v>
      </c>
      <c r="E785" s="56"/>
      <c r="F785" s="56" t="s">
        <v>22</v>
      </c>
      <c r="G785" s="24">
        <v>0.9</v>
      </c>
      <c r="H785" s="56" t="s">
        <v>22</v>
      </c>
      <c r="I785" s="56" t="s">
        <v>837</v>
      </c>
      <c r="J785" s="56"/>
      <c r="K785" s="56" t="s">
        <v>1718</v>
      </c>
      <c r="L785" s="56" t="s">
        <v>2486</v>
      </c>
      <c r="M785" s="56"/>
    </row>
    <row r="786" spans="1:13" x14ac:dyDescent="0.3">
      <c r="A786" s="27">
        <v>45925</v>
      </c>
      <c r="B786" s="27">
        <v>45925</v>
      </c>
      <c r="C786" s="28">
        <v>68.14</v>
      </c>
      <c r="D786" s="28">
        <v>0</v>
      </c>
      <c r="E786" s="28"/>
      <c r="F786" s="28" t="s">
        <v>4</v>
      </c>
      <c r="G786" s="24">
        <v>0.97</v>
      </c>
      <c r="H786" s="28" t="s">
        <v>49</v>
      </c>
      <c r="I786" s="28" t="s">
        <v>1779</v>
      </c>
      <c r="J786" s="28"/>
      <c r="K786" s="28" t="s">
        <v>50</v>
      </c>
      <c r="L786" s="28" t="s">
        <v>2482</v>
      </c>
      <c r="M786" s="28"/>
    </row>
    <row r="787" spans="1:13" x14ac:dyDescent="0.3">
      <c r="A787" s="27">
        <v>45925</v>
      </c>
      <c r="B787" s="27">
        <v>45925</v>
      </c>
      <c r="C787" s="28">
        <v>2325.06</v>
      </c>
      <c r="D787" s="28">
        <v>0</v>
      </c>
      <c r="E787" s="28"/>
      <c r="F787" s="28" t="s">
        <v>4</v>
      </c>
      <c r="G787" s="24">
        <v>0.97</v>
      </c>
      <c r="H787" s="28" t="s">
        <v>49</v>
      </c>
      <c r="I787" s="28" t="s">
        <v>1779</v>
      </c>
      <c r="J787" s="28"/>
      <c r="K787" s="28" t="s">
        <v>50</v>
      </c>
      <c r="L787" s="28" t="s">
        <v>2482</v>
      </c>
      <c r="M787" s="28"/>
    </row>
    <row r="788" spans="1:13" x14ac:dyDescent="0.3">
      <c r="A788" s="101">
        <v>45925</v>
      </c>
      <c r="B788" s="101">
        <v>45925</v>
      </c>
      <c r="C788" s="102">
        <v>1500</v>
      </c>
      <c r="D788" s="102">
        <v>0</v>
      </c>
      <c r="E788" s="102"/>
      <c r="F788" s="102" t="s">
        <v>976</v>
      </c>
      <c r="G788" s="24">
        <v>0.85</v>
      </c>
      <c r="H788" s="102" t="s">
        <v>1028</v>
      </c>
      <c r="I788" s="102" t="s">
        <v>1680</v>
      </c>
      <c r="J788" s="102"/>
      <c r="K788" s="102" t="s">
        <v>1220</v>
      </c>
      <c r="L788" s="102" t="s">
        <v>2484</v>
      </c>
      <c r="M788" s="102"/>
    </row>
    <row r="789" spans="1:13" x14ac:dyDescent="0.3">
      <c r="A789" s="49">
        <v>45925.640138888892</v>
      </c>
      <c r="B789" s="49">
        <v>45925</v>
      </c>
      <c r="C789" s="50">
        <v>0</v>
      </c>
      <c r="D789" s="50">
        <v>30</v>
      </c>
      <c r="E789" s="50"/>
      <c r="F789" s="50" t="s">
        <v>17</v>
      </c>
      <c r="G789" s="24">
        <v>0.93</v>
      </c>
      <c r="H789" s="50" t="s">
        <v>17</v>
      </c>
      <c r="I789" s="50" t="s">
        <v>1019</v>
      </c>
      <c r="J789" s="50"/>
      <c r="K789" s="50" t="s">
        <v>2293</v>
      </c>
      <c r="L789" s="50" t="s">
        <v>2483</v>
      </c>
      <c r="M789" s="50"/>
    </row>
    <row r="790" spans="1:13" x14ac:dyDescent="0.3">
      <c r="A790" s="27">
        <v>45926</v>
      </c>
      <c r="B790" s="27">
        <v>45926</v>
      </c>
      <c r="C790" s="28">
        <v>15304.83</v>
      </c>
      <c r="D790" s="28">
        <v>0</v>
      </c>
      <c r="E790" s="28"/>
      <c r="F790" s="28" t="s">
        <v>4</v>
      </c>
      <c r="G790" s="24">
        <v>0.97</v>
      </c>
      <c r="H790" s="28" t="s">
        <v>49</v>
      </c>
      <c r="I790" s="28" t="s">
        <v>1779</v>
      </c>
      <c r="J790" s="28"/>
      <c r="K790" s="28" t="s">
        <v>50</v>
      </c>
      <c r="L790" s="28" t="s">
        <v>2482</v>
      </c>
      <c r="M790" s="28"/>
    </row>
    <row r="791" spans="1:13" x14ac:dyDescent="0.3">
      <c r="A791" s="22">
        <v>45926</v>
      </c>
      <c r="B791" s="22">
        <v>45926</v>
      </c>
      <c r="C791" s="23">
        <v>15000</v>
      </c>
      <c r="D791" s="23">
        <v>0</v>
      </c>
      <c r="E791" s="23"/>
      <c r="F791" s="23" t="s">
        <v>1667</v>
      </c>
      <c r="G791" s="24">
        <v>0.88</v>
      </c>
      <c r="H791" s="23" t="s">
        <v>1735</v>
      </c>
      <c r="I791" s="23" t="s">
        <v>837</v>
      </c>
      <c r="J791" s="23"/>
      <c r="K791" s="23" t="s">
        <v>1734</v>
      </c>
      <c r="L791" s="23" t="s">
        <v>2486</v>
      </c>
      <c r="M791" s="23"/>
    </row>
    <row r="792" spans="1:13" x14ac:dyDescent="0.3">
      <c r="A792" s="27">
        <v>45926</v>
      </c>
      <c r="B792" s="27">
        <v>45926</v>
      </c>
      <c r="C792" s="28">
        <v>67.31</v>
      </c>
      <c r="D792" s="28">
        <v>0</v>
      </c>
      <c r="E792" s="28"/>
      <c r="F792" s="28" t="s">
        <v>4</v>
      </c>
      <c r="G792" s="24">
        <v>0.97</v>
      </c>
      <c r="H792" s="28" t="s">
        <v>49</v>
      </c>
      <c r="I792" s="28" t="s">
        <v>1779</v>
      </c>
      <c r="J792" s="28"/>
      <c r="K792" s="28" t="s">
        <v>50</v>
      </c>
      <c r="L792" s="28" t="s">
        <v>2482</v>
      </c>
      <c r="M792" s="28"/>
    </row>
    <row r="793" spans="1:13" x14ac:dyDescent="0.3">
      <c r="A793" s="89">
        <v>45926</v>
      </c>
      <c r="B793" s="89">
        <v>45926</v>
      </c>
      <c r="C793" s="90">
        <v>396</v>
      </c>
      <c r="D793" s="90">
        <v>0</v>
      </c>
      <c r="E793" s="90" t="s">
        <v>1222</v>
      </c>
      <c r="F793" s="90" t="s">
        <v>975</v>
      </c>
      <c r="G793" s="39">
        <v>0.55000000000000004</v>
      </c>
      <c r="H793" s="90" t="s">
        <v>91</v>
      </c>
      <c r="I793" s="90" t="s">
        <v>1680</v>
      </c>
      <c r="J793" s="90"/>
      <c r="K793" s="90" t="s">
        <v>1221</v>
      </c>
      <c r="L793" s="90" t="s">
        <v>2484</v>
      </c>
      <c r="M793" s="90"/>
    </row>
    <row r="794" spans="1:13" x14ac:dyDescent="0.3">
      <c r="A794" s="25">
        <v>45926</v>
      </c>
      <c r="B794" s="25">
        <v>45926</v>
      </c>
      <c r="C794" s="26">
        <v>0</v>
      </c>
      <c r="D794" s="26">
        <v>52800.160000000003</v>
      </c>
      <c r="E794" s="26"/>
      <c r="F794" s="26" t="s">
        <v>3</v>
      </c>
      <c r="G794" s="24">
        <v>0.93</v>
      </c>
      <c r="H794" s="26" t="s">
        <v>49</v>
      </c>
      <c r="I794" s="26" t="s">
        <v>1779</v>
      </c>
      <c r="J794" s="26"/>
      <c r="K794" s="26" t="s">
        <v>525</v>
      </c>
      <c r="L794" s="26" t="s">
        <v>2482</v>
      </c>
      <c r="M794" s="26"/>
    </row>
    <row r="795" spans="1:13" x14ac:dyDescent="0.3">
      <c r="A795" s="101">
        <v>45927</v>
      </c>
      <c r="B795" s="101">
        <v>45927</v>
      </c>
      <c r="C795" s="102">
        <v>1500</v>
      </c>
      <c r="D795" s="102">
        <v>0</v>
      </c>
      <c r="E795" s="102"/>
      <c r="F795" s="102" t="s">
        <v>976</v>
      </c>
      <c r="G795" s="24">
        <v>0.85</v>
      </c>
      <c r="H795" s="102" t="s">
        <v>1028</v>
      </c>
      <c r="I795" s="102" t="s">
        <v>1680</v>
      </c>
      <c r="J795" s="102"/>
      <c r="K795" s="102" t="s">
        <v>1223</v>
      </c>
      <c r="L795" s="102" t="s">
        <v>2484</v>
      </c>
      <c r="M795" s="102" t="s">
        <v>2485</v>
      </c>
    </row>
    <row r="796" spans="1:13" x14ac:dyDescent="0.3">
      <c r="A796" s="101">
        <v>45927</v>
      </c>
      <c r="B796" s="101">
        <v>45927</v>
      </c>
      <c r="C796" s="102">
        <v>1500</v>
      </c>
      <c r="D796" s="102">
        <v>0</v>
      </c>
      <c r="E796" s="102"/>
      <c r="F796" s="102" t="s">
        <v>976</v>
      </c>
      <c r="G796" s="24">
        <v>0.85</v>
      </c>
      <c r="H796" s="102" t="s">
        <v>1028</v>
      </c>
      <c r="I796" s="102" t="s">
        <v>1680</v>
      </c>
      <c r="J796" s="102"/>
      <c r="K796" s="102" t="s">
        <v>1224</v>
      </c>
      <c r="L796" s="102" t="s">
        <v>2484</v>
      </c>
      <c r="M796" s="102" t="s">
        <v>2485</v>
      </c>
    </row>
    <row r="797" spans="1:13" x14ac:dyDescent="0.3">
      <c r="A797" s="83">
        <v>45928</v>
      </c>
      <c r="B797" s="83">
        <v>45928</v>
      </c>
      <c r="C797" s="84">
        <v>2583.6</v>
      </c>
      <c r="D797" s="84">
        <v>0</v>
      </c>
      <c r="E797" s="84"/>
      <c r="F797" s="84" t="s">
        <v>973</v>
      </c>
      <c r="G797" s="40">
        <v>0.68</v>
      </c>
      <c r="H797" s="84" t="s">
        <v>1014</v>
      </c>
      <c r="I797" s="84" t="s">
        <v>1680</v>
      </c>
      <c r="J797" s="84"/>
      <c r="K797" s="84" t="s">
        <v>1227</v>
      </c>
      <c r="L797" s="84" t="s">
        <v>2484</v>
      </c>
      <c r="M797" s="84"/>
    </row>
    <row r="798" spans="1:13" x14ac:dyDescent="0.3">
      <c r="A798" s="89">
        <v>45928</v>
      </c>
      <c r="B798" s="89">
        <v>45928</v>
      </c>
      <c r="C798" s="90">
        <v>164</v>
      </c>
      <c r="D798" s="90">
        <v>0</v>
      </c>
      <c r="E798" s="90" t="s">
        <v>1226</v>
      </c>
      <c r="F798" s="90" t="s">
        <v>975</v>
      </c>
      <c r="G798" s="39">
        <v>0.55000000000000004</v>
      </c>
      <c r="H798" s="90" t="s">
        <v>91</v>
      </c>
      <c r="I798" s="90" t="s">
        <v>1680</v>
      </c>
      <c r="J798" s="90"/>
      <c r="K798" s="90" t="s">
        <v>1225</v>
      </c>
      <c r="L798" s="90" t="s">
        <v>2484</v>
      </c>
      <c r="M798" s="90"/>
    </row>
    <row r="799" spans="1:13" x14ac:dyDescent="0.3">
      <c r="A799" s="22">
        <v>45928.299409722233</v>
      </c>
      <c r="B799" s="22">
        <v>45928</v>
      </c>
      <c r="C799" s="23">
        <v>7000</v>
      </c>
      <c r="D799" s="23">
        <v>0</v>
      </c>
      <c r="E799" s="23"/>
      <c r="F799" s="23" t="s">
        <v>2</v>
      </c>
      <c r="G799" s="24">
        <v>0.96</v>
      </c>
      <c r="H799" s="23" t="s">
        <v>2</v>
      </c>
      <c r="I799" s="23" t="s">
        <v>1019</v>
      </c>
      <c r="J799" s="23"/>
      <c r="K799" s="23" t="s">
        <v>2295</v>
      </c>
      <c r="L799" s="23" t="s">
        <v>2483</v>
      </c>
      <c r="M799" s="23"/>
    </row>
    <row r="800" spans="1:13" x14ac:dyDescent="0.3">
      <c r="A800" s="37">
        <v>45928.690486111111</v>
      </c>
      <c r="B800" s="37">
        <v>45928</v>
      </c>
      <c r="C800" s="38">
        <v>0</v>
      </c>
      <c r="D800" s="38">
        <v>999.99</v>
      </c>
      <c r="E800" s="38"/>
      <c r="F800" s="38" t="s">
        <v>1821</v>
      </c>
      <c r="G800" s="39">
        <v>0.55000000000000004</v>
      </c>
      <c r="H800" s="38" t="s">
        <v>91</v>
      </c>
      <c r="I800" s="38" t="s">
        <v>1019</v>
      </c>
      <c r="J800" s="38"/>
      <c r="K800" s="38" t="s">
        <v>2297</v>
      </c>
      <c r="L800" s="38" t="s">
        <v>2483</v>
      </c>
      <c r="M800" s="38"/>
    </row>
    <row r="801" spans="1:13" x14ac:dyDescent="0.3">
      <c r="A801" s="25">
        <v>45929</v>
      </c>
      <c r="B801" s="25">
        <v>45929</v>
      </c>
      <c r="C801" s="26">
        <v>0</v>
      </c>
      <c r="D801" s="26">
        <v>92107.53</v>
      </c>
      <c r="E801" s="26"/>
      <c r="F801" s="26" t="s">
        <v>3</v>
      </c>
      <c r="G801" s="24">
        <v>0.93</v>
      </c>
      <c r="H801" s="26" t="s">
        <v>49</v>
      </c>
      <c r="I801" s="26" t="s">
        <v>1779</v>
      </c>
      <c r="J801" s="26"/>
      <c r="K801" s="26" t="s">
        <v>529</v>
      </c>
      <c r="L801" s="26" t="s">
        <v>2482</v>
      </c>
      <c r="M801" s="26"/>
    </row>
    <row r="802" spans="1:13" x14ac:dyDescent="0.3">
      <c r="A802" s="51">
        <v>45929</v>
      </c>
      <c r="B802" s="51">
        <v>45929</v>
      </c>
      <c r="C802" s="52">
        <v>25000</v>
      </c>
      <c r="D802" s="52">
        <v>0</v>
      </c>
      <c r="E802" s="52"/>
      <c r="F802" s="52" t="s">
        <v>18</v>
      </c>
      <c r="G802" s="24">
        <v>0.85</v>
      </c>
      <c r="H802" s="52" t="s">
        <v>181</v>
      </c>
      <c r="I802" s="52" t="s">
        <v>1779</v>
      </c>
      <c r="J802" s="52"/>
      <c r="K802" s="52" t="s">
        <v>531</v>
      </c>
      <c r="L802" s="52" t="s">
        <v>2482</v>
      </c>
      <c r="M802" s="52"/>
    </row>
    <row r="803" spans="1:13" x14ac:dyDescent="0.3">
      <c r="A803" s="22">
        <v>45929</v>
      </c>
      <c r="B803" s="22">
        <v>45929</v>
      </c>
      <c r="C803" s="23">
        <v>5000</v>
      </c>
      <c r="D803" s="23">
        <v>0</v>
      </c>
      <c r="E803" s="23"/>
      <c r="F803" s="23" t="s">
        <v>2</v>
      </c>
      <c r="G803" s="24">
        <v>0.95</v>
      </c>
      <c r="H803" s="23" t="s">
        <v>2</v>
      </c>
      <c r="I803" s="23" t="s">
        <v>1779</v>
      </c>
      <c r="J803" s="23"/>
      <c r="K803" s="23" t="s">
        <v>533</v>
      </c>
      <c r="L803" s="23" t="s">
        <v>2482</v>
      </c>
      <c r="M803" s="23"/>
    </row>
    <row r="804" spans="1:13" x14ac:dyDescent="0.3">
      <c r="A804" s="27">
        <v>45929</v>
      </c>
      <c r="B804" s="27">
        <v>45929</v>
      </c>
      <c r="C804" s="28">
        <v>185.58</v>
      </c>
      <c r="D804" s="28">
        <v>0</v>
      </c>
      <c r="E804" s="28"/>
      <c r="F804" s="28" t="s">
        <v>4</v>
      </c>
      <c r="G804" s="24">
        <v>0.97</v>
      </c>
      <c r="H804" s="28" t="s">
        <v>49</v>
      </c>
      <c r="I804" s="28" t="s">
        <v>1779</v>
      </c>
      <c r="J804" s="28"/>
      <c r="K804" s="28" t="s">
        <v>50</v>
      </c>
      <c r="L804" s="28" t="s">
        <v>2482</v>
      </c>
      <c r="M804" s="28"/>
    </row>
    <row r="805" spans="1:13" x14ac:dyDescent="0.3">
      <c r="A805" s="27">
        <v>45929</v>
      </c>
      <c r="B805" s="27">
        <v>45929</v>
      </c>
      <c r="C805" s="28">
        <v>28087.66</v>
      </c>
      <c r="D805" s="28">
        <v>0</v>
      </c>
      <c r="E805" s="28"/>
      <c r="F805" s="28" t="s">
        <v>4</v>
      </c>
      <c r="G805" s="24">
        <v>0.97</v>
      </c>
      <c r="H805" s="28" t="s">
        <v>49</v>
      </c>
      <c r="I805" s="28" t="s">
        <v>1779</v>
      </c>
      <c r="J805" s="28"/>
      <c r="K805" s="28" t="s">
        <v>50</v>
      </c>
      <c r="L805" s="28" t="s">
        <v>2482</v>
      </c>
      <c r="M805" s="28"/>
    </row>
    <row r="806" spans="1:13" x14ac:dyDescent="0.3">
      <c r="A806" s="27">
        <v>45929</v>
      </c>
      <c r="B806" s="27">
        <v>45929</v>
      </c>
      <c r="C806" s="28">
        <v>8404.8700000000008</v>
      </c>
      <c r="D806" s="28">
        <v>0</v>
      </c>
      <c r="E806" s="28"/>
      <c r="F806" s="28" t="s">
        <v>4</v>
      </c>
      <c r="G806" s="24">
        <v>0.97</v>
      </c>
      <c r="H806" s="28" t="s">
        <v>49</v>
      </c>
      <c r="I806" s="28" t="s">
        <v>1779</v>
      </c>
      <c r="J806" s="28"/>
      <c r="K806" s="28" t="s">
        <v>50</v>
      </c>
      <c r="L806" s="28" t="s">
        <v>2482</v>
      </c>
      <c r="M806" s="28"/>
    </row>
    <row r="807" spans="1:13" x14ac:dyDescent="0.3">
      <c r="A807" s="101">
        <v>45929</v>
      </c>
      <c r="B807" s="101">
        <v>45929</v>
      </c>
      <c r="C807" s="102">
        <v>1500</v>
      </c>
      <c r="D807" s="102">
        <v>0</v>
      </c>
      <c r="E807" s="102"/>
      <c r="F807" s="102" t="s">
        <v>976</v>
      </c>
      <c r="G807" s="24">
        <v>0.85</v>
      </c>
      <c r="H807" s="102" t="s">
        <v>1028</v>
      </c>
      <c r="I807" s="102" t="s">
        <v>1680</v>
      </c>
      <c r="J807" s="102"/>
      <c r="K807" s="102" t="s">
        <v>1228</v>
      </c>
      <c r="L807" s="102" t="s">
        <v>2484</v>
      </c>
      <c r="M807" s="102"/>
    </row>
    <row r="808" spans="1:13" x14ac:dyDescent="0.3">
      <c r="A808" s="99">
        <v>45930</v>
      </c>
      <c r="B808" s="99">
        <v>45930</v>
      </c>
      <c r="C808" s="100">
        <v>360</v>
      </c>
      <c r="D808" s="100">
        <v>0</v>
      </c>
      <c r="E808" s="100"/>
      <c r="F808" s="100" t="s">
        <v>989</v>
      </c>
      <c r="G808" s="40">
        <v>0.75</v>
      </c>
      <c r="H808" s="100" t="s">
        <v>1053</v>
      </c>
      <c r="I808" s="100" t="s">
        <v>1680</v>
      </c>
      <c r="J808" s="100"/>
      <c r="K808" s="100" t="s">
        <v>1230</v>
      </c>
      <c r="L808" s="100" t="s">
        <v>2484</v>
      </c>
      <c r="M808" s="100"/>
    </row>
    <row r="809" spans="1:13" x14ac:dyDescent="0.3">
      <c r="A809" s="27">
        <v>45930</v>
      </c>
      <c r="B809" s="27">
        <v>45930</v>
      </c>
      <c r="C809" s="28">
        <v>574.41</v>
      </c>
      <c r="D809" s="28">
        <v>0</v>
      </c>
      <c r="E809" s="28"/>
      <c r="F809" s="28" t="s">
        <v>4</v>
      </c>
      <c r="G809" s="24">
        <v>0.97</v>
      </c>
      <c r="H809" s="28" t="s">
        <v>49</v>
      </c>
      <c r="I809" s="28" t="s">
        <v>1779</v>
      </c>
      <c r="J809" s="28"/>
      <c r="K809" s="28" t="s">
        <v>50</v>
      </c>
      <c r="L809" s="28" t="s">
        <v>2482</v>
      </c>
      <c r="M809" s="28"/>
    </row>
    <row r="810" spans="1:13" x14ac:dyDescent="0.3">
      <c r="A810" s="27">
        <v>45930</v>
      </c>
      <c r="B810" s="27">
        <v>45930</v>
      </c>
      <c r="C810" s="28">
        <v>37698.99</v>
      </c>
      <c r="D810" s="28">
        <v>0</v>
      </c>
      <c r="E810" s="28"/>
      <c r="F810" s="28" t="s">
        <v>4</v>
      </c>
      <c r="G810" s="24">
        <v>0.97</v>
      </c>
      <c r="H810" s="28" t="s">
        <v>49</v>
      </c>
      <c r="I810" s="28" t="s">
        <v>1779</v>
      </c>
      <c r="J810" s="28"/>
      <c r="K810" s="28" t="s">
        <v>50</v>
      </c>
      <c r="L810" s="28" t="s">
        <v>2482</v>
      </c>
      <c r="M810" s="28"/>
    </row>
    <row r="811" spans="1:13" x14ac:dyDescent="0.3">
      <c r="A811" s="27">
        <v>45930</v>
      </c>
      <c r="B811" s="27">
        <v>45930</v>
      </c>
      <c r="C811" s="28">
        <v>61.37</v>
      </c>
      <c r="D811" s="28">
        <v>0</v>
      </c>
      <c r="E811" s="28"/>
      <c r="F811" s="28" t="s">
        <v>4</v>
      </c>
      <c r="G811" s="24">
        <v>0.97</v>
      </c>
      <c r="H811" s="28" t="s">
        <v>49</v>
      </c>
      <c r="I811" s="28" t="s">
        <v>1779</v>
      </c>
      <c r="J811" s="28"/>
      <c r="K811" s="28" t="s">
        <v>50</v>
      </c>
      <c r="L811" s="28" t="s">
        <v>2482</v>
      </c>
      <c r="M811" s="28"/>
    </row>
    <row r="812" spans="1:13" x14ac:dyDescent="0.3">
      <c r="A812" s="22">
        <v>45930</v>
      </c>
      <c r="B812" s="22">
        <v>45930</v>
      </c>
      <c r="C812" s="23">
        <v>5000</v>
      </c>
      <c r="D812" s="23">
        <v>0</v>
      </c>
      <c r="E812" s="23"/>
      <c r="F812" s="23" t="s">
        <v>2</v>
      </c>
      <c r="G812" s="24">
        <v>0.95</v>
      </c>
      <c r="H812" s="23" t="s">
        <v>2</v>
      </c>
      <c r="I812" s="23" t="s">
        <v>1779</v>
      </c>
      <c r="J812" s="23"/>
      <c r="K812" s="23" t="s">
        <v>538</v>
      </c>
      <c r="L812" s="23" t="s">
        <v>2482</v>
      </c>
      <c r="M812" s="23"/>
    </row>
    <row r="813" spans="1:13" x14ac:dyDescent="0.3">
      <c r="A813" s="101">
        <v>45930</v>
      </c>
      <c r="B813" s="101">
        <v>45930</v>
      </c>
      <c r="C813" s="102">
        <v>1500</v>
      </c>
      <c r="D813" s="102">
        <v>0</v>
      </c>
      <c r="E813" s="102"/>
      <c r="F813" s="102" t="s">
        <v>976</v>
      </c>
      <c r="G813" s="24">
        <v>0.85</v>
      </c>
      <c r="H813" s="102" t="s">
        <v>1028</v>
      </c>
      <c r="I813" s="102" t="s">
        <v>1680</v>
      </c>
      <c r="J813" s="102"/>
      <c r="K813" s="102" t="s">
        <v>1229</v>
      </c>
      <c r="L813" s="102" t="s">
        <v>2484</v>
      </c>
      <c r="M813" s="102"/>
    </row>
    <row r="814" spans="1:13" x14ac:dyDescent="0.3">
      <c r="A814" s="78">
        <v>45931</v>
      </c>
      <c r="B814" s="78">
        <v>45931</v>
      </c>
      <c r="C814" s="79">
        <v>0</v>
      </c>
      <c r="D814" s="79">
        <v>98705</v>
      </c>
      <c r="E814" s="79"/>
      <c r="F814" s="79" t="s">
        <v>972</v>
      </c>
      <c r="G814" s="24">
        <v>0.97</v>
      </c>
      <c r="H814" s="79" t="s">
        <v>972</v>
      </c>
      <c r="I814" s="79" t="s">
        <v>1680</v>
      </c>
      <c r="J814" s="79"/>
      <c r="K814" s="79" t="s">
        <v>1232</v>
      </c>
      <c r="L814" s="79" t="s">
        <v>2484</v>
      </c>
      <c r="M814" s="79"/>
    </row>
    <row r="815" spans="1:13" x14ac:dyDescent="0.3">
      <c r="A815" s="49">
        <v>45931</v>
      </c>
      <c r="B815" s="49">
        <v>45931</v>
      </c>
      <c r="C815" s="50">
        <v>0</v>
      </c>
      <c r="D815" s="50">
        <v>25</v>
      </c>
      <c r="E815" s="50"/>
      <c r="F815" s="50" t="s">
        <v>17</v>
      </c>
      <c r="G815" s="24">
        <v>0.88</v>
      </c>
      <c r="H815" s="50" t="s">
        <v>17</v>
      </c>
      <c r="I815" s="50" t="s">
        <v>1779</v>
      </c>
      <c r="J815" s="50"/>
      <c r="K815" s="50" t="s">
        <v>545</v>
      </c>
      <c r="L815" s="50" t="s">
        <v>2482</v>
      </c>
      <c r="M815" s="50"/>
    </row>
    <row r="816" spans="1:13" x14ac:dyDescent="0.3">
      <c r="A816" s="55">
        <v>45931</v>
      </c>
      <c r="B816" s="55">
        <v>45930</v>
      </c>
      <c r="C816" s="56">
        <v>0</v>
      </c>
      <c r="D816" s="56">
        <v>208</v>
      </c>
      <c r="E816" s="56"/>
      <c r="F816" s="56" t="s">
        <v>22</v>
      </c>
      <c r="G816" s="24">
        <v>0.95</v>
      </c>
      <c r="H816" s="56" t="s">
        <v>22</v>
      </c>
      <c r="I816" s="56" t="s">
        <v>1779</v>
      </c>
      <c r="J816" s="56"/>
      <c r="K816" s="56" t="s">
        <v>543</v>
      </c>
      <c r="L816" s="56" t="s">
        <v>2482</v>
      </c>
      <c r="M816" s="56"/>
    </row>
    <row r="817" spans="1:13" x14ac:dyDescent="0.3">
      <c r="A817" s="27">
        <v>45931</v>
      </c>
      <c r="B817" s="27">
        <v>45931</v>
      </c>
      <c r="C817" s="28">
        <v>65.52</v>
      </c>
      <c r="D817" s="28">
        <v>0</v>
      </c>
      <c r="E817" s="28"/>
      <c r="F817" s="28" t="s">
        <v>4</v>
      </c>
      <c r="G817" s="24">
        <v>0.97</v>
      </c>
      <c r="H817" s="28" t="s">
        <v>49</v>
      </c>
      <c r="I817" s="28" t="s">
        <v>1779</v>
      </c>
      <c r="J817" s="28"/>
      <c r="K817" s="28" t="s">
        <v>50</v>
      </c>
      <c r="L817" s="28" t="s">
        <v>2482</v>
      </c>
      <c r="M817" s="28"/>
    </row>
    <row r="818" spans="1:13" x14ac:dyDescent="0.3">
      <c r="A818" s="55">
        <v>45931</v>
      </c>
      <c r="B818" s="55">
        <v>45931</v>
      </c>
      <c r="C818" s="56">
        <v>0</v>
      </c>
      <c r="D818" s="56">
        <v>480</v>
      </c>
      <c r="E818" s="56"/>
      <c r="F818" s="56" t="s">
        <v>22</v>
      </c>
      <c r="G818" s="24">
        <v>0.93</v>
      </c>
      <c r="H818" s="56" t="s">
        <v>22</v>
      </c>
      <c r="I818" s="56" t="s">
        <v>1680</v>
      </c>
      <c r="J818" s="56"/>
      <c r="K818" s="56" t="s">
        <v>1233</v>
      </c>
      <c r="L818" s="56" t="s">
        <v>2484</v>
      </c>
      <c r="M818" s="56"/>
    </row>
    <row r="819" spans="1:13" x14ac:dyDescent="0.3">
      <c r="A819" s="101">
        <v>45931</v>
      </c>
      <c r="B819" s="101">
        <v>45931</v>
      </c>
      <c r="C819" s="102">
        <v>1500</v>
      </c>
      <c r="D819" s="102">
        <v>0</v>
      </c>
      <c r="E819" s="102"/>
      <c r="F819" s="102" t="s">
        <v>976</v>
      </c>
      <c r="G819" s="24">
        <v>0.85</v>
      </c>
      <c r="H819" s="102" t="s">
        <v>1028</v>
      </c>
      <c r="I819" s="102" t="s">
        <v>1680</v>
      </c>
      <c r="J819" s="102"/>
      <c r="K819" s="102" t="s">
        <v>1231</v>
      </c>
      <c r="L819" s="102" t="s">
        <v>2484</v>
      </c>
      <c r="M819" s="102"/>
    </row>
    <row r="820" spans="1:13" x14ac:dyDescent="0.3">
      <c r="A820" s="55">
        <v>45931.204317129632</v>
      </c>
      <c r="B820" s="55">
        <v>45930</v>
      </c>
      <c r="C820" s="56">
        <v>0</v>
      </c>
      <c r="D820" s="56">
        <v>114</v>
      </c>
      <c r="E820" s="56"/>
      <c r="F820" s="56" t="s">
        <v>22</v>
      </c>
      <c r="G820" s="24">
        <v>0.95</v>
      </c>
      <c r="H820" s="56" t="s">
        <v>22</v>
      </c>
      <c r="I820" s="56" t="s">
        <v>1019</v>
      </c>
      <c r="J820" s="56"/>
      <c r="K820" s="56" t="s">
        <v>2299</v>
      </c>
      <c r="L820" s="56" t="s">
        <v>2483</v>
      </c>
      <c r="M820" s="56"/>
    </row>
    <row r="821" spans="1:13" x14ac:dyDescent="0.3">
      <c r="A821" s="101">
        <v>45932</v>
      </c>
      <c r="B821" s="101">
        <v>45932</v>
      </c>
      <c r="C821" s="102">
        <v>1500</v>
      </c>
      <c r="D821" s="102">
        <v>0</v>
      </c>
      <c r="E821" s="102"/>
      <c r="F821" s="102" t="s">
        <v>976</v>
      </c>
      <c r="G821" s="24">
        <v>0.85</v>
      </c>
      <c r="H821" s="102" t="s">
        <v>1028</v>
      </c>
      <c r="I821" s="102" t="s">
        <v>1680</v>
      </c>
      <c r="J821" s="102"/>
      <c r="K821" s="102" t="s">
        <v>1234</v>
      </c>
      <c r="L821" s="102" t="s">
        <v>2484</v>
      </c>
      <c r="M821" s="102" t="s">
        <v>2485</v>
      </c>
    </row>
    <row r="822" spans="1:13" x14ac:dyDescent="0.3">
      <c r="A822" s="95">
        <v>45932</v>
      </c>
      <c r="B822" s="95">
        <v>45932</v>
      </c>
      <c r="C822" s="96">
        <v>23000</v>
      </c>
      <c r="D822" s="96">
        <v>0</v>
      </c>
      <c r="E822" s="96"/>
      <c r="F822" s="96" t="s">
        <v>990</v>
      </c>
      <c r="G822" s="24">
        <v>0.92</v>
      </c>
      <c r="H822" s="96" t="s">
        <v>990</v>
      </c>
      <c r="I822" s="96" t="s">
        <v>1680</v>
      </c>
      <c r="J822" s="96"/>
      <c r="K822" s="96" t="s">
        <v>1235</v>
      </c>
      <c r="L822" s="96" t="s">
        <v>2484</v>
      </c>
      <c r="M822" s="96"/>
    </row>
    <row r="823" spans="1:13" x14ac:dyDescent="0.3">
      <c r="A823" s="101">
        <v>45932</v>
      </c>
      <c r="B823" s="101">
        <v>45932</v>
      </c>
      <c r="C823" s="102">
        <v>1500</v>
      </c>
      <c r="D823" s="102">
        <v>0</v>
      </c>
      <c r="E823" s="102"/>
      <c r="F823" s="102" t="s">
        <v>976</v>
      </c>
      <c r="G823" s="24">
        <v>0.85</v>
      </c>
      <c r="H823" s="102" t="s">
        <v>1028</v>
      </c>
      <c r="I823" s="102" t="s">
        <v>1680</v>
      </c>
      <c r="J823" s="102"/>
      <c r="K823" s="102" t="s">
        <v>1236</v>
      </c>
      <c r="L823" s="102" t="s">
        <v>2484</v>
      </c>
      <c r="M823" s="102" t="s">
        <v>2485</v>
      </c>
    </row>
    <row r="824" spans="1:13" x14ac:dyDescent="0.3">
      <c r="A824" s="25">
        <v>45933</v>
      </c>
      <c r="B824" s="25">
        <v>45933</v>
      </c>
      <c r="C824" s="26">
        <v>0</v>
      </c>
      <c r="D824" s="26">
        <v>2341.13</v>
      </c>
      <c r="E824" s="26"/>
      <c r="F824" s="26" t="s">
        <v>3</v>
      </c>
      <c r="G824" s="24">
        <v>0.93</v>
      </c>
      <c r="H824" s="26" t="s">
        <v>49</v>
      </c>
      <c r="I824" s="26" t="s">
        <v>1779</v>
      </c>
      <c r="J824" s="26"/>
      <c r="K824" s="26" t="s">
        <v>547</v>
      </c>
      <c r="L824" s="26" t="s">
        <v>2482</v>
      </c>
      <c r="M824" s="26"/>
    </row>
    <row r="825" spans="1:13" x14ac:dyDescent="0.3">
      <c r="A825" s="47">
        <v>45933</v>
      </c>
      <c r="B825" s="47">
        <v>45933</v>
      </c>
      <c r="C825" s="48">
        <v>20000</v>
      </c>
      <c r="D825" s="48">
        <v>0</v>
      </c>
      <c r="E825" s="48"/>
      <c r="F825" s="48" t="s">
        <v>24</v>
      </c>
      <c r="G825" s="24">
        <v>0.88</v>
      </c>
      <c r="H825" s="48" t="s">
        <v>157</v>
      </c>
      <c r="I825" s="48" t="s">
        <v>1779</v>
      </c>
      <c r="J825" s="48"/>
      <c r="K825" s="48" t="s">
        <v>549</v>
      </c>
      <c r="L825" s="48" t="s">
        <v>2482</v>
      </c>
      <c r="M825" s="48"/>
    </row>
    <row r="826" spans="1:13" x14ac:dyDescent="0.3">
      <c r="A826" s="27">
        <v>45933</v>
      </c>
      <c r="B826" s="27">
        <v>45933</v>
      </c>
      <c r="C826" s="28">
        <v>157.9</v>
      </c>
      <c r="D826" s="28">
        <v>0</v>
      </c>
      <c r="E826" s="28"/>
      <c r="F826" s="28" t="s">
        <v>4</v>
      </c>
      <c r="G826" s="24">
        <v>0.97</v>
      </c>
      <c r="H826" s="28" t="s">
        <v>49</v>
      </c>
      <c r="I826" s="28" t="s">
        <v>1779</v>
      </c>
      <c r="J826" s="28"/>
      <c r="K826" s="28" t="s">
        <v>50</v>
      </c>
      <c r="L826" s="28" t="s">
        <v>2482</v>
      </c>
      <c r="M826" s="28"/>
    </row>
    <row r="827" spans="1:13" x14ac:dyDescent="0.3">
      <c r="A827" s="29">
        <v>45933</v>
      </c>
      <c r="B827" s="29">
        <v>45933</v>
      </c>
      <c r="C827" s="30">
        <v>0</v>
      </c>
      <c r="D827" s="30">
        <v>6563.08</v>
      </c>
      <c r="E827" s="30"/>
      <c r="F827" s="30" t="s">
        <v>5</v>
      </c>
      <c r="G827" s="24">
        <v>0.97</v>
      </c>
      <c r="H827" s="30" t="s">
        <v>49</v>
      </c>
      <c r="I827" s="30" t="s">
        <v>1779</v>
      </c>
      <c r="J827" s="30"/>
      <c r="K827" s="30" t="s">
        <v>59</v>
      </c>
      <c r="L827" s="30" t="s">
        <v>2482</v>
      </c>
      <c r="M827" s="30"/>
    </row>
    <row r="828" spans="1:13" x14ac:dyDescent="0.3">
      <c r="A828" s="95">
        <v>45933</v>
      </c>
      <c r="B828" s="95">
        <v>45933</v>
      </c>
      <c r="C828" s="96">
        <v>14739</v>
      </c>
      <c r="D828" s="96">
        <v>0</v>
      </c>
      <c r="E828" s="96"/>
      <c r="F828" s="96" t="s">
        <v>991</v>
      </c>
      <c r="G828" s="24">
        <v>0.92</v>
      </c>
      <c r="H828" s="96" t="s">
        <v>991</v>
      </c>
      <c r="I828" s="96" t="s">
        <v>1680</v>
      </c>
      <c r="J828" s="96"/>
      <c r="K828" s="96" t="s">
        <v>1237</v>
      </c>
      <c r="L828" s="96" t="s">
        <v>2484</v>
      </c>
      <c r="M828" s="96"/>
    </row>
    <row r="829" spans="1:13" x14ac:dyDescent="0.3">
      <c r="A829" s="97">
        <v>45934</v>
      </c>
      <c r="B829" s="97">
        <v>45934</v>
      </c>
      <c r="C829" s="98">
        <v>20000</v>
      </c>
      <c r="D829" s="98">
        <v>0</v>
      </c>
      <c r="E829" s="98"/>
      <c r="F829" s="98" t="s">
        <v>978</v>
      </c>
      <c r="G829" s="24">
        <v>0.85</v>
      </c>
      <c r="H829" s="98" t="s">
        <v>1031</v>
      </c>
      <c r="I829" s="98" t="s">
        <v>1680</v>
      </c>
      <c r="J829" s="98"/>
      <c r="K829" s="98" t="s">
        <v>1241</v>
      </c>
      <c r="L829" s="98" t="s">
        <v>2484</v>
      </c>
      <c r="M829" s="98"/>
    </row>
    <row r="830" spans="1:13" x14ac:dyDescent="0.3">
      <c r="A830" s="99">
        <v>45934</v>
      </c>
      <c r="B830" s="99">
        <v>45934</v>
      </c>
      <c r="C830" s="100">
        <v>310</v>
      </c>
      <c r="D830" s="100">
        <v>0</v>
      </c>
      <c r="E830" s="100"/>
      <c r="F830" s="100" t="s">
        <v>989</v>
      </c>
      <c r="G830" s="40">
        <v>0.75</v>
      </c>
      <c r="H830" s="100" t="s">
        <v>1053</v>
      </c>
      <c r="I830" s="100" t="s">
        <v>1680</v>
      </c>
      <c r="J830" s="100"/>
      <c r="K830" s="100" t="s">
        <v>1239</v>
      </c>
      <c r="L830" s="100" t="s">
        <v>2484</v>
      </c>
      <c r="M830" s="100"/>
    </row>
    <row r="831" spans="1:13" x14ac:dyDescent="0.3">
      <c r="A831" s="101">
        <v>45934</v>
      </c>
      <c r="B831" s="101">
        <v>45934</v>
      </c>
      <c r="C831" s="102">
        <v>1500</v>
      </c>
      <c r="D831" s="102">
        <v>0</v>
      </c>
      <c r="E831" s="102"/>
      <c r="F831" s="102" t="s">
        <v>976</v>
      </c>
      <c r="G831" s="24">
        <v>0.85</v>
      </c>
      <c r="H831" s="102" t="s">
        <v>1028</v>
      </c>
      <c r="I831" s="102" t="s">
        <v>1680</v>
      </c>
      <c r="J831" s="102"/>
      <c r="K831" s="102" t="s">
        <v>1238</v>
      </c>
      <c r="L831" s="102" t="s">
        <v>2484</v>
      </c>
      <c r="M831" s="102"/>
    </row>
    <row r="832" spans="1:13" x14ac:dyDescent="0.3">
      <c r="A832" s="83">
        <v>45934</v>
      </c>
      <c r="B832" s="83">
        <v>45934</v>
      </c>
      <c r="C832" s="84">
        <v>4253.6000000000004</v>
      </c>
      <c r="D832" s="84">
        <v>0</v>
      </c>
      <c r="E832" s="84"/>
      <c r="F832" s="84" t="s">
        <v>973</v>
      </c>
      <c r="G832" s="40">
        <v>0.68</v>
      </c>
      <c r="H832" s="84" t="s">
        <v>1014</v>
      </c>
      <c r="I832" s="84" t="s">
        <v>1680</v>
      </c>
      <c r="J832" s="84"/>
      <c r="K832" s="84" t="s">
        <v>1240</v>
      </c>
      <c r="L832" s="84" t="s">
        <v>2484</v>
      </c>
      <c r="M832" s="84"/>
    </row>
    <row r="833" spans="1:13" x14ac:dyDescent="0.3">
      <c r="A833" s="22">
        <v>45934.27615740741</v>
      </c>
      <c r="B833" s="22">
        <v>45934</v>
      </c>
      <c r="C833" s="23">
        <v>0</v>
      </c>
      <c r="D833" s="23">
        <v>5974.19</v>
      </c>
      <c r="E833" s="23"/>
      <c r="F833" s="23" t="s">
        <v>1667</v>
      </c>
      <c r="G833" s="24">
        <v>0.92</v>
      </c>
      <c r="H833" s="23" t="s">
        <v>1735</v>
      </c>
      <c r="I833" s="23" t="s">
        <v>1019</v>
      </c>
      <c r="J833" s="23"/>
      <c r="K833" s="23" t="s">
        <v>2300</v>
      </c>
      <c r="L833" s="23" t="s">
        <v>2483</v>
      </c>
      <c r="M833" s="23"/>
    </row>
    <row r="834" spans="1:13" x14ac:dyDescent="0.3">
      <c r="A834" s="89">
        <v>45934.803043981483</v>
      </c>
      <c r="B834" s="89">
        <v>45934</v>
      </c>
      <c r="C834" s="90">
        <v>2</v>
      </c>
      <c r="D834" s="90">
        <v>0</v>
      </c>
      <c r="E834" s="90"/>
      <c r="F834" s="90" t="s">
        <v>1814</v>
      </c>
      <c r="G834" s="24">
        <v>0.88</v>
      </c>
      <c r="H834" s="90" t="s">
        <v>91</v>
      </c>
      <c r="I834" s="90" t="s">
        <v>1019</v>
      </c>
      <c r="J834" s="90"/>
      <c r="K834" s="90" t="s">
        <v>2302</v>
      </c>
      <c r="L834" s="90" t="s">
        <v>2483</v>
      </c>
      <c r="M834" s="90"/>
    </row>
    <row r="835" spans="1:13" x14ac:dyDescent="0.3">
      <c r="A835" s="89">
        <v>45935</v>
      </c>
      <c r="B835" s="89">
        <v>45935</v>
      </c>
      <c r="C835" s="90">
        <v>450</v>
      </c>
      <c r="D835" s="90">
        <v>0</v>
      </c>
      <c r="E835" s="90" t="s">
        <v>1244</v>
      </c>
      <c r="F835" s="90" t="s">
        <v>975</v>
      </c>
      <c r="G835" s="39">
        <v>0.55000000000000004</v>
      </c>
      <c r="H835" s="90" t="s">
        <v>91</v>
      </c>
      <c r="I835" s="90" t="s">
        <v>1680</v>
      </c>
      <c r="J835" s="90"/>
      <c r="K835" s="90" t="s">
        <v>1243</v>
      </c>
      <c r="L835" s="90" t="s">
        <v>2484</v>
      </c>
      <c r="M835" s="90"/>
    </row>
    <row r="836" spans="1:13" x14ac:dyDescent="0.3">
      <c r="A836" s="101">
        <v>45935</v>
      </c>
      <c r="B836" s="101">
        <v>45935</v>
      </c>
      <c r="C836" s="102">
        <v>1000</v>
      </c>
      <c r="D836" s="102">
        <v>0</v>
      </c>
      <c r="E836" s="102"/>
      <c r="F836" s="102" t="s">
        <v>976</v>
      </c>
      <c r="G836" s="24">
        <v>0.85</v>
      </c>
      <c r="H836" s="102" t="s">
        <v>1028</v>
      </c>
      <c r="I836" s="102" t="s">
        <v>1680</v>
      </c>
      <c r="J836" s="102"/>
      <c r="K836" s="102" t="s">
        <v>1242</v>
      </c>
      <c r="L836" s="102" t="s">
        <v>2484</v>
      </c>
      <c r="M836" s="102"/>
    </row>
    <row r="837" spans="1:13" x14ac:dyDescent="0.3">
      <c r="A837" s="101">
        <v>45936</v>
      </c>
      <c r="B837" s="101">
        <v>45936</v>
      </c>
      <c r="C837" s="102">
        <v>2203.9499999999998</v>
      </c>
      <c r="D837" s="102">
        <v>0</v>
      </c>
      <c r="E837" s="102"/>
      <c r="F837" s="102" t="s">
        <v>976</v>
      </c>
      <c r="G837" s="24">
        <v>0.85</v>
      </c>
      <c r="H837" s="102" t="s">
        <v>1028</v>
      </c>
      <c r="I837" s="102" t="s">
        <v>1680</v>
      </c>
      <c r="J837" s="102"/>
      <c r="K837" s="102" t="s">
        <v>1245</v>
      </c>
      <c r="L837" s="102" t="s">
        <v>2484</v>
      </c>
      <c r="M837" s="102"/>
    </row>
    <row r="838" spans="1:13" x14ac:dyDescent="0.3">
      <c r="A838" s="89">
        <v>45936</v>
      </c>
      <c r="B838" s="89">
        <v>45936</v>
      </c>
      <c r="C838" s="90">
        <v>20</v>
      </c>
      <c r="D838" s="90">
        <v>0</v>
      </c>
      <c r="E838" s="90" t="s">
        <v>1247</v>
      </c>
      <c r="F838" s="90" t="s">
        <v>975</v>
      </c>
      <c r="G838" s="39">
        <v>0.55000000000000004</v>
      </c>
      <c r="H838" s="90" t="s">
        <v>91</v>
      </c>
      <c r="I838" s="90" t="s">
        <v>1680</v>
      </c>
      <c r="J838" s="90"/>
      <c r="K838" s="90" t="s">
        <v>1246</v>
      </c>
      <c r="L838" s="90" t="s">
        <v>2484</v>
      </c>
      <c r="M838" s="90"/>
    </row>
    <row r="839" spans="1:13" x14ac:dyDescent="0.3">
      <c r="A839" s="27">
        <v>45936</v>
      </c>
      <c r="B839" s="27">
        <v>45936</v>
      </c>
      <c r="C839" s="28">
        <v>246.36</v>
      </c>
      <c r="D839" s="28">
        <v>0</v>
      </c>
      <c r="E839" s="28"/>
      <c r="F839" s="28" t="s">
        <v>4</v>
      </c>
      <c r="G839" s="24">
        <v>0.97</v>
      </c>
      <c r="H839" s="28" t="s">
        <v>49</v>
      </c>
      <c r="I839" s="28" t="s">
        <v>1779</v>
      </c>
      <c r="J839" s="28"/>
      <c r="K839" s="28" t="s">
        <v>50</v>
      </c>
      <c r="L839" s="28" t="s">
        <v>2482</v>
      </c>
      <c r="M839" s="28"/>
    </row>
    <row r="840" spans="1:13" x14ac:dyDescent="0.3">
      <c r="A840" s="49">
        <v>45936.799016203702</v>
      </c>
      <c r="B840" s="49">
        <v>45936</v>
      </c>
      <c r="C840" s="50">
        <v>0</v>
      </c>
      <c r="D840" s="50">
        <v>8</v>
      </c>
      <c r="E840" s="50"/>
      <c r="F840" s="50" t="s">
        <v>17</v>
      </c>
      <c r="G840" s="24">
        <v>0.93</v>
      </c>
      <c r="H840" s="50" t="s">
        <v>17</v>
      </c>
      <c r="I840" s="50" t="s">
        <v>1019</v>
      </c>
      <c r="J840" s="50"/>
      <c r="K840" s="50" t="s">
        <v>2303</v>
      </c>
      <c r="L840" s="50" t="s">
        <v>2483</v>
      </c>
      <c r="M840" s="50"/>
    </row>
    <row r="841" spans="1:13" x14ac:dyDescent="0.3">
      <c r="A841" s="27">
        <v>45937</v>
      </c>
      <c r="B841" s="27">
        <v>45937</v>
      </c>
      <c r="C841" s="28">
        <v>87</v>
      </c>
      <c r="D841" s="28">
        <v>0</v>
      </c>
      <c r="E841" s="28"/>
      <c r="F841" s="28" t="s">
        <v>4</v>
      </c>
      <c r="G841" s="24">
        <v>0.97</v>
      </c>
      <c r="H841" s="28" t="s">
        <v>49</v>
      </c>
      <c r="I841" s="28" t="s">
        <v>1779</v>
      </c>
      <c r="J841" s="28"/>
      <c r="K841" s="28" t="s">
        <v>50</v>
      </c>
      <c r="L841" s="28" t="s">
        <v>2482</v>
      </c>
      <c r="M841" s="28"/>
    </row>
    <row r="842" spans="1:13" x14ac:dyDescent="0.3">
      <c r="A842" s="27">
        <v>45937</v>
      </c>
      <c r="B842" s="27">
        <v>45937</v>
      </c>
      <c r="C842" s="28">
        <v>7631.26</v>
      </c>
      <c r="D842" s="28">
        <v>0</v>
      </c>
      <c r="E842" s="28"/>
      <c r="F842" s="28" t="s">
        <v>4</v>
      </c>
      <c r="G842" s="24">
        <v>0.97</v>
      </c>
      <c r="H842" s="28" t="s">
        <v>49</v>
      </c>
      <c r="I842" s="28" t="s">
        <v>1779</v>
      </c>
      <c r="J842" s="28"/>
      <c r="K842" s="28" t="s">
        <v>50</v>
      </c>
      <c r="L842" s="28" t="s">
        <v>2482</v>
      </c>
      <c r="M842" s="28"/>
    </row>
    <row r="843" spans="1:13" x14ac:dyDescent="0.3">
      <c r="A843" s="31">
        <v>45937</v>
      </c>
      <c r="B843" s="31">
        <v>45937</v>
      </c>
      <c r="C843" s="32">
        <v>0</v>
      </c>
      <c r="D843" s="32">
        <v>1880</v>
      </c>
      <c r="E843" s="32"/>
      <c r="F843" s="32" t="s">
        <v>6</v>
      </c>
      <c r="G843" s="24">
        <v>0.95</v>
      </c>
      <c r="H843" s="32" t="s">
        <v>63</v>
      </c>
      <c r="I843" s="32" t="s">
        <v>1779</v>
      </c>
      <c r="J843" s="32"/>
      <c r="K843" s="32" t="s">
        <v>558</v>
      </c>
      <c r="L843" s="32" t="s">
        <v>2482</v>
      </c>
      <c r="M843" s="32"/>
    </row>
    <row r="844" spans="1:13" x14ac:dyDescent="0.3">
      <c r="A844" s="25">
        <v>45937</v>
      </c>
      <c r="B844" s="25">
        <v>45937</v>
      </c>
      <c r="C844" s="26">
        <v>0</v>
      </c>
      <c r="D844" s="26">
        <v>8511.14</v>
      </c>
      <c r="E844" s="26"/>
      <c r="F844" s="26" t="s">
        <v>3</v>
      </c>
      <c r="G844" s="24">
        <v>0.93</v>
      </c>
      <c r="H844" s="26" t="s">
        <v>49</v>
      </c>
      <c r="I844" s="26" t="s">
        <v>1779</v>
      </c>
      <c r="J844" s="26"/>
      <c r="K844" s="26" t="s">
        <v>556</v>
      </c>
      <c r="L844" s="26" t="s">
        <v>2482</v>
      </c>
      <c r="M844" s="26"/>
    </row>
    <row r="845" spans="1:13" x14ac:dyDescent="0.3">
      <c r="A845" s="25">
        <v>45937</v>
      </c>
      <c r="B845" s="25">
        <v>45937</v>
      </c>
      <c r="C845" s="26">
        <v>0</v>
      </c>
      <c r="D845" s="26">
        <v>78820.179999999993</v>
      </c>
      <c r="E845" s="26"/>
      <c r="F845" s="26" t="s">
        <v>3</v>
      </c>
      <c r="G845" s="24">
        <v>0.93</v>
      </c>
      <c r="H845" s="26" t="s">
        <v>49</v>
      </c>
      <c r="I845" s="26" t="s">
        <v>1779</v>
      </c>
      <c r="J845" s="26"/>
      <c r="K845" s="26" t="s">
        <v>554</v>
      </c>
      <c r="L845" s="26" t="s">
        <v>2482</v>
      </c>
      <c r="M845" s="26"/>
    </row>
    <row r="846" spans="1:13" x14ac:dyDescent="0.3">
      <c r="A846" s="47">
        <v>45937</v>
      </c>
      <c r="B846" s="47">
        <v>45937</v>
      </c>
      <c r="C846" s="48">
        <v>100000</v>
      </c>
      <c r="D846" s="48">
        <v>0</v>
      </c>
      <c r="E846" s="48"/>
      <c r="F846" s="48" t="s">
        <v>24</v>
      </c>
      <c r="G846" s="24">
        <v>0.88</v>
      </c>
      <c r="H846" s="48" t="s">
        <v>157</v>
      </c>
      <c r="I846" s="48" t="s">
        <v>1779</v>
      </c>
      <c r="J846" s="48"/>
      <c r="K846" s="48" t="s">
        <v>560</v>
      </c>
      <c r="L846" s="48" t="s">
        <v>2482</v>
      </c>
      <c r="M846" s="48"/>
    </row>
    <row r="847" spans="1:13" x14ac:dyDescent="0.3">
      <c r="A847" s="89">
        <v>45937</v>
      </c>
      <c r="B847" s="89">
        <v>45937</v>
      </c>
      <c r="C847" s="90">
        <v>91</v>
      </c>
      <c r="D847" s="90">
        <v>0</v>
      </c>
      <c r="E847" s="90" t="s">
        <v>1226</v>
      </c>
      <c r="F847" s="90" t="s">
        <v>975</v>
      </c>
      <c r="G847" s="39">
        <v>0.55000000000000004</v>
      </c>
      <c r="H847" s="90" t="s">
        <v>91</v>
      </c>
      <c r="I847" s="90" t="s">
        <v>1680</v>
      </c>
      <c r="J847" s="90"/>
      <c r="K847" s="90" t="s">
        <v>1248</v>
      </c>
      <c r="L847" s="90" t="s">
        <v>2484</v>
      </c>
      <c r="M847" s="90"/>
    </row>
    <row r="848" spans="1:13" x14ac:dyDescent="0.3">
      <c r="A848" s="97">
        <v>45938</v>
      </c>
      <c r="B848" s="97">
        <v>45938</v>
      </c>
      <c r="C848" s="98">
        <v>0</v>
      </c>
      <c r="D848" s="98">
        <v>1</v>
      </c>
      <c r="E848" s="98"/>
      <c r="F848" s="98" t="s">
        <v>977</v>
      </c>
      <c r="G848" s="24">
        <v>0.85</v>
      </c>
      <c r="H848" s="98" t="s">
        <v>1031</v>
      </c>
      <c r="I848" s="98" t="s">
        <v>837</v>
      </c>
      <c r="J848" s="98"/>
      <c r="K848" s="98" t="s">
        <v>1736</v>
      </c>
      <c r="L848" s="98" t="s">
        <v>2486</v>
      </c>
      <c r="M848" s="98"/>
    </row>
    <row r="849" spans="1:13" x14ac:dyDescent="0.3">
      <c r="A849" s="27">
        <v>45938</v>
      </c>
      <c r="B849" s="27">
        <v>45938</v>
      </c>
      <c r="C849" s="28">
        <v>79.569999999999993</v>
      </c>
      <c r="D849" s="28">
        <v>0</v>
      </c>
      <c r="E849" s="28"/>
      <c r="F849" s="28" t="s">
        <v>4</v>
      </c>
      <c r="G849" s="24">
        <v>0.97</v>
      </c>
      <c r="H849" s="28" t="s">
        <v>49</v>
      </c>
      <c r="I849" s="28" t="s">
        <v>1779</v>
      </c>
      <c r="J849" s="28"/>
      <c r="K849" s="28" t="s">
        <v>50</v>
      </c>
      <c r="L849" s="28" t="s">
        <v>2482</v>
      </c>
      <c r="M849" s="28"/>
    </row>
    <row r="850" spans="1:13" x14ac:dyDescent="0.3">
      <c r="A850" s="27">
        <v>45939</v>
      </c>
      <c r="B850" s="27">
        <v>45939</v>
      </c>
      <c r="C850" s="28">
        <v>79.569999999999993</v>
      </c>
      <c r="D850" s="28">
        <v>0</v>
      </c>
      <c r="E850" s="28"/>
      <c r="F850" s="28" t="s">
        <v>4</v>
      </c>
      <c r="G850" s="24">
        <v>0.97</v>
      </c>
      <c r="H850" s="28" t="s">
        <v>49</v>
      </c>
      <c r="I850" s="28" t="s">
        <v>1779</v>
      </c>
      <c r="J850" s="28"/>
      <c r="K850" s="28" t="s">
        <v>50</v>
      </c>
      <c r="L850" s="28" t="s">
        <v>2482</v>
      </c>
      <c r="M850" s="28"/>
    </row>
    <row r="851" spans="1:13" x14ac:dyDescent="0.3">
      <c r="A851" s="85">
        <v>45939</v>
      </c>
      <c r="B851" s="85">
        <v>45939</v>
      </c>
      <c r="C851" s="86">
        <v>7000</v>
      </c>
      <c r="D851" s="86">
        <v>0</v>
      </c>
      <c r="E851" s="86"/>
      <c r="F851" s="86" t="s">
        <v>974</v>
      </c>
      <c r="G851" s="24">
        <v>0.88</v>
      </c>
      <c r="H851" s="86" t="s">
        <v>1019</v>
      </c>
      <c r="I851" s="86" t="s">
        <v>837</v>
      </c>
      <c r="J851" s="86"/>
      <c r="K851" s="86" t="s">
        <v>1737</v>
      </c>
      <c r="L851" s="86" t="s">
        <v>2486</v>
      </c>
      <c r="M851" s="86"/>
    </row>
    <row r="852" spans="1:13" x14ac:dyDescent="0.3">
      <c r="A852" s="25">
        <v>45939</v>
      </c>
      <c r="B852" s="25">
        <v>45939</v>
      </c>
      <c r="C852" s="26">
        <v>0</v>
      </c>
      <c r="D852" s="26">
        <v>2401.5700000000002</v>
      </c>
      <c r="E852" s="26"/>
      <c r="F852" s="26" t="s">
        <v>3</v>
      </c>
      <c r="G852" s="24">
        <v>0.93</v>
      </c>
      <c r="H852" s="26" t="s">
        <v>49</v>
      </c>
      <c r="I852" s="26" t="s">
        <v>1779</v>
      </c>
      <c r="J852" s="26"/>
      <c r="K852" s="26" t="s">
        <v>565</v>
      </c>
      <c r="L852" s="26" t="s">
        <v>2482</v>
      </c>
      <c r="M852" s="26"/>
    </row>
    <row r="853" spans="1:13" x14ac:dyDescent="0.3">
      <c r="A853" s="27">
        <v>45939.488877314812</v>
      </c>
      <c r="B853" s="27">
        <v>45939</v>
      </c>
      <c r="C853" s="28">
        <v>0</v>
      </c>
      <c r="D853" s="28">
        <v>7000</v>
      </c>
      <c r="E853" s="28"/>
      <c r="F853" s="28" t="s">
        <v>30</v>
      </c>
      <c r="G853" s="24">
        <v>0.95</v>
      </c>
      <c r="H853" s="28" t="s">
        <v>837</v>
      </c>
      <c r="I853" s="28" t="s">
        <v>1019</v>
      </c>
      <c r="J853" s="28"/>
      <c r="K853" s="28" t="s">
        <v>2305</v>
      </c>
      <c r="L853" s="28" t="s">
        <v>2483</v>
      </c>
      <c r="M853" s="28"/>
    </row>
    <row r="854" spans="1:13" x14ac:dyDescent="0.3">
      <c r="A854" s="25">
        <v>45940</v>
      </c>
      <c r="B854" s="25">
        <v>45940</v>
      </c>
      <c r="C854" s="26">
        <v>0</v>
      </c>
      <c r="D854" s="26">
        <v>18547.34</v>
      </c>
      <c r="E854" s="26"/>
      <c r="F854" s="26" t="s">
        <v>3</v>
      </c>
      <c r="G854" s="24">
        <v>0.93</v>
      </c>
      <c r="H854" s="26" t="s">
        <v>49</v>
      </c>
      <c r="I854" s="26" t="s">
        <v>1779</v>
      </c>
      <c r="J854" s="26"/>
      <c r="K854" s="26" t="s">
        <v>570</v>
      </c>
      <c r="L854" s="26" t="s">
        <v>2482</v>
      </c>
      <c r="M854" s="26"/>
    </row>
    <row r="855" spans="1:13" x14ac:dyDescent="0.3">
      <c r="A855" s="25">
        <v>45940</v>
      </c>
      <c r="B855" s="25">
        <v>45940</v>
      </c>
      <c r="C855" s="26">
        <v>0</v>
      </c>
      <c r="D855" s="26">
        <v>1102.5</v>
      </c>
      <c r="E855" s="26"/>
      <c r="F855" s="26" t="s">
        <v>3</v>
      </c>
      <c r="G855" s="24">
        <v>0.93</v>
      </c>
      <c r="H855" s="26" t="s">
        <v>49</v>
      </c>
      <c r="I855" s="26" t="s">
        <v>1779</v>
      </c>
      <c r="J855" s="26"/>
      <c r="K855" s="26" t="s">
        <v>568</v>
      </c>
      <c r="L855" s="26" t="s">
        <v>2482</v>
      </c>
      <c r="M855" s="26"/>
    </row>
    <row r="856" spans="1:13" x14ac:dyDescent="0.3">
      <c r="A856" s="27">
        <v>45940</v>
      </c>
      <c r="B856" s="27">
        <v>45940</v>
      </c>
      <c r="C856" s="28">
        <v>80.42</v>
      </c>
      <c r="D856" s="28">
        <v>0</v>
      </c>
      <c r="E856" s="28"/>
      <c r="F856" s="28" t="s">
        <v>4</v>
      </c>
      <c r="G856" s="24">
        <v>0.97</v>
      </c>
      <c r="H856" s="28" t="s">
        <v>49</v>
      </c>
      <c r="I856" s="28" t="s">
        <v>1779</v>
      </c>
      <c r="J856" s="28"/>
      <c r="K856" s="28" t="s">
        <v>50</v>
      </c>
      <c r="L856" s="28" t="s">
        <v>2482</v>
      </c>
      <c r="M856" s="28"/>
    </row>
    <row r="857" spans="1:13" x14ac:dyDescent="0.3">
      <c r="A857" s="59">
        <v>45940.358807870369</v>
      </c>
      <c r="B857" s="59">
        <v>45940</v>
      </c>
      <c r="C857" s="60">
        <v>0</v>
      </c>
      <c r="D857" s="60">
        <v>501</v>
      </c>
      <c r="E857" s="60"/>
      <c r="F857" s="60" t="s">
        <v>29</v>
      </c>
      <c r="G857" s="24">
        <v>0.85</v>
      </c>
      <c r="H857" s="60" t="s">
        <v>606</v>
      </c>
      <c r="I857" s="60" t="s">
        <v>1019</v>
      </c>
      <c r="J857" s="60"/>
      <c r="K857" s="60" t="s">
        <v>2307</v>
      </c>
      <c r="L857" s="60" t="s">
        <v>2483</v>
      </c>
      <c r="M857" s="60"/>
    </row>
    <row r="858" spans="1:13" x14ac:dyDescent="0.3">
      <c r="A858" s="89">
        <v>45942</v>
      </c>
      <c r="B858" s="89">
        <v>45942</v>
      </c>
      <c r="C858" s="90">
        <v>25</v>
      </c>
      <c r="D858" s="90">
        <v>0</v>
      </c>
      <c r="E858" s="90" t="s">
        <v>1251</v>
      </c>
      <c r="F858" s="90" t="s">
        <v>975</v>
      </c>
      <c r="G858" s="39">
        <v>0.55000000000000004</v>
      </c>
      <c r="H858" s="90" t="s">
        <v>91</v>
      </c>
      <c r="I858" s="90" t="s">
        <v>1680</v>
      </c>
      <c r="J858" s="90"/>
      <c r="K858" s="90" t="s">
        <v>1250</v>
      </c>
      <c r="L858" s="90" t="s">
        <v>2484</v>
      </c>
      <c r="M858" s="90"/>
    </row>
    <row r="859" spans="1:13" x14ac:dyDescent="0.3">
      <c r="A859" s="89">
        <v>45942</v>
      </c>
      <c r="B859" s="89">
        <v>45942</v>
      </c>
      <c r="C859" s="90">
        <v>50</v>
      </c>
      <c r="D859" s="90">
        <v>0</v>
      </c>
      <c r="E859" s="90" t="s">
        <v>1251</v>
      </c>
      <c r="F859" s="90" t="s">
        <v>975</v>
      </c>
      <c r="G859" s="39">
        <v>0.55000000000000004</v>
      </c>
      <c r="H859" s="90" t="s">
        <v>91</v>
      </c>
      <c r="I859" s="90" t="s">
        <v>1680</v>
      </c>
      <c r="J859" s="90"/>
      <c r="K859" s="90" t="s">
        <v>1252</v>
      </c>
      <c r="L859" s="90" t="s">
        <v>2484</v>
      </c>
      <c r="M859" s="90"/>
    </row>
    <row r="860" spans="1:13" x14ac:dyDescent="0.3">
      <c r="A860" s="89">
        <v>45942</v>
      </c>
      <c r="B860" s="89">
        <v>45942</v>
      </c>
      <c r="C860" s="90">
        <v>30</v>
      </c>
      <c r="D860" s="90">
        <v>0</v>
      </c>
      <c r="E860" s="90" t="s">
        <v>1226</v>
      </c>
      <c r="F860" s="90" t="s">
        <v>975</v>
      </c>
      <c r="G860" s="39">
        <v>0.55000000000000004</v>
      </c>
      <c r="H860" s="90" t="s">
        <v>91</v>
      </c>
      <c r="I860" s="90" t="s">
        <v>1680</v>
      </c>
      <c r="J860" s="90"/>
      <c r="K860" s="90" t="s">
        <v>1249</v>
      </c>
      <c r="L860" s="90" t="s">
        <v>2484</v>
      </c>
      <c r="M860" s="90"/>
    </row>
    <row r="861" spans="1:13" x14ac:dyDescent="0.3">
      <c r="A861" s="101">
        <v>45943</v>
      </c>
      <c r="B861" s="101">
        <v>45943</v>
      </c>
      <c r="C861" s="102">
        <v>1500</v>
      </c>
      <c r="D861" s="102">
        <v>0</v>
      </c>
      <c r="E861" s="102"/>
      <c r="F861" s="102" t="s">
        <v>976</v>
      </c>
      <c r="G861" s="24">
        <v>0.85</v>
      </c>
      <c r="H861" s="102" t="s">
        <v>1028</v>
      </c>
      <c r="I861" s="102" t="s">
        <v>1680</v>
      </c>
      <c r="J861" s="102"/>
      <c r="K861" s="102" t="s">
        <v>1253</v>
      </c>
      <c r="L861" s="102" t="s">
        <v>2484</v>
      </c>
      <c r="M861" s="102" t="s">
        <v>2485</v>
      </c>
    </row>
    <row r="862" spans="1:13" x14ac:dyDescent="0.3">
      <c r="A862" s="101">
        <v>45943</v>
      </c>
      <c r="B862" s="101">
        <v>45943</v>
      </c>
      <c r="C862" s="102">
        <v>1500</v>
      </c>
      <c r="D862" s="102">
        <v>0</v>
      </c>
      <c r="E862" s="102"/>
      <c r="F862" s="102" t="s">
        <v>976</v>
      </c>
      <c r="G862" s="24">
        <v>0.85</v>
      </c>
      <c r="H862" s="102" t="s">
        <v>1028</v>
      </c>
      <c r="I862" s="102" t="s">
        <v>1680</v>
      </c>
      <c r="J862" s="102"/>
      <c r="K862" s="102" t="s">
        <v>1254</v>
      </c>
      <c r="L862" s="102" t="s">
        <v>2484</v>
      </c>
      <c r="M862" s="102" t="s">
        <v>2485</v>
      </c>
    </row>
    <row r="863" spans="1:13" x14ac:dyDescent="0.3">
      <c r="A863" s="27">
        <v>45943</v>
      </c>
      <c r="B863" s="27">
        <v>45943</v>
      </c>
      <c r="C863" s="28">
        <v>242.43</v>
      </c>
      <c r="D863" s="28">
        <v>0</v>
      </c>
      <c r="E863" s="28"/>
      <c r="F863" s="28" t="s">
        <v>4</v>
      </c>
      <c r="G863" s="24">
        <v>0.97</v>
      </c>
      <c r="H863" s="28" t="s">
        <v>49</v>
      </c>
      <c r="I863" s="28" t="s">
        <v>1779</v>
      </c>
      <c r="J863" s="28"/>
      <c r="K863" s="28" t="s">
        <v>50</v>
      </c>
      <c r="L863" s="28" t="s">
        <v>2482</v>
      </c>
      <c r="M863" s="28"/>
    </row>
    <row r="864" spans="1:13" x14ac:dyDescent="0.3">
      <c r="A864" s="27">
        <v>45943</v>
      </c>
      <c r="B864" s="27">
        <v>45943</v>
      </c>
      <c r="C864" s="28">
        <v>410.51</v>
      </c>
      <c r="D864" s="28">
        <v>0</v>
      </c>
      <c r="E864" s="28"/>
      <c r="F864" s="28" t="s">
        <v>4</v>
      </c>
      <c r="G864" s="24">
        <v>0.97</v>
      </c>
      <c r="H864" s="28" t="s">
        <v>49</v>
      </c>
      <c r="I864" s="28" t="s">
        <v>1779</v>
      </c>
      <c r="J864" s="28"/>
      <c r="K864" s="28" t="s">
        <v>50</v>
      </c>
      <c r="L864" s="28" t="s">
        <v>2482</v>
      </c>
      <c r="M864" s="28"/>
    </row>
    <row r="865" spans="1:13" x14ac:dyDescent="0.3">
      <c r="A865" s="25">
        <v>45943</v>
      </c>
      <c r="B865" s="25">
        <v>45943</v>
      </c>
      <c r="C865" s="26">
        <v>0</v>
      </c>
      <c r="D865" s="26">
        <v>1577.21</v>
      </c>
      <c r="E865" s="26"/>
      <c r="F865" s="26" t="s">
        <v>3</v>
      </c>
      <c r="G865" s="24">
        <v>0.93</v>
      </c>
      <c r="H865" s="26" t="s">
        <v>49</v>
      </c>
      <c r="I865" s="26" t="s">
        <v>1779</v>
      </c>
      <c r="J865" s="26"/>
      <c r="K865" s="26" t="s">
        <v>573</v>
      </c>
      <c r="L865" s="26" t="s">
        <v>2482</v>
      </c>
      <c r="M865" s="26"/>
    </row>
    <row r="866" spans="1:13" x14ac:dyDescent="0.3">
      <c r="A866" s="132">
        <v>45943.618321759262</v>
      </c>
      <c r="B866" s="132">
        <v>45943</v>
      </c>
      <c r="C866" s="133">
        <v>0</v>
      </c>
      <c r="D866" s="133">
        <v>2</v>
      </c>
      <c r="E866" s="133"/>
      <c r="F866" s="133" t="s">
        <v>1658</v>
      </c>
      <c r="G866" s="40">
        <v>0.7</v>
      </c>
      <c r="H866" s="133" t="s">
        <v>1658</v>
      </c>
      <c r="I866" s="133" t="s">
        <v>1019</v>
      </c>
      <c r="J866" s="133"/>
      <c r="K866" s="133" t="s">
        <v>2309</v>
      </c>
      <c r="L866" s="133" t="s">
        <v>2483</v>
      </c>
      <c r="M866" s="133"/>
    </row>
    <row r="867" spans="1:13" x14ac:dyDescent="0.3">
      <c r="A867" s="97">
        <v>45944</v>
      </c>
      <c r="B867" s="97">
        <v>45944</v>
      </c>
      <c r="C867" s="98">
        <v>0</v>
      </c>
      <c r="D867" s="98">
        <v>2500</v>
      </c>
      <c r="E867" s="98"/>
      <c r="F867" s="98" t="s">
        <v>977</v>
      </c>
      <c r="G867" s="24">
        <v>0.85</v>
      </c>
      <c r="H867" s="98" t="s">
        <v>1031</v>
      </c>
      <c r="I867" s="98" t="s">
        <v>837</v>
      </c>
      <c r="J867" s="98"/>
      <c r="K867" s="98" t="s">
        <v>1738</v>
      </c>
      <c r="L867" s="98" t="s">
        <v>2486</v>
      </c>
      <c r="M867" s="98"/>
    </row>
    <row r="868" spans="1:13" x14ac:dyDescent="0.3">
      <c r="A868" s="27">
        <v>45944</v>
      </c>
      <c r="B868" s="27">
        <v>45944</v>
      </c>
      <c r="C868" s="28">
        <v>983.08</v>
      </c>
      <c r="D868" s="28">
        <v>0</v>
      </c>
      <c r="E868" s="28"/>
      <c r="F868" s="28" t="s">
        <v>4</v>
      </c>
      <c r="G868" s="24">
        <v>0.97</v>
      </c>
      <c r="H868" s="28" t="s">
        <v>49</v>
      </c>
      <c r="I868" s="28" t="s">
        <v>1779</v>
      </c>
      <c r="J868" s="28"/>
      <c r="K868" s="28" t="s">
        <v>50</v>
      </c>
      <c r="L868" s="28" t="s">
        <v>2482</v>
      </c>
      <c r="M868" s="28"/>
    </row>
    <row r="869" spans="1:13" x14ac:dyDescent="0.3">
      <c r="A869" s="27">
        <v>45944</v>
      </c>
      <c r="B869" s="27">
        <v>45944</v>
      </c>
      <c r="C869" s="28">
        <v>81.23</v>
      </c>
      <c r="D869" s="28">
        <v>0</v>
      </c>
      <c r="E869" s="28"/>
      <c r="F869" s="28" t="s">
        <v>4</v>
      </c>
      <c r="G869" s="24">
        <v>0.97</v>
      </c>
      <c r="H869" s="28" t="s">
        <v>49</v>
      </c>
      <c r="I869" s="28" t="s">
        <v>1779</v>
      </c>
      <c r="J869" s="28"/>
      <c r="K869" s="28" t="s">
        <v>50</v>
      </c>
      <c r="L869" s="28" t="s">
        <v>2482</v>
      </c>
      <c r="M869" s="28"/>
    </row>
    <row r="870" spans="1:13" x14ac:dyDescent="0.3">
      <c r="A870" s="49">
        <v>45945</v>
      </c>
      <c r="B870" s="49">
        <v>45945</v>
      </c>
      <c r="C870" s="50">
        <v>0</v>
      </c>
      <c r="D870" s="50">
        <v>265</v>
      </c>
      <c r="E870" s="50"/>
      <c r="F870" s="50" t="s">
        <v>17</v>
      </c>
      <c r="G870" s="24">
        <v>0.88</v>
      </c>
      <c r="H870" s="50" t="s">
        <v>17</v>
      </c>
      <c r="I870" s="50" t="s">
        <v>1779</v>
      </c>
      <c r="J870" s="50"/>
      <c r="K870" s="50" t="s">
        <v>581</v>
      </c>
      <c r="L870" s="50" t="s">
        <v>2482</v>
      </c>
      <c r="M870" s="50"/>
    </row>
    <row r="871" spans="1:13" x14ac:dyDescent="0.3">
      <c r="A871" s="27">
        <v>45945</v>
      </c>
      <c r="B871" s="27">
        <v>45945</v>
      </c>
      <c r="C871" s="28">
        <v>80.88</v>
      </c>
      <c r="D871" s="28">
        <v>0</v>
      </c>
      <c r="E871" s="28"/>
      <c r="F871" s="28" t="s">
        <v>4</v>
      </c>
      <c r="G871" s="24">
        <v>0.97</v>
      </c>
      <c r="H871" s="28" t="s">
        <v>49</v>
      </c>
      <c r="I871" s="28" t="s">
        <v>1779</v>
      </c>
      <c r="J871" s="28"/>
      <c r="K871" s="28" t="s">
        <v>50</v>
      </c>
      <c r="L871" s="28" t="s">
        <v>2482</v>
      </c>
      <c r="M871" s="28"/>
    </row>
    <row r="872" spans="1:13" x14ac:dyDescent="0.3">
      <c r="A872" s="101">
        <v>45945</v>
      </c>
      <c r="B872" s="101">
        <v>45945</v>
      </c>
      <c r="C872" s="102">
        <v>1500</v>
      </c>
      <c r="D872" s="102">
        <v>0</v>
      </c>
      <c r="E872" s="102"/>
      <c r="F872" s="102" t="s">
        <v>976</v>
      </c>
      <c r="G872" s="24">
        <v>0.85</v>
      </c>
      <c r="H872" s="102" t="s">
        <v>1028</v>
      </c>
      <c r="I872" s="102" t="s">
        <v>1680</v>
      </c>
      <c r="J872" s="102"/>
      <c r="K872" s="102" t="s">
        <v>1255</v>
      </c>
      <c r="L872" s="102" t="s">
        <v>2484</v>
      </c>
      <c r="M872" s="102"/>
    </row>
    <row r="873" spans="1:13" x14ac:dyDescent="0.3">
      <c r="A873" s="27">
        <v>45945</v>
      </c>
      <c r="B873" s="27">
        <v>45945</v>
      </c>
      <c r="C873" s="28">
        <v>5547.67</v>
      </c>
      <c r="D873" s="28">
        <v>0</v>
      </c>
      <c r="E873" s="28"/>
      <c r="F873" s="28" t="s">
        <v>4</v>
      </c>
      <c r="G873" s="24">
        <v>0.97</v>
      </c>
      <c r="H873" s="28" t="s">
        <v>49</v>
      </c>
      <c r="I873" s="28" t="s">
        <v>1779</v>
      </c>
      <c r="J873" s="28"/>
      <c r="K873" s="28" t="s">
        <v>50</v>
      </c>
      <c r="L873" s="28" t="s">
        <v>2482</v>
      </c>
      <c r="M873" s="28"/>
    </row>
    <row r="874" spans="1:13" x14ac:dyDescent="0.3">
      <c r="A874" s="25">
        <v>45945</v>
      </c>
      <c r="B874" s="25">
        <v>45945</v>
      </c>
      <c r="C874" s="26">
        <v>0</v>
      </c>
      <c r="D874" s="26">
        <v>37380.81</v>
      </c>
      <c r="E874" s="26"/>
      <c r="F874" s="26" t="s">
        <v>3</v>
      </c>
      <c r="G874" s="24">
        <v>0.93</v>
      </c>
      <c r="H874" s="26" t="s">
        <v>49</v>
      </c>
      <c r="I874" s="26" t="s">
        <v>1779</v>
      </c>
      <c r="J874" s="26"/>
      <c r="K874" s="26" t="s">
        <v>579</v>
      </c>
      <c r="L874" s="26" t="s">
        <v>2482</v>
      </c>
      <c r="M874" s="26"/>
    </row>
    <row r="875" spans="1:13" x14ac:dyDescent="0.3">
      <c r="A875" s="101">
        <v>45946</v>
      </c>
      <c r="B875" s="101">
        <v>45946</v>
      </c>
      <c r="C875" s="102">
        <v>1500</v>
      </c>
      <c r="D875" s="102">
        <v>0</v>
      </c>
      <c r="E875" s="102"/>
      <c r="F875" s="102" t="s">
        <v>976</v>
      </c>
      <c r="G875" s="24">
        <v>0.85</v>
      </c>
      <c r="H875" s="102" t="s">
        <v>1028</v>
      </c>
      <c r="I875" s="102" t="s">
        <v>1680</v>
      </c>
      <c r="J875" s="102"/>
      <c r="K875" s="102" t="s">
        <v>1256</v>
      </c>
      <c r="L875" s="102" t="s">
        <v>2484</v>
      </c>
      <c r="M875" s="102"/>
    </row>
    <row r="876" spans="1:13" x14ac:dyDescent="0.3">
      <c r="A876" s="25">
        <v>45946</v>
      </c>
      <c r="B876" s="25">
        <v>45946</v>
      </c>
      <c r="C876" s="26">
        <v>0</v>
      </c>
      <c r="D876" s="26">
        <v>39264.83</v>
      </c>
      <c r="E876" s="26"/>
      <c r="F876" s="26" t="s">
        <v>3</v>
      </c>
      <c r="G876" s="24">
        <v>0.93</v>
      </c>
      <c r="H876" s="26" t="s">
        <v>49</v>
      </c>
      <c r="I876" s="26" t="s">
        <v>1779</v>
      </c>
      <c r="J876" s="26"/>
      <c r="K876" s="26" t="s">
        <v>585</v>
      </c>
      <c r="L876" s="26" t="s">
        <v>2482</v>
      </c>
      <c r="M876" s="26"/>
    </row>
    <row r="877" spans="1:13" x14ac:dyDescent="0.3">
      <c r="A877" s="27">
        <v>45946</v>
      </c>
      <c r="B877" s="27">
        <v>45946</v>
      </c>
      <c r="C877" s="28">
        <v>78.900000000000006</v>
      </c>
      <c r="D877" s="28">
        <v>0</v>
      </c>
      <c r="E877" s="28"/>
      <c r="F877" s="28" t="s">
        <v>4</v>
      </c>
      <c r="G877" s="24">
        <v>0.97</v>
      </c>
      <c r="H877" s="28" t="s">
        <v>49</v>
      </c>
      <c r="I877" s="28" t="s">
        <v>1779</v>
      </c>
      <c r="J877" s="28"/>
      <c r="K877" s="28" t="s">
        <v>50</v>
      </c>
      <c r="L877" s="28" t="s">
        <v>2482</v>
      </c>
      <c r="M877" s="28"/>
    </row>
    <row r="878" spans="1:13" x14ac:dyDescent="0.3">
      <c r="A878" s="35">
        <v>45947</v>
      </c>
      <c r="B878" s="35">
        <v>45947</v>
      </c>
      <c r="C878" s="36">
        <v>637.20000000000005</v>
      </c>
      <c r="D878" s="36">
        <v>0</v>
      </c>
      <c r="E878" s="36"/>
      <c r="F878" s="36" t="s">
        <v>9</v>
      </c>
      <c r="G878" s="24">
        <v>0.93</v>
      </c>
      <c r="H878" s="36" t="s">
        <v>9</v>
      </c>
      <c r="I878" s="36" t="s">
        <v>1779</v>
      </c>
      <c r="J878" s="36"/>
      <c r="K878" s="36" t="s">
        <v>590</v>
      </c>
      <c r="L878" s="36" t="s">
        <v>2482</v>
      </c>
      <c r="M878" s="36"/>
    </row>
    <row r="879" spans="1:13" x14ac:dyDescent="0.3">
      <c r="A879" s="25">
        <v>45947</v>
      </c>
      <c r="B879" s="25">
        <v>45947</v>
      </c>
      <c r="C879" s="26">
        <v>0</v>
      </c>
      <c r="D879" s="26">
        <v>2695.61</v>
      </c>
      <c r="E879" s="26"/>
      <c r="F879" s="26" t="s">
        <v>3</v>
      </c>
      <c r="G879" s="24">
        <v>0.93</v>
      </c>
      <c r="H879" s="26" t="s">
        <v>49</v>
      </c>
      <c r="I879" s="26" t="s">
        <v>1779</v>
      </c>
      <c r="J879" s="26"/>
      <c r="K879" s="26" t="s">
        <v>588</v>
      </c>
      <c r="L879" s="26" t="s">
        <v>2482</v>
      </c>
      <c r="M879" s="26"/>
    </row>
    <row r="880" spans="1:13" x14ac:dyDescent="0.3">
      <c r="A880" s="101">
        <v>45947</v>
      </c>
      <c r="B880" s="101">
        <v>45947</v>
      </c>
      <c r="C880" s="102">
        <v>1500</v>
      </c>
      <c r="D880" s="102">
        <v>0</v>
      </c>
      <c r="E880" s="102"/>
      <c r="F880" s="102" t="s">
        <v>976</v>
      </c>
      <c r="G880" s="24">
        <v>0.85</v>
      </c>
      <c r="H880" s="102" t="s">
        <v>1028</v>
      </c>
      <c r="I880" s="102" t="s">
        <v>1680</v>
      </c>
      <c r="J880" s="102"/>
      <c r="K880" s="102" t="s">
        <v>1259</v>
      </c>
      <c r="L880" s="102" t="s">
        <v>2484</v>
      </c>
      <c r="M880" s="102"/>
    </row>
    <row r="881" spans="1:13" x14ac:dyDescent="0.3">
      <c r="A881" s="89">
        <v>45947</v>
      </c>
      <c r="B881" s="89">
        <v>45947</v>
      </c>
      <c r="C881" s="90">
        <v>10</v>
      </c>
      <c r="D881" s="90">
        <v>0</v>
      </c>
      <c r="E881" s="90" t="s">
        <v>1258</v>
      </c>
      <c r="F881" s="90" t="s">
        <v>975</v>
      </c>
      <c r="G881" s="39">
        <v>0.55000000000000004</v>
      </c>
      <c r="H881" s="90" t="s">
        <v>91</v>
      </c>
      <c r="I881" s="90" t="s">
        <v>1680</v>
      </c>
      <c r="J881" s="90"/>
      <c r="K881" s="90" t="s">
        <v>1257</v>
      </c>
      <c r="L881" s="90" t="s">
        <v>2484</v>
      </c>
      <c r="M881" s="90"/>
    </row>
    <row r="882" spans="1:13" x14ac:dyDescent="0.3">
      <c r="A882" s="27">
        <v>45947</v>
      </c>
      <c r="B882" s="27">
        <v>45947</v>
      </c>
      <c r="C882" s="28">
        <v>87.37</v>
      </c>
      <c r="D882" s="28">
        <v>0</v>
      </c>
      <c r="E882" s="28"/>
      <c r="F882" s="28" t="s">
        <v>4</v>
      </c>
      <c r="G882" s="24">
        <v>0.97</v>
      </c>
      <c r="H882" s="28" t="s">
        <v>49</v>
      </c>
      <c r="I882" s="28" t="s">
        <v>1779</v>
      </c>
      <c r="J882" s="28"/>
      <c r="K882" s="28" t="s">
        <v>50</v>
      </c>
      <c r="L882" s="28" t="s">
        <v>2482</v>
      </c>
      <c r="M882" s="28"/>
    </row>
    <row r="883" spans="1:13" x14ac:dyDescent="0.3">
      <c r="A883" s="101">
        <v>45948</v>
      </c>
      <c r="B883" s="101">
        <v>45948</v>
      </c>
      <c r="C883" s="102">
        <v>1500</v>
      </c>
      <c r="D883" s="102">
        <v>0</v>
      </c>
      <c r="E883" s="102"/>
      <c r="F883" s="102" t="s">
        <v>976</v>
      </c>
      <c r="G883" s="24">
        <v>0.85</v>
      </c>
      <c r="H883" s="102" t="s">
        <v>1028</v>
      </c>
      <c r="I883" s="102" t="s">
        <v>1680</v>
      </c>
      <c r="J883" s="102"/>
      <c r="K883" s="102" t="s">
        <v>1261</v>
      </c>
      <c r="L883" s="102" t="s">
        <v>2484</v>
      </c>
      <c r="M883" s="102" t="s">
        <v>2485</v>
      </c>
    </row>
    <row r="884" spans="1:13" x14ac:dyDescent="0.3">
      <c r="A884" s="101">
        <v>45948</v>
      </c>
      <c r="B884" s="101">
        <v>45948</v>
      </c>
      <c r="C884" s="102">
        <v>1500</v>
      </c>
      <c r="D884" s="102">
        <v>0</v>
      </c>
      <c r="E884" s="102"/>
      <c r="F884" s="102" t="s">
        <v>976</v>
      </c>
      <c r="G884" s="24">
        <v>0.85</v>
      </c>
      <c r="H884" s="102" t="s">
        <v>1028</v>
      </c>
      <c r="I884" s="102" t="s">
        <v>1680</v>
      </c>
      <c r="J884" s="102"/>
      <c r="K884" s="102" t="s">
        <v>1260</v>
      </c>
      <c r="L884" s="102" t="s">
        <v>2484</v>
      </c>
      <c r="M884" s="102" t="s">
        <v>2485</v>
      </c>
    </row>
    <row r="885" spans="1:13" x14ac:dyDescent="0.3">
      <c r="A885" s="89">
        <v>45949</v>
      </c>
      <c r="B885" s="89">
        <v>45949</v>
      </c>
      <c r="C885" s="90">
        <v>412.42</v>
      </c>
      <c r="D885" s="90">
        <v>0</v>
      </c>
      <c r="E885" s="90"/>
      <c r="F885" s="90" t="s">
        <v>992</v>
      </c>
      <c r="G885" s="40">
        <v>0.75</v>
      </c>
      <c r="H885" s="90" t="s">
        <v>91</v>
      </c>
      <c r="I885" s="90" t="s">
        <v>1680</v>
      </c>
      <c r="J885" s="90"/>
      <c r="K885" s="90" t="s">
        <v>1262</v>
      </c>
      <c r="L885" s="90" t="s">
        <v>2484</v>
      </c>
      <c r="M885" s="90"/>
    </row>
    <row r="886" spans="1:13" x14ac:dyDescent="0.3">
      <c r="A886" s="89">
        <v>45949</v>
      </c>
      <c r="B886" s="89">
        <v>45949</v>
      </c>
      <c r="C886" s="90">
        <v>50</v>
      </c>
      <c r="D886" s="90">
        <v>0</v>
      </c>
      <c r="E886" s="90" t="s">
        <v>1264</v>
      </c>
      <c r="F886" s="90" t="s">
        <v>975</v>
      </c>
      <c r="G886" s="39">
        <v>0.55000000000000004</v>
      </c>
      <c r="H886" s="90" t="s">
        <v>91</v>
      </c>
      <c r="I886" s="90" t="s">
        <v>1680</v>
      </c>
      <c r="J886" s="90"/>
      <c r="K886" s="90" t="s">
        <v>1263</v>
      </c>
      <c r="L886" s="90" t="s">
        <v>2484</v>
      </c>
      <c r="M886" s="90"/>
    </row>
    <row r="887" spans="1:13" x14ac:dyDescent="0.3">
      <c r="A887" s="146">
        <v>45949.407824074071</v>
      </c>
      <c r="B887" s="146">
        <v>45949</v>
      </c>
      <c r="C887" s="147">
        <v>0</v>
      </c>
      <c r="D887" s="147">
        <v>57.42</v>
      </c>
      <c r="E887" s="147"/>
      <c r="F887" s="147" t="s">
        <v>1678</v>
      </c>
      <c r="G887" s="24">
        <v>0.88</v>
      </c>
      <c r="H887" s="147" t="s">
        <v>1658</v>
      </c>
      <c r="I887" s="147" t="s">
        <v>1019</v>
      </c>
      <c r="J887" s="147"/>
      <c r="K887" s="147" t="s">
        <v>2311</v>
      </c>
      <c r="L887" s="147" t="s">
        <v>2483</v>
      </c>
      <c r="M887" s="147"/>
    </row>
    <row r="888" spans="1:13" x14ac:dyDescent="0.3">
      <c r="A888" s="25">
        <v>45950</v>
      </c>
      <c r="B888" s="25">
        <v>45950</v>
      </c>
      <c r="C888" s="26">
        <v>0</v>
      </c>
      <c r="D888" s="26">
        <v>18179.96</v>
      </c>
      <c r="E888" s="26"/>
      <c r="F888" s="26" t="s">
        <v>3</v>
      </c>
      <c r="G888" s="24">
        <v>0.93</v>
      </c>
      <c r="H888" s="26" t="s">
        <v>49</v>
      </c>
      <c r="I888" s="26" t="s">
        <v>1779</v>
      </c>
      <c r="J888" s="26"/>
      <c r="K888" s="26" t="s">
        <v>594</v>
      </c>
      <c r="L888" s="26" t="s">
        <v>2482</v>
      </c>
      <c r="M888" s="26"/>
    </row>
    <row r="889" spans="1:13" x14ac:dyDescent="0.3">
      <c r="A889" s="27">
        <v>45950</v>
      </c>
      <c r="B889" s="27">
        <v>45950</v>
      </c>
      <c r="C889" s="28">
        <v>3856.78</v>
      </c>
      <c r="D889" s="28">
        <v>0</v>
      </c>
      <c r="E889" s="28"/>
      <c r="F889" s="28" t="s">
        <v>4</v>
      </c>
      <c r="G889" s="24">
        <v>0.97</v>
      </c>
      <c r="H889" s="28" t="s">
        <v>49</v>
      </c>
      <c r="I889" s="28" t="s">
        <v>1779</v>
      </c>
      <c r="J889" s="28"/>
      <c r="K889" s="28" t="s">
        <v>50</v>
      </c>
      <c r="L889" s="28" t="s">
        <v>2482</v>
      </c>
      <c r="M889" s="28"/>
    </row>
    <row r="890" spans="1:13" x14ac:dyDescent="0.3">
      <c r="A890" s="49">
        <v>45950</v>
      </c>
      <c r="B890" s="49">
        <v>45950</v>
      </c>
      <c r="C890" s="50">
        <v>0</v>
      </c>
      <c r="D890" s="50">
        <v>437.5</v>
      </c>
      <c r="E890" s="50"/>
      <c r="F890" s="50" t="s">
        <v>17</v>
      </c>
      <c r="G890" s="24">
        <v>0.88</v>
      </c>
      <c r="H890" s="50" t="s">
        <v>17</v>
      </c>
      <c r="I890" s="50" t="s">
        <v>1779</v>
      </c>
      <c r="J890" s="50"/>
      <c r="K890" s="50" t="s">
        <v>596</v>
      </c>
      <c r="L890" s="50" t="s">
        <v>2482</v>
      </c>
      <c r="M890" s="50"/>
    </row>
    <row r="891" spans="1:13" x14ac:dyDescent="0.3">
      <c r="A891" s="27">
        <v>45950</v>
      </c>
      <c r="B891" s="27">
        <v>45950</v>
      </c>
      <c r="C891" s="28">
        <v>264.99</v>
      </c>
      <c r="D891" s="28">
        <v>0</v>
      </c>
      <c r="E891" s="28"/>
      <c r="F891" s="28" t="s">
        <v>4</v>
      </c>
      <c r="G891" s="24">
        <v>0.97</v>
      </c>
      <c r="H891" s="28" t="s">
        <v>49</v>
      </c>
      <c r="I891" s="28" t="s">
        <v>1779</v>
      </c>
      <c r="J891" s="28"/>
      <c r="K891" s="28" t="s">
        <v>50</v>
      </c>
      <c r="L891" s="28" t="s">
        <v>2482</v>
      </c>
      <c r="M891" s="28"/>
    </row>
    <row r="892" spans="1:13" x14ac:dyDescent="0.3">
      <c r="A892" s="25">
        <v>45950</v>
      </c>
      <c r="B892" s="25">
        <v>45950</v>
      </c>
      <c r="C892" s="26">
        <v>0</v>
      </c>
      <c r="D892" s="26">
        <v>18258.91</v>
      </c>
      <c r="E892" s="26"/>
      <c r="F892" s="26" t="s">
        <v>3</v>
      </c>
      <c r="G892" s="24">
        <v>0.93</v>
      </c>
      <c r="H892" s="26" t="s">
        <v>49</v>
      </c>
      <c r="I892" s="26" t="s">
        <v>1779</v>
      </c>
      <c r="J892" s="26"/>
      <c r="K892" s="26" t="s">
        <v>592</v>
      </c>
      <c r="L892" s="26" t="s">
        <v>2482</v>
      </c>
      <c r="M892" s="26"/>
    </row>
    <row r="893" spans="1:13" x14ac:dyDescent="0.3">
      <c r="A893" s="101">
        <v>45950</v>
      </c>
      <c r="B893" s="101">
        <v>45950</v>
      </c>
      <c r="C893" s="102">
        <v>1500</v>
      </c>
      <c r="D893" s="102">
        <v>0</v>
      </c>
      <c r="E893" s="102"/>
      <c r="F893" s="102" t="s">
        <v>976</v>
      </c>
      <c r="G893" s="24">
        <v>0.85</v>
      </c>
      <c r="H893" s="102" t="s">
        <v>1028</v>
      </c>
      <c r="I893" s="102" t="s">
        <v>1680</v>
      </c>
      <c r="J893" s="102"/>
      <c r="K893" s="102" t="s">
        <v>1265</v>
      </c>
      <c r="L893" s="102" t="s">
        <v>2484</v>
      </c>
      <c r="M893" s="102"/>
    </row>
    <row r="894" spans="1:13" x14ac:dyDescent="0.3">
      <c r="A894" s="89">
        <v>45950</v>
      </c>
      <c r="B894" s="89">
        <v>45950</v>
      </c>
      <c r="C894" s="90">
        <v>10</v>
      </c>
      <c r="D894" s="90">
        <v>0</v>
      </c>
      <c r="E894" s="90" t="s">
        <v>1267</v>
      </c>
      <c r="F894" s="90" t="s">
        <v>975</v>
      </c>
      <c r="G894" s="39">
        <v>0.55000000000000004</v>
      </c>
      <c r="H894" s="90" t="s">
        <v>91</v>
      </c>
      <c r="I894" s="90" t="s">
        <v>1680</v>
      </c>
      <c r="J894" s="90"/>
      <c r="K894" s="90" t="s">
        <v>1266</v>
      </c>
      <c r="L894" s="90" t="s">
        <v>2484</v>
      </c>
      <c r="M894" s="90"/>
    </row>
    <row r="895" spans="1:13" x14ac:dyDescent="0.3">
      <c r="A895" s="101">
        <v>45951</v>
      </c>
      <c r="B895" s="101">
        <v>45951</v>
      </c>
      <c r="C895" s="102">
        <v>1500</v>
      </c>
      <c r="D895" s="102">
        <v>0</v>
      </c>
      <c r="E895" s="102"/>
      <c r="F895" s="102" t="s">
        <v>976</v>
      </c>
      <c r="G895" s="24">
        <v>0.85</v>
      </c>
      <c r="H895" s="102" t="s">
        <v>1028</v>
      </c>
      <c r="I895" s="102" t="s">
        <v>1680</v>
      </c>
      <c r="J895" s="102"/>
      <c r="K895" s="102" t="s">
        <v>1268</v>
      </c>
      <c r="L895" s="102" t="s">
        <v>2484</v>
      </c>
      <c r="M895" s="102"/>
    </row>
    <row r="896" spans="1:13" x14ac:dyDescent="0.3">
      <c r="A896" s="47">
        <v>45951</v>
      </c>
      <c r="B896" s="47">
        <v>45951</v>
      </c>
      <c r="C896" s="48">
        <v>100000</v>
      </c>
      <c r="D896" s="48">
        <v>0</v>
      </c>
      <c r="E896" s="48"/>
      <c r="F896" s="48" t="s">
        <v>24</v>
      </c>
      <c r="G896" s="24">
        <v>0.88</v>
      </c>
      <c r="H896" s="48" t="s">
        <v>157</v>
      </c>
      <c r="I896" s="48" t="s">
        <v>1779</v>
      </c>
      <c r="J896" s="48"/>
      <c r="K896" s="48" t="s">
        <v>549</v>
      </c>
      <c r="L896" s="48" t="s">
        <v>2482</v>
      </c>
      <c r="M896" s="48"/>
    </row>
    <row r="897" spans="1:13" x14ac:dyDescent="0.3">
      <c r="A897" s="27">
        <v>45951</v>
      </c>
      <c r="B897" s="27">
        <v>45951</v>
      </c>
      <c r="C897" s="28">
        <v>22927.360000000001</v>
      </c>
      <c r="D897" s="28">
        <v>0</v>
      </c>
      <c r="E897" s="28"/>
      <c r="F897" s="28" t="s">
        <v>4</v>
      </c>
      <c r="G897" s="24">
        <v>0.97</v>
      </c>
      <c r="H897" s="28" t="s">
        <v>49</v>
      </c>
      <c r="I897" s="28" t="s">
        <v>1779</v>
      </c>
      <c r="J897" s="28"/>
      <c r="K897" s="28" t="s">
        <v>50</v>
      </c>
      <c r="L897" s="28" t="s">
        <v>2482</v>
      </c>
      <c r="M897" s="28"/>
    </row>
    <row r="898" spans="1:13" x14ac:dyDescent="0.3">
      <c r="A898" s="101">
        <v>45952.190370370372</v>
      </c>
      <c r="B898" s="101">
        <v>45952</v>
      </c>
      <c r="C898" s="102">
        <v>1500</v>
      </c>
      <c r="D898" s="102">
        <v>0</v>
      </c>
      <c r="E898" s="102"/>
      <c r="F898" s="102" t="s">
        <v>976</v>
      </c>
      <c r="G898" s="24">
        <v>0.85</v>
      </c>
      <c r="H898" s="102" t="s">
        <v>1028</v>
      </c>
      <c r="I898" s="102" t="s">
        <v>1019</v>
      </c>
      <c r="J898" s="102"/>
      <c r="K898" s="102" t="s">
        <v>2313</v>
      </c>
      <c r="L898" s="102" t="s">
        <v>2483</v>
      </c>
      <c r="M898" s="102"/>
    </row>
    <row r="899" spans="1:13" x14ac:dyDescent="0.3">
      <c r="A899" s="101">
        <v>45953</v>
      </c>
      <c r="B899" s="101">
        <v>45953</v>
      </c>
      <c r="C899" s="102">
        <v>1500</v>
      </c>
      <c r="D899" s="102">
        <v>0</v>
      </c>
      <c r="E899" s="102"/>
      <c r="F899" s="102" t="s">
        <v>976</v>
      </c>
      <c r="G899" s="24">
        <v>0.85</v>
      </c>
      <c r="H899" s="102" t="s">
        <v>1028</v>
      </c>
      <c r="I899" s="102" t="s">
        <v>1680</v>
      </c>
      <c r="J899" s="102"/>
      <c r="K899" s="102" t="s">
        <v>1269</v>
      </c>
      <c r="L899" s="102" t="s">
        <v>2484</v>
      </c>
      <c r="M899" s="102"/>
    </row>
    <row r="900" spans="1:13" x14ac:dyDescent="0.3">
      <c r="A900" s="25">
        <v>45953</v>
      </c>
      <c r="B900" s="25">
        <v>45953</v>
      </c>
      <c r="C900" s="26">
        <v>0</v>
      </c>
      <c r="D900" s="26">
        <v>29878.36</v>
      </c>
      <c r="E900" s="26"/>
      <c r="F900" s="26" t="s">
        <v>3</v>
      </c>
      <c r="G900" s="24">
        <v>0.93</v>
      </c>
      <c r="H900" s="26" t="s">
        <v>49</v>
      </c>
      <c r="I900" s="26" t="s">
        <v>1779</v>
      </c>
      <c r="J900" s="26"/>
      <c r="K900" s="26" t="s">
        <v>602</v>
      </c>
      <c r="L900" s="26" t="s">
        <v>2482</v>
      </c>
      <c r="M900" s="26"/>
    </row>
    <row r="901" spans="1:13" x14ac:dyDescent="0.3">
      <c r="A901" s="59">
        <v>45953</v>
      </c>
      <c r="B901" s="59">
        <v>45953</v>
      </c>
      <c r="C901" s="60">
        <v>0</v>
      </c>
      <c r="D901" s="60">
        <v>42932.800000000003</v>
      </c>
      <c r="E901" s="60"/>
      <c r="F901" s="60" t="s">
        <v>29</v>
      </c>
      <c r="G901" s="24">
        <v>0.9</v>
      </c>
      <c r="H901" s="60" t="s">
        <v>606</v>
      </c>
      <c r="I901" s="60" t="s">
        <v>1779</v>
      </c>
      <c r="J901" s="60"/>
      <c r="K901" s="60" t="s">
        <v>604</v>
      </c>
      <c r="L901" s="60" t="s">
        <v>2482</v>
      </c>
      <c r="M901" s="60"/>
    </row>
    <row r="902" spans="1:13" x14ac:dyDescent="0.3">
      <c r="A902" s="27">
        <v>45953</v>
      </c>
      <c r="B902" s="27">
        <v>45953</v>
      </c>
      <c r="C902" s="28">
        <v>193.92</v>
      </c>
      <c r="D902" s="28">
        <v>0</v>
      </c>
      <c r="E902" s="28"/>
      <c r="F902" s="28" t="s">
        <v>4</v>
      </c>
      <c r="G902" s="24">
        <v>0.97</v>
      </c>
      <c r="H902" s="28" t="s">
        <v>49</v>
      </c>
      <c r="I902" s="28" t="s">
        <v>1779</v>
      </c>
      <c r="J902" s="28"/>
      <c r="K902" s="28" t="s">
        <v>50</v>
      </c>
      <c r="L902" s="28" t="s">
        <v>2482</v>
      </c>
      <c r="M902" s="28"/>
    </row>
    <row r="903" spans="1:13" x14ac:dyDescent="0.3">
      <c r="A903" s="25">
        <v>45954</v>
      </c>
      <c r="B903" s="25">
        <v>45954</v>
      </c>
      <c r="C903" s="26">
        <v>0</v>
      </c>
      <c r="D903" s="26">
        <v>27821.56</v>
      </c>
      <c r="E903" s="26"/>
      <c r="F903" s="26" t="s">
        <v>3</v>
      </c>
      <c r="G903" s="24">
        <v>0.93</v>
      </c>
      <c r="H903" s="26" t="s">
        <v>49</v>
      </c>
      <c r="I903" s="26" t="s">
        <v>1779</v>
      </c>
      <c r="J903" s="26"/>
      <c r="K903" s="26" t="s">
        <v>608</v>
      </c>
      <c r="L903" s="26" t="s">
        <v>2482</v>
      </c>
      <c r="M903" s="26"/>
    </row>
    <row r="904" spans="1:13" x14ac:dyDescent="0.3">
      <c r="A904" s="25">
        <v>45954</v>
      </c>
      <c r="B904" s="25">
        <v>45954</v>
      </c>
      <c r="C904" s="26">
        <v>0</v>
      </c>
      <c r="D904" s="26">
        <v>14.76</v>
      </c>
      <c r="E904" s="26"/>
      <c r="F904" s="26" t="s">
        <v>3</v>
      </c>
      <c r="G904" s="24">
        <v>0.93</v>
      </c>
      <c r="H904" s="26" t="s">
        <v>49</v>
      </c>
      <c r="I904" s="26" t="s">
        <v>1779</v>
      </c>
      <c r="J904" s="26"/>
      <c r="K904" s="26" t="s">
        <v>610</v>
      </c>
      <c r="L904" s="26" t="s">
        <v>2482</v>
      </c>
      <c r="M904" s="26"/>
    </row>
    <row r="905" spans="1:13" x14ac:dyDescent="0.3">
      <c r="A905" s="27">
        <v>45954</v>
      </c>
      <c r="B905" s="27">
        <v>45954</v>
      </c>
      <c r="C905" s="28">
        <v>99.34</v>
      </c>
      <c r="D905" s="28">
        <v>0</v>
      </c>
      <c r="E905" s="28"/>
      <c r="F905" s="28" t="s">
        <v>4</v>
      </c>
      <c r="G905" s="24">
        <v>0.97</v>
      </c>
      <c r="H905" s="28" t="s">
        <v>49</v>
      </c>
      <c r="I905" s="28" t="s">
        <v>1779</v>
      </c>
      <c r="J905" s="28"/>
      <c r="K905" s="28" t="s">
        <v>50</v>
      </c>
      <c r="L905" s="28" t="s">
        <v>2482</v>
      </c>
      <c r="M905" s="28"/>
    </row>
    <row r="906" spans="1:13" x14ac:dyDescent="0.3">
      <c r="A906" s="101">
        <v>45954</v>
      </c>
      <c r="B906" s="101">
        <v>45954</v>
      </c>
      <c r="C906" s="102">
        <v>1500</v>
      </c>
      <c r="D906" s="102">
        <v>0</v>
      </c>
      <c r="E906" s="102"/>
      <c r="F906" s="102" t="s">
        <v>976</v>
      </c>
      <c r="G906" s="24">
        <v>0.85</v>
      </c>
      <c r="H906" s="102" t="s">
        <v>1028</v>
      </c>
      <c r="I906" s="102" t="s">
        <v>1680</v>
      </c>
      <c r="J906" s="102"/>
      <c r="K906" s="102" t="s">
        <v>1270</v>
      </c>
      <c r="L906" s="102" t="s">
        <v>2484</v>
      </c>
      <c r="M906" s="102"/>
    </row>
    <row r="907" spans="1:13" x14ac:dyDescent="0.3">
      <c r="A907" s="101">
        <v>45955</v>
      </c>
      <c r="B907" s="101">
        <v>45955</v>
      </c>
      <c r="C907" s="102">
        <v>3200</v>
      </c>
      <c r="D907" s="102">
        <v>0</v>
      </c>
      <c r="E907" s="102"/>
      <c r="F907" s="102" t="s">
        <v>976</v>
      </c>
      <c r="G907" s="24">
        <v>0.85</v>
      </c>
      <c r="H907" s="102" t="s">
        <v>1028</v>
      </c>
      <c r="I907" s="102" t="s">
        <v>1680</v>
      </c>
      <c r="J907" s="102"/>
      <c r="K907" s="102" t="s">
        <v>1271</v>
      </c>
      <c r="L907" s="102" t="s">
        <v>2484</v>
      </c>
      <c r="M907" s="102"/>
    </row>
    <row r="908" spans="1:13" x14ac:dyDescent="0.3">
      <c r="A908" s="83">
        <v>45955</v>
      </c>
      <c r="B908" s="83">
        <v>45955</v>
      </c>
      <c r="C908" s="84">
        <v>0</v>
      </c>
      <c r="D908" s="84">
        <v>2430</v>
      </c>
      <c r="E908" s="84"/>
      <c r="F908" s="84" t="s">
        <v>973</v>
      </c>
      <c r="G908" s="24">
        <v>0.92</v>
      </c>
      <c r="H908" s="84" t="s">
        <v>1014</v>
      </c>
      <c r="I908" s="84" t="s">
        <v>1680</v>
      </c>
      <c r="J908" s="84"/>
      <c r="K908" s="84" t="s">
        <v>1272</v>
      </c>
      <c r="L908" s="84" t="s">
        <v>2484</v>
      </c>
      <c r="M908" s="84"/>
    </row>
    <row r="909" spans="1:13" x14ac:dyDescent="0.3">
      <c r="A909" s="47">
        <v>45956</v>
      </c>
      <c r="B909" s="47">
        <v>45956</v>
      </c>
      <c r="C909" s="48">
        <v>0</v>
      </c>
      <c r="D909" s="48">
        <v>50000</v>
      </c>
      <c r="E909" s="48"/>
      <c r="F909" s="48" t="s">
        <v>16</v>
      </c>
      <c r="G909" s="24">
        <v>0.88</v>
      </c>
      <c r="H909" s="48" t="s">
        <v>157</v>
      </c>
      <c r="I909" s="48" t="s">
        <v>1779</v>
      </c>
      <c r="J909" s="48"/>
      <c r="K909" s="48" t="s">
        <v>613</v>
      </c>
      <c r="L909" s="48" t="s">
        <v>2482</v>
      </c>
      <c r="M909" s="48"/>
    </row>
    <row r="910" spans="1:13" x14ac:dyDescent="0.3">
      <c r="A910" s="101">
        <v>45956</v>
      </c>
      <c r="B910" s="101">
        <v>45956</v>
      </c>
      <c r="C910" s="102">
        <v>3200</v>
      </c>
      <c r="D910" s="102">
        <v>0</v>
      </c>
      <c r="E910" s="102"/>
      <c r="F910" s="102" t="s">
        <v>976</v>
      </c>
      <c r="G910" s="24">
        <v>0.85</v>
      </c>
      <c r="H910" s="102" t="s">
        <v>1028</v>
      </c>
      <c r="I910" s="102" t="s">
        <v>1680</v>
      </c>
      <c r="J910" s="102"/>
      <c r="K910" s="102" t="s">
        <v>1273</v>
      </c>
      <c r="L910" s="102" t="s">
        <v>2484</v>
      </c>
      <c r="M910" s="102"/>
    </row>
    <row r="911" spans="1:13" x14ac:dyDescent="0.3">
      <c r="A911" s="83">
        <v>45956.40525462963</v>
      </c>
      <c r="B911" s="83">
        <v>45956</v>
      </c>
      <c r="C911" s="84">
        <v>231.8</v>
      </c>
      <c r="D911" s="84">
        <v>0</v>
      </c>
      <c r="E911" s="84"/>
      <c r="F911" s="84" t="s">
        <v>973</v>
      </c>
      <c r="G911" s="40">
        <v>0.68</v>
      </c>
      <c r="H911" s="84" t="s">
        <v>1014</v>
      </c>
      <c r="I911" s="84" t="s">
        <v>1019</v>
      </c>
      <c r="J911" s="84"/>
      <c r="K911" s="84" t="s">
        <v>2315</v>
      </c>
      <c r="L911" s="84" t="s">
        <v>2483</v>
      </c>
      <c r="M911" s="84"/>
    </row>
    <row r="912" spans="1:13" x14ac:dyDescent="0.3">
      <c r="A912" s="89">
        <v>45956.818680555552</v>
      </c>
      <c r="B912" s="89">
        <v>45956</v>
      </c>
      <c r="C912" s="90">
        <v>2445</v>
      </c>
      <c r="D912" s="90">
        <v>0</v>
      </c>
      <c r="E912" s="90" t="s">
        <v>2319</v>
      </c>
      <c r="F912" s="90" t="s">
        <v>975</v>
      </c>
      <c r="G912" s="39">
        <v>0.55000000000000004</v>
      </c>
      <c r="H912" s="90" t="s">
        <v>91</v>
      </c>
      <c r="I912" s="90" t="s">
        <v>1019</v>
      </c>
      <c r="J912" s="90"/>
      <c r="K912" s="90" t="s">
        <v>2317</v>
      </c>
      <c r="L912" s="90" t="s">
        <v>2483</v>
      </c>
      <c r="M912" s="90"/>
    </row>
    <row r="913" spans="1:13" x14ac:dyDescent="0.3">
      <c r="A913" s="47">
        <v>45957</v>
      </c>
      <c r="B913" s="47">
        <v>45957</v>
      </c>
      <c r="C913" s="48">
        <v>0</v>
      </c>
      <c r="D913" s="48">
        <v>90000</v>
      </c>
      <c r="E913" s="48"/>
      <c r="F913" s="48" t="s">
        <v>16</v>
      </c>
      <c r="G913" s="24">
        <v>0.88</v>
      </c>
      <c r="H913" s="48" t="s">
        <v>157</v>
      </c>
      <c r="I913" s="48" t="s">
        <v>1779</v>
      </c>
      <c r="J913" s="48"/>
      <c r="K913" s="48" t="s">
        <v>618</v>
      </c>
      <c r="L913" s="48" t="s">
        <v>2482</v>
      </c>
      <c r="M913" s="48"/>
    </row>
    <row r="914" spans="1:13" x14ac:dyDescent="0.3">
      <c r="A914" s="27">
        <v>45957</v>
      </c>
      <c r="B914" s="27">
        <v>45957</v>
      </c>
      <c r="C914" s="28">
        <v>298.05</v>
      </c>
      <c r="D914" s="28">
        <v>0</v>
      </c>
      <c r="E914" s="28"/>
      <c r="F914" s="28" t="s">
        <v>4</v>
      </c>
      <c r="G914" s="24">
        <v>0.97</v>
      </c>
      <c r="H914" s="28" t="s">
        <v>49</v>
      </c>
      <c r="I914" s="28" t="s">
        <v>1779</v>
      </c>
      <c r="J914" s="28"/>
      <c r="K914" s="28" t="s">
        <v>50</v>
      </c>
      <c r="L914" s="28" t="s">
        <v>2482</v>
      </c>
      <c r="M914" s="28"/>
    </row>
    <row r="915" spans="1:13" x14ac:dyDescent="0.3">
      <c r="A915" s="25">
        <v>45957</v>
      </c>
      <c r="B915" s="25">
        <v>45957</v>
      </c>
      <c r="C915" s="26">
        <v>0</v>
      </c>
      <c r="D915" s="26">
        <v>86.26</v>
      </c>
      <c r="E915" s="26"/>
      <c r="F915" s="26" t="s">
        <v>3</v>
      </c>
      <c r="G915" s="24">
        <v>0.93</v>
      </c>
      <c r="H915" s="26" t="s">
        <v>49</v>
      </c>
      <c r="I915" s="26" t="s">
        <v>1779</v>
      </c>
      <c r="J915" s="26"/>
      <c r="K915" s="26" t="s">
        <v>615</v>
      </c>
      <c r="L915" s="26" t="s">
        <v>2482</v>
      </c>
      <c r="M915" s="26"/>
    </row>
    <row r="916" spans="1:13" x14ac:dyDescent="0.3">
      <c r="A916" s="101">
        <v>45957</v>
      </c>
      <c r="B916" s="101">
        <v>45957</v>
      </c>
      <c r="C916" s="102">
        <v>3000</v>
      </c>
      <c r="D916" s="102">
        <v>0</v>
      </c>
      <c r="E916" s="102"/>
      <c r="F916" s="102" t="s">
        <v>976</v>
      </c>
      <c r="G916" s="24">
        <v>0.85</v>
      </c>
      <c r="H916" s="102" t="s">
        <v>1028</v>
      </c>
      <c r="I916" s="102" t="s">
        <v>1680</v>
      </c>
      <c r="J916" s="102"/>
      <c r="K916" s="102" t="s">
        <v>1274</v>
      </c>
      <c r="L916" s="102" t="s">
        <v>2484</v>
      </c>
      <c r="M916" s="102"/>
    </row>
    <row r="917" spans="1:13" x14ac:dyDescent="0.3">
      <c r="A917" s="25">
        <v>45958</v>
      </c>
      <c r="B917" s="25">
        <v>45958</v>
      </c>
      <c r="C917" s="26">
        <v>0</v>
      </c>
      <c r="D917" s="26">
        <v>24182.18</v>
      </c>
      <c r="E917" s="26"/>
      <c r="F917" s="26" t="s">
        <v>3</v>
      </c>
      <c r="G917" s="24">
        <v>0.93</v>
      </c>
      <c r="H917" s="26" t="s">
        <v>49</v>
      </c>
      <c r="I917" s="26" t="s">
        <v>1779</v>
      </c>
      <c r="J917" s="26"/>
      <c r="K917" s="26" t="s">
        <v>620</v>
      </c>
      <c r="L917" s="26" t="s">
        <v>2482</v>
      </c>
      <c r="M917" s="26"/>
    </row>
    <row r="918" spans="1:13" x14ac:dyDescent="0.3">
      <c r="A918" s="27">
        <v>45958</v>
      </c>
      <c r="B918" s="27">
        <v>45958</v>
      </c>
      <c r="C918" s="28">
        <v>99.38</v>
      </c>
      <c r="D918" s="28">
        <v>0</v>
      </c>
      <c r="E918" s="28"/>
      <c r="F918" s="28" t="s">
        <v>4</v>
      </c>
      <c r="G918" s="24">
        <v>0.97</v>
      </c>
      <c r="H918" s="28" t="s">
        <v>49</v>
      </c>
      <c r="I918" s="28" t="s">
        <v>1779</v>
      </c>
      <c r="J918" s="28"/>
      <c r="K918" s="28" t="s">
        <v>50</v>
      </c>
      <c r="L918" s="28" t="s">
        <v>2482</v>
      </c>
      <c r="M918" s="28"/>
    </row>
    <row r="919" spans="1:13" x14ac:dyDescent="0.3">
      <c r="A919" s="22">
        <v>45958</v>
      </c>
      <c r="B919" s="22">
        <v>45958</v>
      </c>
      <c r="C919" s="23">
        <v>5000</v>
      </c>
      <c r="D919" s="23">
        <v>0</v>
      </c>
      <c r="E919" s="23"/>
      <c r="F919" s="23" t="s">
        <v>2</v>
      </c>
      <c r="G919" s="24">
        <v>0.95</v>
      </c>
      <c r="H919" s="23" t="s">
        <v>2</v>
      </c>
      <c r="I919" s="23" t="s">
        <v>1779</v>
      </c>
      <c r="J919" s="23"/>
      <c r="K919" s="23" t="s">
        <v>628</v>
      </c>
      <c r="L919" s="23" t="s">
        <v>2482</v>
      </c>
      <c r="M919" s="23"/>
    </row>
    <row r="920" spans="1:13" x14ac:dyDescent="0.3">
      <c r="A920" s="57">
        <v>45958</v>
      </c>
      <c r="B920" s="57">
        <v>45958</v>
      </c>
      <c r="C920" s="58">
        <v>128000</v>
      </c>
      <c r="D920" s="58">
        <v>0</v>
      </c>
      <c r="E920" s="58"/>
      <c r="F920" s="58" t="s">
        <v>25</v>
      </c>
      <c r="G920" s="24">
        <v>0.95</v>
      </c>
      <c r="H920" s="58" t="s">
        <v>343</v>
      </c>
      <c r="I920" s="58" t="s">
        <v>1779</v>
      </c>
      <c r="J920" s="58"/>
      <c r="K920" s="58" t="s">
        <v>626</v>
      </c>
      <c r="L920" s="58" t="s">
        <v>2482</v>
      </c>
      <c r="M920" s="58"/>
    </row>
    <row r="921" spans="1:13" x14ac:dyDescent="0.3">
      <c r="A921" s="57">
        <v>45958</v>
      </c>
      <c r="B921" s="57">
        <v>45958</v>
      </c>
      <c r="C921" s="58">
        <v>122488</v>
      </c>
      <c r="D921" s="58">
        <v>0</v>
      </c>
      <c r="E921" s="58"/>
      <c r="F921" s="58" t="s">
        <v>25</v>
      </c>
      <c r="G921" s="24">
        <v>0.95</v>
      </c>
      <c r="H921" s="58" t="s">
        <v>343</v>
      </c>
      <c r="I921" s="58" t="s">
        <v>1779</v>
      </c>
      <c r="J921" s="58"/>
      <c r="K921" s="58" t="s">
        <v>624</v>
      </c>
      <c r="L921" s="58" t="s">
        <v>2482</v>
      </c>
      <c r="M921" s="58"/>
    </row>
    <row r="922" spans="1:13" x14ac:dyDescent="0.3">
      <c r="A922" s="25">
        <v>45958</v>
      </c>
      <c r="B922" s="25">
        <v>45958</v>
      </c>
      <c r="C922" s="26">
        <v>0</v>
      </c>
      <c r="D922" s="26">
        <v>28940.91</v>
      </c>
      <c r="E922" s="26"/>
      <c r="F922" s="26" t="s">
        <v>3</v>
      </c>
      <c r="G922" s="24">
        <v>0.93</v>
      </c>
      <c r="H922" s="26" t="s">
        <v>49</v>
      </c>
      <c r="I922" s="26" t="s">
        <v>1779</v>
      </c>
      <c r="J922" s="26"/>
      <c r="K922" s="26" t="s">
        <v>622</v>
      </c>
      <c r="L922" s="26" t="s">
        <v>2482</v>
      </c>
      <c r="M922" s="26"/>
    </row>
    <row r="923" spans="1:13" x14ac:dyDescent="0.3">
      <c r="A923" s="27">
        <v>45958</v>
      </c>
      <c r="B923" s="27">
        <v>45958</v>
      </c>
      <c r="C923" s="28">
        <v>1024.76</v>
      </c>
      <c r="D923" s="28">
        <v>0</v>
      </c>
      <c r="E923" s="28"/>
      <c r="F923" s="28" t="s">
        <v>4</v>
      </c>
      <c r="G923" s="24">
        <v>0.97</v>
      </c>
      <c r="H923" s="28" t="s">
        <v>49</v>
      </c>
      <c r="I923" s="28" t="s">
        <v>1779</v>
      </c>
      <c r="J923" s="28"/>
      <c r="K923" s="28" t="s">
        <v>50</v>
      </c>
      <c r="L923" s="28" t="s">
        <v>2482</v>
      </c>
      <c r="M923" s="28"/>
    </row>
    <row r="924" spans="1:13" x14ac:dyDescent="0.3">
      <c r="A924" s="22">
        <v>45958.342233796298</v>
      </c>
      <c r="B924" s="22">
        <v>45958</v>
      </c>
      <c r="C924" s="23">
        <v>7000</v>
      </c>
      <c r="D924" s="23">
        <v>0</v>
      </c>
      <c r="E924" s="23"/>
      <c r="F924" s="23" t="s">
        <v>2</v>
      </c>
      <c r="G924" s="24">
        <v>0.96</v>
      </c>
      <c r="H924" s="23" t="s">
        <v>2</v>
      </c>
      <c r="I924" s="23" t="s">
        <v>1019</v>
      </c>
      <c r="J924" s="23"/>
      <c r="K924" s="23" t="s">
        <v>2320</v>
      </c>
      <c r="L924" s="23" t="s">
        <v>2483</v>
      </c>
      <c r="M924" s="23"/>
    </row>
    <row r="925" spans="1:13" x14ac:dyDescent="0.3">
      <c r="A925" s="89">
        <v>45958.458113425928</v>
      </c>
      <c r="B925" s="89">
        <v>45958</v>
      </c>
      <c r="C925" s="90">
        <v>1050</v>
      </c>
      <c r="D925" s="90">
        <v>0</v>
      </c>
      <c r="E925" s="90" t="s">
        <v>2324</v>
      </c>
      <c r="F925" s="90" t="s">
        <v>975</v>
      </c>
      <c r="G925" s="39">
        <v>0.55000000000000004</v>
      </c>
      <c r="H925" s="90" t="s">
        <v>91</v>
      </c>
      <c r="I925" s="90" t="s">
        <v>1019</v>
      </c>
      <c r="J925" s="90"/>
      <c r="K925" s="90" t="s">
        <v>2322</v>
      </c>
      <c r="L925" s="90" t="s">
        <v>2483</v>
      </c>
      <c r="M925" s="90"/>
    </row>
    <row r="926" spans="1:13" x14ac:dyDescent="0.3">
      <c r="A926" s="103">
        <v>45958.738217592603</v>
      </c>
      <c r="B926" s="103">
        <v>45958</v>
      </c>
      <c r="C926" s="104">
        <v>24</v>
      </c>
      <c r="D926" s="104">
        <v>0</v>
      </c>
      <c r="E926" s="104"/>
      <c r="F926" s="104" t="s">
        <v>983</v>
      </c>
      <c r="G926" s="40">
        <v>0.82</v>
      </c>
      <c r="H926" s="104" t="s">
        <v>131</v>
      </c>
      <c r="I926" s="104" t="s">
        <v>1019</v>
      </c>
      <c r="J926" s="104"/>
      <c r="K926" s="104" t="s">
        <v>2325</v>
      </c>
      <c r="L926" s="104" t="s">
        <v>2483</v>
      </c>
      <c r="M926" s="104"/>
    </row>
    <row r="927" spans="1:13" x14ac:dyDescent="0.3">
      <c r="A927" s="59">
        <v>45959</v>
      </c>
      <c r="B927" s="59">
        <v>45959</v>
      </c>
      <c r="C927" s="60">
        <v>0</v>
      </c>
      <c r="D927" s="60">
        <v>72923.839999999997</v>
      </c>
      <c r="E927" s="60"/>
      <c r="F927" s="60" t="s">
        <v>29</v>
      </c>
      <c r="G927" s="24">
        <v>0.9</v>
      </c>
      <c r="H927" s="60" t="s">
        <v>606</v>
      </c>
      <c r="I927" s="60" t="s">
        <v>1779</v>
      </c>
      <c r="J927" s="60"/>
      <c r="K927" s="60" t="s">
        <v>632</v>
      </c>
      <c r="L927" s="60" t="s">
        <v>2482</v>
      </c>
      <c r="M927" s="60"/>
    </row>
    <row r="928" spans="1:13" x14ac:dyDescent="0.3">
      <c r="A928" s="27">
        <v>45959</v>
      </c>
      <c r="B928" s="27">
        <v>45959</v>
      </c>
      <c r="C928" s="28">
        <v>93.09</v>
      </c>
      <c r="D928" s="28">
        <v>0</v>
      </c>
      <c r="E928" s="28"/>
      <c r="F928" s="28" t="s">
        <v>4</v>
      </c>
      <c r="G928" s="24">
        <v>0.97</v>
      </c>
      <c r="H928" s="28" t="s">
        <v>49</v>
      </c>
      <c r="I928" s="28" t="s">
        <v>1779</v>
      </c>
      <c r="J928" s="28"/>
      <c r="K928" s="28" t="s">
        <v>50</v>
      </c>
      <c r="L928" s="28" t="s">
        <v>2482</v>
      </c>
      <c r="M928" s="28"/>
    </row>
    <row r="929" spans="1:13" x14ac:dyDescent="0.3">
      <c r="A929" s="103">
        <v>45959.351203703707</v>
      </c>
      <c r="B929" s="103">
        <v>45959</v>
      </c>
      <c r="C929" s="104">
        <v>46</v>
      </c>
      <c r="D929" s="104">
        <v>0</v>
      </c>
      <c r="E929" s="104"/>
      <c r="F929" s="104" t="s">
        <v>983</v>
      </c>
      <c r="G929" s="40">
        <v>0.82</v>
      </c>
      <c r="H929" s="104" t="s">
        <v>131</v>
      </c>
      <c r="I929" s="104" t="s">
        <v>1019</v>
      </c>
      <c r="J929" s="104"/>
      <c r="K929" s="104" t="s">
        <v>2327</v>
      </c>
      <c r="L929" s="104" t="s">
        <v>2483</v>
      </c>
      <c r="M929" s="104"/>
    </row>
    <row r="930" spans="1:13" x14ac:dyDescent="0.3">
      <c r="A930" s="101">
        <v>45960</v>
      </c>
      <c r="B930" s="101">
        <v>45960</v>
      </c>
      <c r="C930" s="102">
        <v>6000</v>
      </c>
      <c r="D930" s="102">
        <v>0</v>
      </c>
      <c r="E930" s="102"/>
      <c r="F930" s="102" t="s">
        <v>976</v>
      </c>
      <c r="G930" s="24">
        <v>0.85</v>
      </c>
      <c r="H930" s="102" t="s">
        <v>1028</v>
      </c>
      <c r="I930" s="102" t="s">
        <v>1680</v>
      </c>
      <c r="J930" s="102"/>
      <c r="K930" s="102" t="s">
        <v>1275</v>
      </c>
      <c r="L930" s="102" t="s">
        <v>2484</v>
      </c>
      <c r="M930" s="102"/>
    </row>
    <row r="931" spans="1:13" x14ac:dyDescent="0.3">
      <c r="A931" s="22">
        <v>45960</v>
      </c>
      <c r="B931" s="22">
        <v>45960</v>
      </c>
      <c r="C931" s="23">
        <v>5000</v>
      </c>
      <c r="D931" s="23">
        <v>0</v>
      </c>
      <c r="E931" s="23"/>
      <c r="F931" s="23" t="s">
        <v>2</v>
      </c>
      <c r="G931" s="24">
        <v>0.95</v>
      </c>
      <c r="H931" s="23" t="s">
        <v>2</v>
      </c>
      <c r="I931" s="23" t="s">
        <v>1779</v>
      </c>
      <c r="J931" s="23"/>
      <c r="K931" s="23" t="s">
        <v>637</v>
      </c>
      <c r="L931" s="23" t="s">
        <v>2482</v>
      </c>
      <c r="M931" s="23"/>
    </row>
    <row r="932" spans="1:13" x14ac:dyDescent="0.3">
      <c r="A932" s="27">
        <v>45960</v>
      </c>
      <c r="B932" s="27">
        <v>45960</v>
      </c>
      <c r="C932" s="28">
        <v>93.09</v>
      </c>
      <c r="D932" s="28">
        <v>0</v>
      </c>
      <c r="E932" s="28"/>
      <c r="F932" s="28" t="s">
        <v>4</v>
      </c>
      <c r="G932" s="24">
        <v>0.97</v>
      </c>
      <c r="H932" s="28" t="s">
        <v>49</v>
      </c>
      <c r="I932" s="28" t="s">
        <v>1779</v>
      </c>
      <c r="J932" s="28"/>
      <c r="K932" s="28" t="s">
        <v>50</v>
      </c>
      <c r="L932" s="28" t="s">
        <v>2482</v>
      </c>
      <c r="M932" s="28"/>
    </row>
    <row r="933" spans="1:13" x14ac:dyDescent="0.3">
      <c r="A933" s="25">
        <v>45960</v>
      </c>
      <c r="B933" s="25">
        <v>45960</v>
      </c>
      <c r="C933" s="26">
        <v>0</v>
      </c>
      <c r="D933" s="26">
        <v>15828.87</v>
      </c>
      <c r="E933" s="26"/>
      <c r="F933" s="26" t="s">
        <v>3</v>
      </c>
      <c r="G933" s="24">
        <v>0.93</v>
      </c>
      <c r="H933" s="26" t="s">
        <v>49</v>
      </c>
      <c r="I933" s="26" t="s">
        <v>1779</v>
      </c>
      <c r="J933" s="26"/>
      <c r="K933" s="26" t="s">
        <v>635</v>
      </c>
      <c r="L933" s="26" t="s">
        <v>2482</v>
      </c>
      <c r="M933" s="26"/>
    </row>
    <row r="934" spans="1:13" x14ac:dyDescent="0.3">
      <c r="A934" s="27">
        <v>45960</v>
      </c>
      <c r="B934" s="27">
        <v>45960</v>
      </c>
      <c r="C934" s="28">
        <v>32.270000000000003</v>
      </c>
      <c r="D934" s="28">
        <v>0</v>
      </c>
      <c r="E934" s="28"/>
      <c r="F934" s="28" t="s">
        <v>4</v>
      </c>
      <c r="G934" s="24">
        <v>0.97</v>
      </c>
      <c r="H934" s="28" t="s">
        <v>49</v>
      </c>
      <c r="I934" s="28" t="s">
        <v>1779</v>
      </c>
      <c r="J934" s="28"/>
      <c r="K934" s="28" t="s">
        <v>50</v>
      </c>
      <c r="L934" s="28" t="s">
        <v>2482</v>
      </c>
      <c r="M934" s="28"/>
    </row>
    <row r="935" spans="1:13" x14ac:dyDescent="0.3">
      <c r="A935" s="47">
        <v>45960</v>
      </c>
      <c r="B935" s="47">
        <v>45960</v>
      </c>
      <c r="C935" s="48">
        <v>120000</v>
      </c>
      <c r="D935" s="48">
        <v>0</v>
      </c>
      <c r="E935" s="48"/>
      <c r="F935" s="48" t="s">
        <v>24</v>
      </c>
      <c r="G935" s="24">
        <v>0.88</v>
      </c>
      <c r="H935" s="48" t="s">
        <v>157</v>
      </c>
      <c r="I935" s="48" t="s">
        <v>1779</v>
      </c>
      <c r="J935" s="48"/>
      <c r="K935" s="48" t="s">
        <v>640</v>
      </c>
      <c r="L935" s="48" t="s">
        <v>2482</v>
      </c>
      <c r="M935" s="48"/>
    </row>
    <row r="936" spans="1:13" x14ac:dyDescent="0.3">
      <c r="A936" s="27">
        <v>45961</v>
      </c>
      <c r="B936" s="27">
        <v>45961</v>
      </c>
      <c r="C936" s="28">
        <v>82.34</v>
      </c>
      <c r="D936" s="28">
        <v>0</v>
      </c>
      <c r="E936" s="28"/>
      <c r="F936" s="28" t="s">
        <v>4</v>
      </c>
      <c r="G936" s="24">
        <v>0.97</v>
      </c>
      <c r="H936" s="28" t="s">
        <v>49</v>
      </c>
      <c r="I936" s="28" t="s">
        <v>1779</v>
      </c>
      <c r="J936" s="28"/>
      <c r="K936" s="28" t="s">
        <v>50</v>
      </c>
      <c r="L936" s="28" t="s">
        <v>2482</v>
      </c>
      <c r="M936" s="28"/>
    </row>
    <row r="937" spans="1:13" x14ac:dyDescent="0.3">
      <c r="A937" s="101">
        <v>45961</v>
      </c>
      <c r="B937" s="101">
        <v>45961</v>
      </c>
      <c r="C937" s="102">
        <v>4000</v>
      </c>
      <c r="D937" s="102">
        <v>0</v>
      </c>
      <c r="E937" s="102"/>
      <c r="F937" s="102" t="s">
        <v>976</v>
      </c>
      <c r="G937" s="24">
        <v>0.85</v>
      </c>
      <c r="H937" s="102" t="s">
        <v>1028</v>
      </c>
      <c r="I937" s="102" t="s">
        <v>1680</v>
      </c>
      <c r="J937" s="102"/>
      <c r="K937" s="102" t="s">
        <v>1276</v>
      </c>
      <c r="L937" s="102" t="s">
        <v>2484</v>
      </c>
      <c r="M937" s="102"/>
    </row>
    <row r="938" spans="1:13" x14ac:dyDescent="0.3">
      <c r="A938" s="27">
        <v>45961</v>
      </c>
      <c r="B938" s="27">
        <v>45961</v>
      </c>
      <c r="C938" s="28">
        <v>1060.19</v>
      </c>
      <c r="D938" s="28">
        <v>0</v>
      </c>
      <c r="E938" s="28"/>
      <c r="F938" s="28" t="s">
        <v>4</v>
      </c>
      <c r="G938" s="24">
        <v>0.97</v>
      </c>
      <c r="H938" s="28" t="s">
        <v>49</v>
      </c>
      <c r="I938" s="28" t="s">
        <v>1779</v>
      </c>
      <c r="J938" s="28"/>
      <c r="K938" s="28" t="s">
        <v>50</v>
      </c>
      <c r="L938" s="28" t="s">
        <v>2482</v>
      </c>
      <c r="M938" s="28"/>
    </row>
    <row r="939" spans="1:13" x14ac:dyDescent="0.3">
      <c r="A939" s="49">
        <v>45961</v>
      </c>
      <c r="B939" s="49">
        <v>45961</v>
      </c>
      <c r="C939" s="50">
        <v>0</v>
      </c>
      <c r="D939" s="50">
        <v>40</v>
      </c>
      <c r="E939" s="50"/>
      <c r="F939" s="50" t="s">
        <v>17</v>
      </c>
      <c r="G939" s="24">
        <v>0.85</v>
      </c>
      <c r="H939" s="50" t="s">
        <v>17</v>
      </c>
      <c r="I939" s="50" t="s">
        <v>1779</v>
      </c>
      <c r="J939" s="50"/>
      <c r="K939" s="50" t="s">
        <v>644</v>
      </c>
      <c r="L939" s="50" t="s">
        <v>2482</v>
      </c>
      <c r="M939" s="50"/>
    </row>
    <row r="940" spans="1:13" x14ac:dyDescent="0.3">
      <c r="A940" s="148">
        <v>45961.581724537027</v>
      </c>
      <c r="B940" s="148">
        <v>45961</v>
      </c>
      <c r="C940" s="149">
        <v>49</v>
      </c>
      <c r="D940" s="149">
        <v>0</v>
      </c>
      <c r="E940" s="149"/>
      <c r="F940" s="149" t="s">
        <v>1677</v>
      </c>
      <c r="G940" s="40">
        <v>0.68</v>
      </c>
      <c r="H940" s="149" t="s">
        <v>1795</v>
      </c>
      <c r="I940" s="149" t="s">
        <v>1019</v>
      </c>
      <c r="J940" s="149"/>
      <c r="K940" s="149" t="s">
        <v>2329</v>
      </c>
      <c r="L940" s="149" t="s">
        <v>2483</v>
      </c>
      <c r="M940" s="149"/>
    </row>
    <row r="941" spans="1:13" x14ac:dyDescent="0.3">
      <c r="A941" s="78">
        <v>45962</v>
      </c>
      <c r="B941" s="78">
        <v>45962</v>
      </c>
      <c r="C941" s="79">
        <v>0</v>
      </c>
      <c r="D941" s="79">
        <v>98705</v>
      </c>
      <c r="E941" s="79"/>
      <c r="F941" s="79" t="s">
        <v>972</v>
      </c>
      <c r="G941" s="24">
        <v>0.97</v>
      </c>
      <c r="H941" s="79" t="s">
        <v>972</v>
      </c>
      <c r="I941" s="79" t="s">
        <v>1680</v>
      </c>
      <c r="J941" s="79"/>
      <c r="K941" s="79" t="s">
        <v>1278</v>
      </c>
      <c r="L941" s="79" t="s">
        <v>2484</v>
      </c>
      <c r="M941" s="79"/>
    </row>
    <row r="942" spans="1:13" x14ac:dyDescent="0.3">
      <c r="A942" s="101">
        <v>45962</v>
      </c>
      <c r="B942" s="101">
        <v>45962</v>
      </c>
      <c r="C942" s="102">
        <v>3000</v>
      </c>
      <c r="D942" s="102">
        <v>0</v>
      </c>
      <c r="E942" s="102"/>
      <c r="F942" s="102" t="s">
        <v>976</v>
      </c>
      <c r="G942" s="24">
        <v>0.85</v>
      </c>
      <c r="H942" s="102" t="s">
        <v>1028</v>
      </c>
      <c r="I942" s="102" t="s">
        <v>1680</v>
      </c>
      <c r="J942" s="102"/>
      <c r="K942" s="102" t="s">
        <v>1277</v>
      </c>
      <c r="L942" s="102" t="s">
        <v>2484</v>
      </c>
      <c r="M942" s="102"/>
    </row>
    <row r="943" spans="1:13" x14ac:dyDescent="0.3">
      <c r="A943" s="103">
        <v>45962.37771990741</v>
      </c>
      <c r="B943" s="103">
        <v>45962</v>
      </c>
      <c r="C943" s="104">
        <v>52</v>
      </c>
      <c r="D943" s="104">
        <v>0</v>
      </c>
      <c r="E943" s="104"/>
      <c r="F943" s="104" t="s">
        <v>983</v>
      </c>
      <c r="G943" s="40">
        <v>0.82</v>
      </c>
      <c r="H943" s="104" t="s">
        <v>131</v>
      </c>
      <c r="I943" s="104" t="s">
        <v>1019</v>
      </c>
      <c r="J943" s="104"/>
      <c r="K943" s="104" t="s">
        <v>2331</v>
      </c>
      <c r="L943" s="104" t="s">
        <v>2483</v>
      </c>
      <c r="M943" s="104"/>
    </row>
    <row r="944" spans="1:13" x14ac:dyDescent="0.3">
      <c r="A944" s="101">
        <v>45963</v>
      </c>
      <c r="B944" s="101">
        <v>45963</v>
      </c>
      <c r="C944" s="102">
        <v>3000</v>
      </c>
      <c r="D944" s="102">
        <v>0</v>
      </c>
      <c r="E944" s="102"/>
      <c r="F944" s="102" t="s">
        <v>976</v>
      </c>
      <c r="G944" s="24">
        <v>0.85</v>
      </c>
      <c r="H944" s="102" t="s">
        <v>1028</v>
      </c>
      <c r="I944" s="102" t="s">
        <v>1680</v>
      </c>
      <c r="J944" s="102"/>
      <c r="K944" s="102" t="s">
        <v>1279</v>
      </c>
      <c r="L944" s="102" t="s">
        <v>2484</v>
      </c>
      <c r="M944" s="102"/>
    </row>
    <row r="945" spans="1:13" x14ac:dyDescent="0.3">
      <c r="A945" s="101">
        <v>45964</v>
      </c>
      <c r="B945" s="101">
        <v>45964</v>
      </c>
      <c r="C945" s="102">
        <v>3000</v>
      </c>
      <c r="D945" s="102">
        <v>0</v>
      </c>
      <c r="E945" s="102"/>
      <c r="F945" s="102" t="s">
        <v>976</v>
      </c>
      <c r="G945" s="24">
        <v>0.85</v>
      </c>
      <c r="H945" s="102" t="s">
        <v>1028</v>
      </c>
      <c r="I945" s="102" t="s">
        <v>1680</v>
      </c>
      <c r="J945" s="102"/>
      <c r="K945" s="102" t="s">
        <v>1280</v>
      </c>
      <c r="L945" s="102" t="s">
        <v>2484</v>
      </c>
      <c r="M945" s="102"/>
    </row>
    <row r="946" spans="1:13" x14ac:dyDescent="0.3">
      <c r="A946" s="95">
        <v>45964</v>
      </c>
      <c r="B946" s="95">
        <v>45964</v>
      </c>
      <c r="C946" s="96">
        <v>23000</v>
      </c>
      <c r="D946" s="96">
        <v>0</v>
      </c>
      <c r="E946" s="96"/>
      <c r="F946" s="96" t="s">
        <v>990</v>
      </c>
      <c r="G946" s="24">
        <v>0.92</v>
      </c>
      <c r="H946" s="96" t="s">
        <v>990</v>
      </c>
      <c r="I946" s="96" t="s">
        <v>1680</v>
      </c>
      <c r="J946" s="96"/>
      <c r="K946" s="96" t="s">
        <v>1281</v>
      </c>
      <c r="L946" s="96" t="s">
        <v>2484</v>
      </c>
      <c r="M946" s="96"/>
    </row>
    <row r="947" spans="1:13" x14ac:dyDescent="0.3">
      <c r="A947" s="105">
        <v>45965</v>
      </c>
      <c r="B947" s="105">
        <v>45965</v>
      </c>
      <c r="C947" s="106">
        <v>3000</v>
      </c>
      <c r="D947" s="106">
        <v>0</v>
      </c>
      <c r="E947" s="106"/>
      <c r="F947" s="106" t="s">
        <v>993</v>
      </c>
      <c r="G947" s="24">
        <v>0.88</v>
      </c>
      <c r="H947" s="106" t="s">
        <v>1176</v>
      </c>
      <c r="I947" s="106" t="s">
        <v>1680</v>
      </c>
      <c r="J947" s="106"/>
      <c r="K947" s="106" t="s">
        <v>1284</v>
      </c>
      <c r="L947" s="106" t="s">
        <v>2484</v>
      </c>
      <c r="M947" s="106"/>
    </row>
    <row r="948" spans="1:13" x14ac:dyDescent="0.3">
      <c r="A948" s="27">
        <v>45965</v>
      </c>
      <c r="B948" s="27">
        <v>45965</v>
      </c>
      <c r="C948" s="28">
        <v>82.05</v>
      </c>
      <c r="D948" s="28">
        <v>0</v>
      </c>
      <c r="E948" s="28"/>
      <c r="F948" s="28" t="s">
        <v>4</v>
      </c>
      <c r="G948" s="24">
        <v>0.97</v>
      </c>
      <c r="H948" s="28" t="s">
        <v>49</v>
      </c>
      <c r="I948" s="28" t="s">
        <v>1779</v>
      </c>
      <c r="J948" s="28"/>
      <c r="K948" s="28" t="s">
        <v>50</v>
      </c>
      <c r="L948" s="28" t="s">
        <v>2482</v>
      </c>
      <c r="M948" s="28"/>
    </row>
    <row r="949" spans="1:13" x14ac:dyDescent="0.3">
      <c r="A949" s="101">
        <v>45965</v>
      </c>
      <c r="B949" s="101">
        <v>45965</v>
      </c>
      <c r="C949" s="102">
        <v>3000</v>
      </c>
      <c r="D949" s="102">
        <v>0</v>
      </c>
      <c r="E949" s="102"/>
      <c r="F949" s="102" t="s">
        <v>976</v>
      </c>
      <c r="G949" s="24">
        <v>0.85</v>
      </c>
      <c r="H949" s="102" t="s">
        <v>1028</v>
      </c>
      <c r="I949" s="102" t="s">
        <v>1680</v>
      </c>
      <c r="J949" s="102"/>
      <c r="K949" s="102" t="s">
        <v>1282</v>
      </c>
      <c r="L949" s="102" t="s">
        <v>2484</v>
      </c>
      <c r="M949" s="102" t="s">
        <v>2485</v>
      </c>
    </row>
    <row r="950" spans="1:13" x14ac:dyDescent="0.3">
      <c r="A950" s="99">
        <v>45965</v>
      </c>
      <c r="B950" s="99">
        <v>45965</v>
      </c>
      <c r="C950" s="100">
        <v>260</v>
      </c>
      <c r="D950" s="100">
        <v>0</v>
      </c>
      <c r="E950" s="100"/>
      <c r="F950" s="100" t="s">
        <v>981</v>
      </c>
      <c r="G950" s="40">
        <v>0.8</v>
      </c>
      <c r="H950" s="100" t="s">
        <v>1053</v>
      </c>
      <c r="I950" s="100" t="s">
        <v>1680</v>
      </c>
      <c r="J950" s="100"/>
      <c r="K950" s="100" t="s">
        <v>1283</v>
      </c>
      <c r="L950" s="100" t="s">
        <v>2484</v>
      </c>
      <c r="M950" s="100"/>
    </row>
    <row r="951" spans="1:13" x14ac:dyDescent="0.3">
      <c r="A951" s="25">
        <v>45965</v>
      </c>
      <c r="B951" s="25">
        <v>45965</v>
      </c>
      <c r="C951" s="26">
        <v>0</v>
      </c>
      <c r="D951" s="26">
        <v>224.4</v>
      </c>
      <c r="E951" s="26"/>
      <c r="F951" s="26" t="s">
        <v>3</v>
      </c>
      <c r="G951" s="24">
        <v>0.93</v>
      </c>
      <c r="H951" s="26" t="s">
        <v>49</v>
      </c>
      <c r="I951" s="26" t="s">
        <v>1779</v>
      </c>
      <c r="J951" s="26"/>
      <c r="K951" s="26" t="s">
        <v>647</v>
      </c>
      <c r="L951" s="26" t="s">
        <v>2482</v>
      </c>
      <c r="M951" s="26"/>
    </row>
    <row r="952" spans="1:13" x14ac:dyDescent="0.3">
      <c r="A952" s="101">
        <v>45965</v>
      </c>
      <c r="B952" s="101">
        <v>45965</v>
      </c>
      <c r="C952" s="102">
        <v>3000</v>
      </c>
      <c r="D952" s="102">
        <v>0</v>
      </c>
      <c r="E952" s="102"/>
      <c r="F952" s="102" t="s">
        <v>976</v>
      </c>
      <c r="G952" s="24">
        <v>0.85</v>
      </c>
      <c r="H952" s="102" t="s">
        <v>1028</v>
      </c>
      <c r="I952" s="102" t="s">
        <v>1680</v>
      </c>
      <c r="J952" s="102"/>
      <c r="K952" s="102" t="s">
        <v>1285</v>
      </c>
      <c r="L952" s="102" t="s">
        <v>2484</v>
      </c>
      <c r="M952" s="102" t="s">
        <v>2485</v>
      </c>
    </row>
    <row r="953" spans="1:13" x14ac:dyDescent="0.3">
      <c r="A953" s="49">
        <v>45965</v>
      </c>
      <c r="B953" s="49">
        <v>45965</v>
      </c>
      <c r="C953" s="50">
        <v>0</v>
      </c>
      <c r="D953" s="50">
        <v>165</v>
      </c>
      <c r="E953" s="50"/>
      <c r="F953" s="50" t="s">
        <v>17</v>
      </c>
      <c r="G953" s="24">
        <v>0.88</v>
      </c>
      <c r="H953" s="50" t="s">
        <v>17</v>
      </c>
      <c r="I953" s="50" t="s">
        <v>1779</v>
      </c>
      <c r="J953" s="50"/>
      <c r="K953" s="50" t="s">
        <v>649</v>
      </c>
      <c r="L953" s="50" t="s">
        <v>2482</v>
      </c>
      <c r="M953" s="50"/>
    </row>
    <row r="954" spans="1:13" x14ac:dyDescent="0.3">
      <c r="A954" s="89">
        <v>45966</v>
      </c>
      <c r="B954" s="89">
        <v>45966</v>
      </c>
      <c r="C954" s="90">
        <v>1501</v>
      </c>
      <c r="D954" s="90">
        <v>0</v>
      </c>
      <c r="E954" s="90" t="s">
        <v>1740</v>
      </c>
      <c r="F954" s="90" t="s">
        <v>975</v>
      </c>
      <c r="G954" s="39">
        <v>0.55000000000000004</v>
      </c>
      <c r="H954" s="90" t="s">
        <v>91</v>
      </c>
      <c r="I954" s="90" t="s">
        <v>837</v>
      </c>
      <c r="J954" s="90"/>
      <c r="K954" s="90" t="s">
        <v>1739</v>
      </c>
      <c r="L954" s="90" t="s">
        <v>2486</v>
      </c>
      <c r="M954" s="90"/>
    </row>
    <row r="955" spans="1:13" x14ac:dyDescent="0.3">
      <c r="A955" s="103">
        <v>45966.653773148151</v>
      </c>
      <c r="B955" s="103">
        <v>45966</v>
      </c>
      <c r="C955" s="104">
        <v>46</v>
      </c>
      <c r="D955" s="104">
        <v>0</v>
      </c>
      <c r="E955" s="104"/>
      <c r="F955" s="104" t="s">
        <v>983</v>
      </c>
      <c r="G955" s="40">
        <v>0.82</v>
      </c>
      <c r="H955" s="104" t="s">
        <v>131</v>
      </c>
      <c r="I955" s="104" t="s">
        <v>1019</v>
      </c>
      <c r="J955" s="104"/>
      <c r="K955" s="104" t="s">
        <v>2333</v>
      </c>
      <c r="L955" s="104" t="s">
        <v>2483</v>
      </c>
      <c r="M955" s="104"/>
    </row>
    <row r="956" spans="1:13" x14ac:dyDescent="0.3">
      <c r="A956" s="101">
        <v>45966.957627314812</v>
      </c>
      <c r="B956" s="101">
        <v>45966</v>
      </c>
      <c r="C956" s="102">
        <v>1</v>
      </c>
      <c r="D956" s="102">
        <v>0</v>
      </c>
      <c r="E956" s="102"/>
      <c r="F956" s="102" t="s">
        <v>1822</v>
      </c>
      <c r="G956" s="24">
        <v>0.88</v>
      </c>
      <c r="H956" s="102" t="s">
        <v>1795</v>
      </c>
      <c r="I956" s="102" t="s">
        <v>1019</v>
      </c>
      <c r="J956" s="102"/>
      <c r="K956" s="102" t="s">
        <v>2335</v>
      </c>
      <c r="L956" s="102" t="s">
        <v>2483</v>
      </c>
      <c r="M956" s="102"/>
    </row>
    <row r="957" spans="1:13" x14ac:dyDescent="0.3">
      <c r="A957" s="25">
        <v>45967</v>
      </c>
      <c r="B957" s="25">
        <v>45967</v>
      </c>
      <c r="C957" s="26">
        <v>0</v>
      </c>
      <c r="D957" s="26">
        <v>10475.290000000001</v>
      </c>
      <c r="E957" s="26"/>
      <c r="F957" s="26" t="s">
        <v>3</v>
      </c>
      <c r="G957" s="24">
        <v>0.93</v>
      </c>
      <c r="H957" s="26" t="s">
        <v>49</v>
      </c>
      <c r="I957" s="26" t="s">
        <v>1779</v>
      </c>
      <c r="J957" s="26"/>
      <c r="K957" s="26" t="s">
        <v>652</v>
      </c>
      <c r="L957" s="26" t="s">
        <v>2482</v>
      </c>
      <c r="M957" s="26"/>
    </row>
    <row r="958" spans="1:13" x14ac:dyDescent="0.3">
      <c r="A958" s="27">
        <v>45967</v>
      </c>
      <c r="B958" s="27">
        <v>45967</v>
      </c>
      <c r="C958" s="28">
        <v>360.34</v>
      </c>
      <c r="D958" s="28">
        <v>0</v>
      </c>
      <c r="E958" s="28"/>
      <c r="F958" s="28" t="s">
        <v>4</v>
      </c>
      <c r="G958" s="24">
        <v>0.97</v>
      </c>
      <c r="H958" s="28" t="s">
        <v>49</v>
      </c>
      <c r="I958" s="28" t="s">
        <v>1779</v>
      </c>
      <c r="J958" s="28"/>
      <c r="K958" s="28" t="s">
        <v>50</v>
      </c>
      <c r="L958" s="28" t="s">
        <v>2482</v>
      </c>
      <c r="M958" s="28"/>
    </row>
    <row r="959" spans="1:13" x14ac:dyDescent="0.3">
      <c r="A959" s="27">
        <v>45967</v>
      </c>
      <c r="B959" s="27">
        <v>45967</v>
      </c>
      <c r="C959" s="28">
        <v>164.26</v>
      </c>
      <c r="D959" s="28">
        <v>0</v>
      </c>
      <c r="E959" s="28"/>
      <c r="F959" s="28" t="s">
        <v>4</v>
      </c>
      <c r="G959" s="24">
        <v>0.97</v>
      </c>
      <c r="H959" s="28" t="s">
        <v>49</v>
      </c>
      <c r="I959" s="28" t="s">
        <v>1779</v>
      </c>
      <c r="J959" s="28"/>
      <c r="K959" s="28" t="s">
        <v>50</v>
      </c>
      <c r="L959" s="28" t="s">
        <v>2482</v>
      </c>
      <c r="M959" s="28"/>
    </row>
    <row r="960" spans="1:13" x14ac:dyDescent="0.3">
      <c r="A960" s="101">
        <v>45967</v>
      </c>
      <c r="B960" s="101">
        <v>45967</v>
      </c>
      <c r="C960" s="102">
        <v>2440.5</v>
      </c>
      <c r="D960" s="102">
        <v>0</v>
      </c>
      <c r="E960" s="102"/>
      <c r="F960" s="102" t="s">
        <v>976</v>
      </c>
      <c r="G960" s="24">
        <v>0.85</v>
      </c>
      <c r="H960" s="102" t="s">
        <v>1028</v>
      </c>
      <c r="I960" s="102" t="s">
        <v>1680</v>
      </c>
      <c r="J960" s="102"/>
      <c r="K960" s="102" t="s">
        <v>1286</v>
      </c>
      <c r="L960" s="102" t="s">
        <v>2484</v>
      </c>
      <c r="M960" s="102"/>
    </row>
    <row r="961" spans="1:13" x14ac:dyDescent="0.3">
      <c r="A961" s="153">
        <v>45967.770844907413</v>
      </c>
      <c r="B961" s="153">
        <v>45967</v>
      </c>
      <c r="C961" s="154">
        <v>0</v>
      </c>
      <c r="D961" s="154">
        <v>1</v>
      </c>
      <c r="E961" s="154"/>
      <c r="F961" s="154" t="s">
        <v>1807</v>
      </c>
      <c r="G961" s="24">
        <v>0.88</v>
      </c>
      <c r="H961" s="154" t="s">
        <v>91</v>
      </c>
      <c r="I961" s="154" t="s">
        <v>1019</v>
      </c>
      <c r="J961" s="154"/>
      <c r="K961" s="154" t="s">
        <v>2337</v>
      </c>
      <c r="L961" s="154" t="s">
        <v>2483</v>
      </c>
      <c r="M961" s="154"/>
    </row>
    <row r="962" spans="1:13" x14ac:dyDescent="0.3">
      <c r="A962" s="27">
        <v>45968</v>
      </c>
      <c r="B962" s="27">
        <v>45968</v>
      </c>
      <c r="C962" s="28">
        <v>76.86</v>
      </c>
      <c r="D962" s="28">
        <v>0</v>
      </c>
      <c r="E962" s="28"/>
      <c r="F962" s="28" t="s">
        <v>4</v>
      </c>
      <c r="G962" s="24">
        <v>0.97</v>
      </c>
      <c r="H962" s="28" t="s">
        <v>49</v>
      </c>
      <c r="I962" s="28" t="s">
        <v>1779</v>
      </c>
      <c r="J962" s="28"/>
      <c r="K962" s="28" t="s">
        <v>50</v>
      </c>
      <c r="L962" s="28" t="s">
        <v>2482</v>
      </c>
      <c r="M962" s="28"/>
    </row>
    <row r="963" spans="1:13" x14ac:dyDescent="0.3">
      <c r="A963" s="31">
        <v>45968</v>
      </c>
      <c r="B963" s="31">
        <v>45968</v>
      </c>
      <c r="C963" s="32">
        <v>0</v>
      </c>
      <c r="D963" s="32">
        <v>1880</v>
      </c>
      <c r="E963" s="32"/>
      <c r="F963" s="32" t="s">
        <v>6</v>
      </c>
      <c r="G963" s="24">
        <v>0.95</v>
      </c>
      <c r="H963" s="32" t="s">
        <v>63</v>
      </c>
      <c r="I963" s="32" t="s">
        <v>1779</v>
      </c>
      <c r="J963" s="32"/>
      <c r="K963" s="32" t="s">
        <v>656</v>
      </c>
      <c r="L963" s="32" t="s">
        <v>2482</v>
      </c>
      <c r="M963" s="32"/>
    </row>
    <row r="964" spans="1:13" x14ac:dyDescent="0.3">
      <c r="A964" s="27">
        <v>45968</v>
      </c>
      <c r="B964" s="27">
        <v>45968</v>
      </c>
      <c r="C964" s="28">
        <v>231.56</v>
      </c>
      <c r="D964" s="28">
        <v>0</v>
      </c>
      <c r="E964" s="28"/>
      <c r="F964" s="28" t="s">
        <v>11</v>
      </c>
      <c r="G964" s="40">
        <v>0.68</v>
      </c>
      <c r="H964" s="28" t="s">
        <v>112</v>
      </c>
      <c r="I964" s="28" t="s">
        <v>1680</v>
      </c>
      <c r="J964" s="28"/>
      <c r="K964" s="28" t="s">
        <v>1287</v>
      </c>
      <c r="L964" s="28" t="s">
        <v>2484</v>
      </c>
      <c r="M964" s="28"/>
    </row>
    <row r="965" spans="1:13" x14ac:dyDescent="0.3">
      <c r="A965" s="85">
        <v>45968</v>
      </c>
      <c r="B965" s="85">
        <v>45968</v>
      </c>
      <c r="C965" s="86">
        <v>15000</v>
      </c>
      <c r="D965" s="86">
        <v>0</v>
      </c>
      <c r="E965" s="86"/>
      <c r="F965" s="86" t="s">
        <v>974</v>
      </c>
      <c r="G965" s="24">
        <v>0.9</v>
      </c>
      <c r="H965" s="86" t="s">
        <v>1019</v>
      </c>
      <c r="I965" s="86" t="s">
        <v>1680</v>
      </c>
      <c r="J965" s="86"/>
      <c r="K965" s="86" t="s">
        <v>1288</v>
      </c>
      <c r="L965" s="86" t="s">
        <v>2484</v>
      </c>
      <c r="M965" s="86"/>
    </row>
    <row r="966" spans="1:13" x14ac:dyDescent="0.3">
      <c r="A966" s="27">
        <v>45968.562372685177</v>
      </c>
      <c r="B966" s="27">
        <v>45968</v>
      </c>
      <c r="C966" s="28">
        <v>0</v>
      </c>
      <c r="D966" s="28">
        <v>15000</v>
      </c>
      <c r="E966" s="28"/>
      <c r="F966" s="28" t="s">
        <v>1656</v>
      </c>
      <c r="G966" s="24">
        <v>0.95</v>
      </c>
      <c r="H966" s="28" t="s">
        <v>1680</v>
      </c>
      <c r="I966" s="28" t="s">
        <v>1019</v>
      </c>
      <c r="J966" s="28"/>
      <c r="K966" s="28" t="s">
        <v>2339</v>
      </c>
      <c r="L966" s="28" t="s">
        <v>2483</v>
      </c>
      <c r="M966" s="28"/>
    </row>
    <row r="967" spans="1:13" x14ac:dyDescent="0.3">
      <c r="A967" s="89">
        <v>45968.976481481477</v>
      </c>
      <c r="B967" s="89">
        <v>45968</v>
      </c>
      <c r="C967" s="90">
        <v>26</v>
      </c>
      <c r="D967" s="90">
        <v>0</v>
      </c>
      <c r="E967" s="90" t="s">
        <v>2343</v>
      </c>
      <c r="F967" s="90" t="s">
        <v>975</v>
      </c>
      <c r="G967" s="39">
        <v>0.55000000000000004</v>
      </c>
      <c r="H967" s="90" t="s">
        <v>91</v>
      </c>
      <c r="I967" s="90" t="s">
        <v>1019</v>
      </c>
      <c r="J967" s="90"/>
      <c r="K967" s="90" t="s">
        <v>2341</v>
      </c>
      <c r="L967" s="90" t="s">
        <v>2483</v>
      </c>
      <c r="M967" s="90"/>
    </row>
    <row r="968" spans="1:13" x14ac:dyDescent="0.3">
      <c r="A968" s="27">
        <v>45969</v>
      </c>
      <c r="B968" s="27">
        <v>45969</v>
      </c>
      <c r="C968" s="28">
        <v>12.81</v>
      </c>
      <c r="D968" s="28">
        <v>0</v>
      </c>
      <c r="E968" s="28"/>
      <c r="F968" s="28" t="s">
        <v>4</v>
      </c>
      <c r="G968" s="24">
        <v>0.97</v>
      </c>
      <c r="H968" s="28" t="s">
        <v>49</v>
      </c>
      <c r="I968" s="28" t="s">
        <v>1779</v>
      </c>
      <c r="J968" s="28"/>
      <c r="K968" s="28" t="s">
        <v>50</v>
      </c>
      <c r="L968" s="28" t="s">
        <v>2482</v>
      </c>
      <c r="M968" s="28"/>
    </row>
    <row r="969" spans="1:13" x14ac:dyDescent="0.3">
      <c r="A969" s="89">
        <v>45969.759456018517</v>
      </c>
      <c r="B969" s="89">
        <v>45969</v>
      </c>
      <c r="C969" s="90">
        <v>60</v>
      </c>
      <c r="D969" s="90">
        <v>0</v>
      </c>
      <c r="E969" s="90" t="s">
        <v>2346</v>
      </c>
      <c r="F969" s="90" t="s">
        <v>975</v>
      </c>
      <c r="G969" s="39">
        <v>0.55000000000000004</v>
      </c>
      <c r="H969" s="90" t="s">
        <v>91</v>
      </c>
      <c r="I969" s="90" t="s">
        <v>1019</v>
      </c>
      <c r="J969" s="90"/>
      <c r="K969" s="90" t="s">
        <v>2344</v>
      </c>
      <c r="L969" s="90" t="s">
        <v>2483</v>
      </c>
      <c r="M969" s="90"/>
    </row>
    <row r="970" spans="1:13" x14ac:dyDescent="0.3">
      <c r="A970" s="27">
        <v>45971</v>
      </c>
      <c r="B970" s="27">
        <v>45971</v>
      </c>
      <c r="C970" s="28">
        <v>230.55</v>
      </c>
      <c r="D970" s="28">
        <v>0</v>
      </c>
      <c r="E970" s="28"/>
      <c r="F970" s="28" t="s">
        <v>4</v>
      </c>
      <c r="G970" s="24">
        <v>0.97</v>
      </c>
      <c r="H970" s="28" t="s">
        <v>49</v>
      </c>
      <c r="I970" s="28" t="s">
        <v>1779</v>
      </c>
      <c r="J970" s="28"/>
      <c r="K970" s="28" t="s">
        <v>50</v>
      </c>
      <c r="L970" s="28" t="s">
        <v>2482</v>
      </c>
      <c r="M970" s="28"/>
    </row>
    <row r="971" spans="1:13" x14ac:dyDescent="0.3">
      <c r="A971" s="27">
        <v>45972</v>
      </c>
      <c r="B971" s="27">
        <v>45972</v>
      </c>
      <c r="C971" s="28">
        <v>76.849999999999994</v>
      </c>
      <c r="D971" s="28">
        <v>0</v>
      </c>
      <c r="E971" s="28"/>
      <c r="F971" s="28" t="s">
        <v>4</v>
      </c>
      <c r="G971" s="24">
        <v>0.97</v>
      </c>
      <c r="H971" s="28" t="s">
        <v>49</v>
      </c>
      <c r="I971" s="28" t="s">
        <v>1779</v>
      </c>
      <c r="J971" s="28"/>
      <c r="K971" s="28" t="s">
        <v>50</v>
      </c>
      <c r="L971" s="28" t="s">
        <v>2482</v>
      </c>
      <c r="M971" s="28"/>
    </row>
    <row r="972" spans="1:13" x14ac:dyDescent="0.3">
      <c r="A972" s="25">
        <v>45972</v>
      </c>
      <c r="B972" s="25">
        <v>45972</v>
      </c>
      <c r="C972" s="26">
        <v>0</v>
      </c>
      <c r="D972" s="26">
        <v>6068.09</v>
      </c>
      <c r="E972" s="26"/>
      <c r="F972" s="26" t="s">
        <v>3</v>
      </c>
      <c r="G972" s="24">
        <v>0.93</v>
      </c>
      <c r="H972" s="26" t="s">
        <v>49</v>
      </c>
      <c r="I972" s="26" t="s">
        <v>1779</v>
      </c>
      <c r="J972" s="26"/>
      <c r="K972" s="26" t="s">
        <v>661</v>
      </c>
      <c r="L972" s="26" t="s">
        <v>2482</v>
      </c>
      <c r="M972" s="26"/>
    </row>
    <row r="973" spans="1:13" x14ac:dyDescent="0.3">
      <c r="A973" s="59">
        <v>45972.254259259258</v>
      </c>
      <c r="B973" s="59">
        <v>45972</v>
      </c>
      <c r="C973" s="60">
        <v>15000</v>
      </c>
      <c r="D973" s="60">
        <v>0</v>
      </c>
      <c r="E973" s="60"/>
      <c r="F973" s="60" t="s">
        <v>1823</v>
      </c>
      <c r="G973" s="24">
        <v>0.92</v>
      </c>
      <c r="H973" s="60" t="s">
        <v>1701</v>
      </c>
      <c r="I973" s="60" t="s">
        <v>1019</v>
      </c>
      <c r="J973" s="60"/>
      <c r="K973" s="60" t="s">
        <v>2347</v>
      </c>
      <c r="L973" s="60" t="s">
        <v>2483</v>
      </c>
      <c r="M973" s="60"/>
    </row>
    <row r="974" spans="1:13" x14ac:dyDescent="0.3">
      <c r="A974" s="27">
        <v>45973</v>
      </c>
      <c r="B974" s="27">
        <v>45973</v>
      </c>
      <c r="C974" s="28">
        <v>13975.1</v>
      </c>
      <c r="D974" s="28">
        <v>0</v>
      </c>
      <c r="E974" s="28"/>
      <c r="F974" s="28" t="s">
        <v>4</v>
      </c>
      <c r="G974" s="24">
        <v>0.97</v>
      </c>
      <c r="H974" s="28" t="s">
        <v>49</v>
      </c>
      <c r="I974" s="28" t="s">
        <v>1779</v>
      </c>
      <c r="J974" s="28"/>
      <c r="K974" s="28" t="s">
        <v>50</v>
      </c>
      <c r="L974" s="28" t="s">
        <v>2482</v>
      </c>
      <c r="M974" s="28"/>
    </row>
    <row r="975" spans="1:13" x14ac:dyDescent="0.3">
      <c r="A975" s="27">
        <v>45973</v>
      </c>
      <c r="B975" s="27">
        <v>45973</v>
      </c>
      <c r="C975" s="28">
        <v>70.010000000000005</v>
      </c>
      <c r="D975" s="28">
        <v>0</v>
      </c>
      <c r="E975" s="28"/>
      <c r="F975" s="28" t="s">
        <v>4</v>
      </c>
      <c r="G975" s="24">
        <v>0.97</v>
      </c>
      <c r="H975" s="28" t="s">
        <v>49</v>
      </c>
      <c r="I975" s="28" t="s">
        <v>1779</v>
      </c>
      <c r="J975" s="28"/>
      <c r="K975" s="28" t="s">
        <v>50</v>
      </c>
      <c r="L975" s="28" t="s">
        <v>2482</v>
      </c>
      <c r="M975" s="28"/>
    </row>
    <row r="976" spans="1:13" x14ac:dyDescent="0.3">
      <c r="A976" s="25">
        <v>45973</v>
      </c>
      <c r="B976" s="25">
        <v>45973</v>
      </c>
      <c r="C976" s="26">
        <v>0</v>
      </c>
      <c r="D976" s="26">
        <v>749.26</v>
      </c>
      <c r="E976" s="26"/>
      <c r="F976" s="26" t="s">
        <v>3</v>
      </c>
      <c r="G976" s="24">
        <v>0.93</v>
      </c>
      <c r="H976" s="26" t="s">
        <v>49</v>
      </c>
      <c r="I976" s="26" t="s">
        <v>1779</v>
      </c>
      <c r="J976" s="26"/>
      <c r="K976" s="26" t="s">
        <v>664</v>
      </c>
      <c r="L976" s="26" t="s">
        <v>2482</v>
      </c>
      <c r="M976" s="26"/>
    </row>
    <row r="977" spans="1:13" x14ac:dyDescent="0.3">
      <c r="A977" s="59">
        <v>45973.508819444447</v>
      </c>
      <c r="B977" s="59">
        <v>45973</v>
      </c>
      <c r="C977" s="60">
        <v>0</v>
      </c>
      <c r="D977" s="60">
        <v>501</v>
      </c>
      <c r="E977" s="60"/>
      <c r="F977" s="60" t="s">
        <v>29</v>
      </c>
      <c r="G977" s="24">
        <v>0.85</v>
      </c>
      <c r="H977" s="60" t="s">
        <v>606</v>
      </c>
      <c r="I977" s="60" t="s">
        <v>1019</v>
      </c>
      <c r="J977" s="60"/>
      <c r="K977" s="60" t="s">
        <v>2348</v>
      </c>
      <c r="L977" s="60" t="s">
        <v>2483</v>
      </c>
      <c r="M977" s="60"/>
    </row>
    <row r="978" spans="1:13" x14ac:dyDescent="0.3">
      <c r="A978" s="103">
        <v>45973.517245370371</v>
      </c>
      <c r="B978" s="103">
        <v>45973</v>
      </c>
      <c r="C978" s="104">
        <v>74</v>
      </c>
      <c r="D978" s="104">
        <v>0</v>
      </c>
      <c r="E978" s="104"/>
      <c r="F978" s="104" t="s">
        <v>983</v>
      </c>
      <c r="G978" s="40">
        <v>0.82</v>
      </c>
      <c r="H978" s="104" t="s">
        <v>131</v>
      </c>
      <c r="I978" s="104" t="s">
        <v>1019</v>
      </c>
      <c r="J978" s="104"/>
      <c r="K978" s="104" t="s">
        <v>2350</v>
      </c>
      <c r="L978" s="104" t="s">
        <v>2483</v>
      </c>
      <c r="M978" s="104"/>
    </row>
    <row r="979" spans="1:13" x14ac:dyDescent="0.3">
      <c r="A979" s="83">
        <v>45974</v>
      </c>
      <c r="B979" s="83">
        <v>45974</v>
      </c>
      <c r="C979" s="84">
        <v>1053.5999999999999</v>
      </c>
      <c r="D979" s="84">
        <v>0</v>
      </c>
      <c r="E979" s="84"/>
      <c r="F979" s="84" t="s">
        <v>973</v>
      </c>
      <c r="G979" s="40">
        <v>0.68</v>
      </c>
      <c r="H979" s="84" t="s">
        <v>1014</v>
      </c>
      <c r="I979" s="84" t="s">
        <v>1680</v>
      </c>
      <c r="J979" s="84"/>
      <c r="K979" s="84" t="s">
        <v>1290</v>
      </c>
      <c r="L979" s="84" t="s">
        <v>2484</v>
      </c>
      <c r="M979" s="84"/>
    </row>
    <row r="980" spans="1:13" x14ac:dyDescent="0.3">
      <c r="A980" s="83">
        <v>45974</v>
      </c>
      <c r="B980" s="83">
        <v>45974</v>
      </c>
      <c r="C980" s="84">
        <v>112.7</v>
      </c>
      <c r="D980" s="84">
        <v>0</v>
      </c>
      <c r="E980" s="84"/>
      <c r="F980" s="84" t="s">
        <v>973</v>
      </c>
      <c r="G980" s="40">
        <v>0.68</v>
      </c>
      <c r="H980" s="84" t="s">
        <v>1014</v>
      </c>
      <c r="I980" s="84" t="s">
        <v>1680</v>
      </c>
      <c r="J980" s="84"/>
      <c r="K980" s="84" t="s">
        <v>1291</v>
      </c>
      <c r="L980" s="84" t="s">
        <v>2484</v>
      </c>
      <c r="M980" s="84"/>
    </row>
    <row r="981" spans="1:13" x14ac:dyDescent="0.3">
      <c r="A981" s="83">
        <v>45974</v>
      </c>
      <c r="B981" s="83">
        <v>45974</v>
      </c>
      <c r="C981" s="84">
        <v>152.69999999999999</v>
      </c>
      <c r="D981" s="84">
        <v>0</v>
      </c>
      <c r="E981" s="84"/>
      <c r="F981" s="84" t="s">
        <v>973</v>
      </c>
      <c r="G981" s="40">
        <v>0.68</v>
      </c>
      <c r="H981" s="84" t="s">
        <v>1014</v>
      </c>
      <c r="I981" s="84" t="s">
        <v>1680</v>
      </c>
      <c r="J981" s="84"/>
      <c r="K981" s="84" t="s">
        <v>1292</v>
      </c>
      <c r="L981" s="84" t="s">
        <v>2484</v>
      </c>
      <c r="M981" s="84"/>
    </row>
    <row r="982" spans="1:13" x14ac:dyDescent="0.3">
      <c r="A982" s="27">
        <v>45974</v>
      </c>
      <c r="B982" s="27">
        <v>45974</v>
      </c>
      <c r="C982" s="28">
        <v>65.3</v>
      </c>
      <c r="D982" s="28">
        <v>0</v>
      </c>
      <c r="E982" s="28"/>
      <c r="F982" s="28" t="s">
        <v>4</v>
      </c>
      <c r="G982" s="24">
        <v>0.97</v>
      </c>
      <c r="H982" s="28" t="s">
        <v>49</v>
      </c>
      <c r="I982" s="28" t="s">
        <v>1779</v>
      </c>
      <c r="J982" s="28"/>
      <c r="K982" s="28" t="s">
        <v>50</v>
      </c>
      <c r="L982" s="28" t="s">
        <v>2482</v>
      </c>
      <c r="M982" s="28"/>
    </row>
    <row r="983" spans="1:13" x14ac:dyDescent="0.3">
      <c r="A983" s="27">
        <v>45974</v>
      </c>
      <c r="B983" s="27">
        <v>45974</v>
      </c>
      <c r="C983" s="28">
        <v>538.01</v>
      </c>
      <c r="D983" s="28">
        <v>0</v>
      </c>
      <c r="E983" s="28"/>
      <c r="F983" s="28" t="s">
        <v>4</v>
      </c>
      <c r="G983" s="24">
        <v>0.97</v>
      </c>
      <c r="H983" s="28" t="s">
        <v>49</v>
      </c>
      <c r="I983" s="28" t="s">
        <v>1779</v>
      </c>
      <c r="J983" s="28"/>
      <c r="K983" s="28" t="s">
        <v>50</v>
      </c>
      <c r="L983" s="28" t="s">
        <v>2482</v>
      </c>
      <c r="M983" s="28"/>
    </row>
    <row r="984" spans="1:13" x14ac:dyDescent="0.3">
      <c r="A984" s="83">
        <v>45974</v>
      </c>
      <c r="B984" s="83">
        <v>45974</v>
      </c>
      <c r="C984" s="84">
        <v>312.7</v>
      </c>
      <c r="D984" s="84">
        <v>0</v>
      </c>
      <c r="E984" s="84"/>
      <c r="F984" s="84" t="s">
        <v>973</v>
      </c>
      <c r="G984" s="40">
        <v>0.68</v>
      </c>
      <c r="H984" s="84" t="s">
        <v>1014</v>
      </c>
      <c r="I984" s="84" t="s">
        <v>1680</v>
      </c>
      <c r="J984" s="84"/>
      <c r="K984" s="84" t="s">
        <v>1293</v>
      </c>
      <c r="L984" s="84" t="s">
        <v>2484</v>
      </c>
      <c r="M984" s="84"/>
    </row>
    <row r="985" spans="1:13" x14ac:dyDescent="0.3">
      <c r="A985" s="83">
        <v>45974</v>
      </c>
      <c r="B985" s="83">
        <v>45974</v>
      </c>
      <c r="C985" s="84">
        <v>142.69999999999999</v>
      </c>
      <c r="D985" s="84">
        <v>0</v>
      </c>
      <c r="E985" s="84"/>
      <c r="F985" s="84" t="s">
        <v>973</v>
      </c>
      <c r="G985" s="40">
        <v>0.68</v>
      </c>
      <c r="H985" s="84" t="s">
        <v>1014</v>
      </c>
      <c r="I985" s="84" t="s">
        <v>1680</v>
      </c>
      <c r="J985" s="84"/>
      <c r="K985" s="84" t="s">
        <v>1294</v>
      </c>
      <c r="L985" s="84" t="s">
        <v>2484</v>
      </c>
      <c r="M985" s="84"/>
    </row>
    <row r="986" spans="1:13" x14ac:dyDescent="0.3">
      <c r="A986" s="83">
        <v>45974</v>
      </c>
      <c r="B986" s="83">
        <v>45974</v>
      </c>
      <c r="C986" s="84">
        <v>1294.5</v>
      </c>
      <c r="D986" s="84">
        <v>0</v>
      </c>
      <c r="E986" s="84"/>
      <c r="F986" s="84" t="s">
        <v>973</v>
      </c>
      <c r="G986" s="40">
        <v>0.68</v>
      </c>
      <c r="H986" s="84" t="s">
        <v>1014</v>
      </c>
      <c r="I986" s="84" t="s">
        <v>1680</v>
      </c>
      <c r="J986" s="84"/>
      <c r="K986" s="84" t="s">
        <v>1289</v>
      </c>
      <c r="L986" s="84" t="s">
        <v>2484</v>
      </c>
      <c r="M986" s="84"/>
    </row>
    <row r="987" spans="1:13" x14ac:dyDescent="0.3">
      <c r="A987" s="83">
        <v>45974</v>
      </c>
      <c r="B987" s="83">
        <v>45974</v>
      </c>
      <c r="C987" s="84">
        <v>2053.6</v>
      </c>
      <c r="D987" s="84">
        <v>0</v>
      </c>
      <c r="E987" s="84"/>
      <c r="F987" s="84" t="s">
        <v>973</v>
      </c>
      <c r="G987" s="40">
        <v>0.68</v>
      </c>
      <c r="H987" s="84" t="s">
        <v>1014</v>
      </c>
      <c r="I987" s="84" t="s">
        <v>1680</v>
      </c>
      <c r="J987" s="84"/>
      <c r="K987" s="84" t="s">
        <v>1295</v>
      </c>
      <c r="L987" s="84" t="s">
        <v>2484</v>
      </c>
      <c r="M987" s="84"/>
    </row>
    <row r="988" spans="1:13" x14ac:dyDescent="0.3">
      <c r="A988" s="89">
        <v>45975</v>
      </c>
      <c r="B988" s="89">
        <v>45975</v>
      </c>
      <c r="C988" s="90">
        <v>110</v>
      </c>
      <c r="D988" s="90">
        <v>0</v>
      </c>
      <c r="E988" s="90" t="s">
        <v>1301</v>
      </c>
      <c r="F988" s="90" t="s">
        <v>975</v>
      </c>
      <c r="G988" s="39">
        <v>0.55000000000000004</v>
      </c>
      <c r="H988" s="90" t="s">
        <v>91</v>
      </c>
      <c r="I988" s="90" t="s">
        <v>1680</v>
      </c>
      <c r="J988" s="90"/>
      <c r="K988" s="90" t="s">
        <v>1300</v>
      </c>
      <c r="L988" s="90" t="s">
        <v>2484</v>
      </c>
      <c r="M988" s="90"/>
    </row>
    <row r="989" spans="1:13" x14ac:dyDescent="0.3">
      <c r="A989" s="27">
        <v>45975</v>
      </c>
      <c r="B989" s="27">
        <v>45975</v>
      </c>
      <c r="C989" s="28">
        <v>65.11</v>
      </c>
      <c r="D989" s="28">
        <v>0</v>
      </c>
      <c r="E989" s="28"/>
      <c r="F989" s="28" t="s">
        <v>4</v>
      </c>
      <c r="G989" s="24">
        <v>0.97</v>
      </c>
      <c r="H989" s="28" t="s">
        <v>49</v>
      </c>
      <c r="I989" s="28" t="s">
        <v>1779</v>
      </c>
      <c r="J989" s="28"/>
      <c r="K989" s="28" t="s">
        <v>50</v>
      </c>
      <c r="L989" s="28" t="s">
        <v>2482</v>
      </c>
      <c r="M989" s="28"/>
    </row>
    <row r="990" spans="1:13" x14ac:dyDescent="0.3">
      <c r="A990" s="97">
        <v>45975</v>
      </c>
      <c r="B990" s="97">
        <v>45975</v>
      </c>
      <c r="C990" s="98">
        <v>0</v>
      </c>
      <c r="D990" s="98">
        <v>700</v>
      </c>
      <c r="E990" s="98"/>
      <c r="F990" s="98" t="s">
        <v>977</v>
      </c>
      <c r="G990" s="24">
        <v>0.85</v>
      </c>
      <c r="H990" s="98" t="s">
        <v>1031</v>
      </c>
      <c r="I990" s="98" t="s">
        <v>837</v>
      </c>
      <c r="J990" s="98"/>
      <c r="K990" s="98" t="s">
        <v>1741</v>
      </c>
      <c r="L990" s="98" t="s">
        <v>2486</v>
      </c>
      <c r="M990" s="98"/>
    </row>
    <row r="991" spans="1:13" x14ac:dyDescent="0.3">
      <c r="A991" s="89">
        <v>45975</v>
      </c>
      <c r="B991" s="89">
        <v>45975</v>
      </c>
      <c r="C991" s="90">
        <v>220</v>
      </c>
      <c r="D991" s="90">
        <v>0</v>
      </c>
      <c r="E991" s="90" t="s">
        <v>1299</v>
      </c>
      <c r="F991" s="90" t="s">
        <v>975</v>
      </c>
      <c r="G991" s="39">
        <v>0.55000000000000004</v>
      </c>
      <c r="H991" s="90" t="s">
        <v>91</v>
      </c>
      <c r="I991" s="90" t="s">
        <v>1680</v>
      </c>
      <c r="J991" s="90"/>
      <c r="K991" s="90" t="s">
        <v>1298</v>
      </c>
      <c r="L991" s="90" t="s">
        <v>2484</v>
      </c>
      <c r="M991" s="90"/>
    </row>
    <row r="992" spans="1:13" x14ac:dyDescent="0.3">
      <c r="A992" s="103">
        <v>45975</v>
      </c>
      <c r="B992" s="103">
        <v>45975</v>
      </c>
      <c r="C992" s="104">
        <v>100</v>
      </c>
      <c r="D992" s="104">
        <v>0</v>
      </c>
      <c r="E992" s="104"/>
      <c r="F992" s="104" t="s">
        <v>983</v>
      </c>
      <c r="G992" s="40">
        <v>0.82</v>
      </c>
      <c r="H992" s="104" t="s">
        <v>131</v>
      </c>
      <c r="I992" s="104" t="s">
        <v>1680</v>
      </c>
      <c r="J992" s="104"/>
      <c r="K992" s="104" t="s">
        <v>1297</v>
      </c>
      <c r="L992" s="104" t="s">
        <v>2484</v>
      </c>
      <c r="M992" s="104"/>
    </row>
    <row r="993" spans="1:13" x14ac:dyDescent="0.3">
      <c r="A993" s="103">
        <v>45975</v>
      </c>
      <c r="B993" s="103">
        <v>45975</v>
      </c>
      <c r="C993" s="104">
        <v>46</v>
      </c>
      <c r="D993" s="104">
        <v>0</v>
      </c>
      <c r="E993" s="104"/>
      <c r="F993" s="104" t="s">
        <v>983</v>
      </c>
      <c r="G993" s="40">
        <v>0.82</v>
      </c>
      <c r="H993" s="104" t="s">
        <v>131</v>
      </c>
      <c r="I993" s="104" t="s">
        <v>1680</v>
      </c>
      <c r="J993" s="104"/>
      <c r="K993" s="104" t="s">
        <v>1296</v>
      </c>
      <c r="L993" s="104" t="s">
        <v>2484</v>
      </c>
      <c r="M993" s="104"/>
    </row>
    <row r="994" spans="1:13" x14ac:dyDescent="0.3">
      <c r="A994" s="49">
        <v>45975</v>
      </c>
      <c r="B994" s="49">
        <v>45975</v>
      </c>
      <c r="C994" s="50">
        <v>0</v>
      </c>
      <c r="D994" s="50">
        <v>780</v>
      </c>
      <c r="E994" s="50"/>
      <c r="F994" s="50" t="s">
        <v>17</v>
      </c>
      <c r="G994" s="24">
        <v>0.88</v>
      </c>
      <c r="H994" s="50" t="s">
        <v>17</v>
      </c>
      <c r="I994" s="50" t="s">
        <v>1779</v>
      </c>
      <c r="J994" s="50"/>
      <c r="K994" s="50" t="s">
        <v>670</v>
      </c>
      <c r="L994" s="50" t="s">
        <v>2482</v>
      </c>
      <c r="M994" s="50"/>
    </row>
    <row r="995" spans="1:13" x14ac:dyDescent="0.3">
      <c r="A995" s="89">
        <v>45976</v>
      </c>
      <c r="B995" s="89">
        <v>45976</v>
      </c>
      <c r="C995" s="90">
        <v>393</v>
      </c>
      <c r="D995" s="90">
        <v>0</v>
      </c>
      <c r="E995" s="90" t="s">
        <v>1303</v>
      </c>
      <c r="F995" s="90" t="s">
        <v>975</v>
      </c>
      <c r="G995" s="39">
        <v>0.55000000000000004</v>
      </c>
      <c r="H995" s="90" t="s">
        <v>91</v>
      </c>
      <c r="I995" s="90" t="s">
        <v>1680</v>
      </c>
      <c r="J995" s="90"/>
      <c r="K995" s="90" t="s">
        <v>1302</v>
      </c>
      <c r="L995" s="90" t="s">
        <v>2484</v>
      </c>
      <c r="M995" s="90"/>
    </row>
    <row r="996" spans="1:13" x14ac:dyDescent="0.3">
      <c r="A996" s="35">
        <v>45978</v>
      </c>
      <c r="B996" s="35">
        <v>45978</v>
      </c>
      <c r="C996" s="36">
        <v>1109.2</v>
      </c>
      <c r="D996" s="36">
        <v>0</v>
      </c>
      <c r="E996" s="36"/>
      <c r="F996" s="36" t="s">
        <v>9</v>
      </c>
      <c r="G996" s="24">
        <v>0.93</v>
      </c>
      <c r="H996" s="36" t="s">
        <v>9</v>
      </c>
      <c r="I996" s="36" t="s">
        <v>1779</v>
      </c>
      <c r="J996" s="36"/>
      <c r="K996" s="36" t="s">
        <v>675</v>
      </c>
      <c r="L996" s="36" t="s">
        <v>2482</v>
      </c>
      <c r="M996" s="36"/>
    </row>
    <row r="997" spans="1:13" x14ac:dyDescent="0.3">
      <c r="A997" s="25">
        <v>45978</v>
      </c>
      <c r="B997" s="25">
        <v>45978</v>
      </c>
      <c r="C997" s="26">
        <v>0</v>
      </c>
      <c r="D997" s="26">
        <v>580.16999999999996</v>
      </c>
      <c r="E997" s="26"/>
      <c r="F997" s="26" t="s">
        <v>3</v>
      </c>
      <c r="G997" s="24">
        <v>0.93</v>
      </c>
      <c r="H997" s="26" t="s">
        <v>49</v>
      </c>
      <c r="I997" s="26" t="s">
        <v>1779</v>
      </c>
      <c r="J997" s="26"/>
      <c r="K997" s="26" t="s">
        <v>673</v>
      </c>
      <c r="L997" s="26" t="s">
        <v>2482</v>
      </c>
      <c r="M997" s="26"/>
    </row>
    <row r="998" spans="1:13" x14ac:dyDescent="0.3">
      <c r="A998" s="27">
        <v>45978</v>
      </c>
      <c r="B998" s="27">
        <v>45978</v>
      </c>
      <c r="C998" s="28">
        <v>195.33</v>
      </c>
      <c r="D998" s="28">
        <v>0</v>
      </c>
      <c r="E998" s="28"/>
      <c r="F998" s="28" t="s">
        <v>4</v>
      </c>
      <c r="G998" s="24">
        <v>0.97</v>
      </c>
      <c r="H998" s="28" t="s">
        <v>49</v>
      </c>
      <c r="I998" s="28" t="s">
        <v>1779</v>
      </c>
      <c r="J998" s="28"/>
      <c r="K998" s="28" t="s">
        <v>50</v>
      </c>
      <c r="L998" s="28" t="s">
        <v>2482</v>
      </c>
      <c r="M998" s="28"/>
    </row>
    <row r="999" spans="1:13" x14ac:dyDescent="0.3">
      <c r="A999" s="49">
        <v>45978.543645833342</v>
      </c>
      <c r="B999" s="49">
        <v>45978</v>
      </c>
      <c r="C999" s="50">
        <v>0</v>
      </c>
      <c r="D999" s="50">
        <v>48</v>
      </c>
      <c r="E999" s="50"/>
      <c r="F999" s="50" t="s">
        <v>17</v>
      </c>
      <c r="G999" s="24">
        <v>0.85</v>
      </c>
      <c r="H999" s="50" t="s">
        <v>17</v>
      </c>
      <c r="I999" s="50" t="s">
        <v>1019</v>
      </c>
      <c r="J999" s="50"/>
      <c r="K999" s="50" t="s">
        <v>2352</v>
      </c>
      <c r="L999" s="50" t="s">
        <v>2483</v>
      </c>
      <c r="M999" s="50"/>
    </row>
    <row r="1000" spans="1:13" x14ac:dyDescent="0.3">
      <c r="A1000" s="25">
        <v>45979</v>
      </c>
      <c r="B1000" s="25">
        <v>45979</v>
      </c>
      <c r="C1000" s="26">
        <v>0</v>
      </c>
      <c r="D1000" s="26">
        <v>720.5</v>
      </c>
      <c r="E1000" s="26"/>
      <c r="F1000" s="26" t="s">
        <v>3</v>
      </c>
      <c r="G1000" s="24">
        <v>0.93</v>
      </c>
      <c r="H1000" s="26" t="s">
        <v>49</v>
      </c>
      <c r="I1000" s="26" t="s">
        <v>1779</v>
      </c>
      <c r="J1000" s="26"/>
      <c r="K1000" s="26" t="s">
        <v>677</v>
      </c>
      <c r="L1000" s="26" t="s">
        <v>2482</v>
      </c>
      <c r="M1000" s="26"/>
    </row>
    <row r="1001" spans="1:13" x14ac:dyDescent="0.3">
      <c r="A1001" s="27">
        <v>45979</v>
      </c>
      <c r="B1001" s="27">
        <v>45979</v>
      </c>
      <c r="C1001" s="28">
        <v>499.82</v>
      </c>
      <c r="D1001" s="28">
        <v>0</v>
      </c>
      <c r="E1001" s="28"/>
      <c r="F1001" s="28" t="s">
        <v>4</v>
      </c>
      <c r="G1001" s="24">
        <v>0.97</v>
      </c>
      <c r="H1001" s="28" t="s">
        <v>49</v>
      </c>
      <c r="I1001" s="28" t="s">
        <v>1779</v>
      </c>
      <c r="J1001" s="28"/>
      <c r="K1001" s="28" t="s">
        <v>50</v>
      </c>
      <c r="L1001" s="28" t="s">
        <v>2482</v>
      </c>
      <c r="M1001" s="28"/>
    </row>
    <row r="1002" spans="1:13" x14ac:dyDescent="0.3">
      <c r="A1002" s="27">
        <v>45979</v>
      </c>
      <c r="B1002" s="27">
        <v>45979</v>
      </c>
      <c r="C1002" s="28">
        <v>65.319999999999993</v>
      </c>
      <c r="D1002" s="28">
        <v>0</v>
      </c>
      <c r="E1002" s="28"/>
      <c r="F1002" s="28" t="s">
        <v>4</v>
      </c>
      <c r="G1002" s="24">
        <v>0.97</v>
      </c>
      <c r="H1002" s="28" t="s">
        <v>49</v>
      </c>
      <c r="I1002" s="28" t="s">
        <v>1779</v>
      </c>
      <c r="J1002" s="28"/>
      <c r="K1002" s="28" t="s">
        <v>50</v>
      </c>
      <c r="L1002" s="28" t="s">
        <v>2482</v>
      </c>
      <c r="M1002" s="28"/>
    </row>
    <row r="1003" spans="1:13" x14ac:dyDescent="0.3">
      <c r="A1003" s="89">
        <v>45979</v>
      </c>
      <c r="B1003" s="89">
        <v>45979</v>
      </c>
      <c r="C1003" s="90">
        <v>299</v>
      </c>
      <c r="D1003" s="90">
        <v>0</v>
      </c>
      <c r="E1003" s="90"/>
      <c r="F1003" s="90" t="s">
        <v>992</v>
      </c>
      <c r="G1003" s="40">
        <v>0.75</v>
      </c>
      <c r="H1003" s="90" t="s">
        <v>91</v>
      </c>
      <c r="I1003" s="90" t="s">
        <v>1680</v>
      </c>
      <c r="J1003" s="90"/>
      <c r="K1003" s="90" t="s">
        <v>1304</v>
      </c>
      <c r="L1003" s="90" t="s">
        <v>2484</v>
      </c>
      <c r="M1003" s="90"/>
    </row>
    <row r="1004" spans="1:13" x14ac:dyDescent="0.3">
      <c r="A1004" s="89">
        <v>45980</v>
      </c>
      <c r="B1004" s="89">
        <v>45980</v>
      </c>
      <c r="C1004" s="90">
        <v>10</v>
      </c>
      <c r="D1004" s="90">
        <v>0</v>
      </c>
      <c r="E1004" s="90" t="s">
        <v>1306</v>
      </c>
      <c r="F1004" s="90" t="s">
        <v>975</v>
      </c>
      <c r="G1004" s="39">
        <v>0.55000000000000004</v>
      </c>
      <c r="H1004" s="90" t="s">
        <v>91</v>
      </c>
      <c r="I1004" s="90" t="s">
        <v>1680</v>
      </c>
      <c r="J1004" s="90"/>
      <c r="K1004" s="90" t="s">
        <v>1305</v>
      </c>
      <c r="L1004" s="90" t="s">
        <v>2484</v>
      </c>
      <c r="M1004" s="90"/>
    </row>
    <row r="1005" spans="1:13" x14ac:dyDescent="0.3">
      <c r="A1005" s="27">
        <v>45980</v>
      </c>
      <c r="B1005" s="27">
        <v>45980</v>
      </c>
      <c r="C1005" s="28">
        <v>65.39</v>
      </c>
      <c r="D1005" s="28">
        <v>0</v>
      </c>
      <c r="E1005" s="28"/>
      <c r="F1005" s="28" t="s">
        <v>4</v>
      </c>
      <c r="G1005" s="24">
        <v>0.97</v>
      </c>
      <c r="H1005" s="28" t="s">
        <v>49</v>
      </c>
      <c r="I1005" s="28" t="s">
        <v>1779</v>
      </c>
      <c r="J1005" s="28"/>
      <c r="K1005" s="28" t="s">
        <v>50</v>
      </c>
      <c r="L1005" s="28" t="s">
        <v>2482</v>
      </c>
      <c r="M1005" s="28"/>
    </row>
    <row r="1006" spans="1:13" x14ac:dyDescent="0.3">
      <c r="A1006" s="49">
        <v>45980.279050925928</v>
      </c>
      <c r="B1006" s="49">
        <v>45980</v>
      </c>
      <c r="C1006" s="50">
        <v>0</v>
      </c>
      <c r="D1006" s="50">
        <v>196</v>
      </c>
      <c r="E1006" s="50"/>
      <c r="F1006" s="50" t="s">
        <v>17</v>
      </c>
      <c r="G1006" s="24">
        <v>0.93</v>
      </c>
      <c r="H1006" s="50" t="s">
        <v>17</v>
      </c>
      <c r="I1006" s="50" t="s">
        <v>1019</v>
      </c>
      <c r="J1006" s="50"/>
      <c r="K1006" s="50" t="s">
        <v>2354</v>
      </c>
      <c r="L1006" s="50" t="s">
        <v>2483</v>
      </c>
      <c r="M1006" s="50"/>
    </row>
    <row r="1007" spans="1:13" x14ac:dyDescent="0.3">
      <c r="A1007" s="25">
        <v>45981</v>
      </c>
      <c r="B1007" s="25">
        <v>45981</v>
      </c>
      <c r="C1007" s="26">
        <v>0</v>
      </c>
      <c r="D1007" s="26">
        <v>43.25</v>
      </c>
      <c r="E1007" s="26"/>
      <c r="F1007" s="26" t="s">
        <v>3</v>
      </c>
      <c r="G1007" s="24">
        <v>0.93</v>
      </c>
      <c r="H1007" s="26" t="s">
        <v>49</v>
      </c>
      <c r="I1007" s="26" t="s">
        <v>1779</v>
      </c>
      <c r="J1007" s="26"/>
      <c r="K1007" s="26" t="s">
        <v>682</v>
      </c>
      <c r="L1007" s="26" t="s">
        <v>2482</v>
      </c>
      <c r="M1007" s="26"/>
    </row>
    <row r="1008" spans="1:13" x14ac:dyDescent="0.3">
      <c r="A1008" s="27">
        <v>45981</v>
      </c>
      <c r="B1008" s="27">
        <v>45981</v>
      </c>
      <c r="C1008" s="28">
        <v>65.39</v>
      </c>
      <c r="D1008" s="28">
        <v>0</v>
      </c>
      <c r="E1008" s="28"/>
      <c r="F1008" s="28" t="s">
        <v>4</v>
      </c>
      <c r="G1008" s="24">
        <v>0.97</v>
      </c>
      <c r="H1008" s="28" t="s">
        <v>49</v>
      </c>
      <c r="I1008" s="28" t="s">
        <v>1779</v>
      </c>
      <c r="J1008" s="28"/>
      <c r="K1008" s="28" t="s">
        <v>50</v>
      </c>
      <c r="L1008" s="28" t="s">
        <v>2482</v>
      </c>
      <c r="M1008" s="28"/>
    </row>
    <row r="1009" spans="1:13" x14ac:dyDescent="0.3">
      <c r="A1009" s="49">
        <v>45981.5469212963</v>
      </c>
      <c r="B1009" s="49">
        <v>45981</v>
      </c>
      <c r="C1009" s="50">
        <v>0</v>
      </c>
      <c r="D1009" s="50">
        <v>350</v>
      </c>
      <c r="E1009" s="50"/>
      <c r="F1009" s="50" t="s">
        <v>17</v>
      </c>
      <c r="G1009" s="24">
        <v>0.93</v>
      </c>
      <c r="H1009" s="50" t="s">
        <v>17</v>
      </c>
      <c r="I1009" s="50" t="s">
        <v>1019</v>
      </c>
      <c r="J1009" s="50"/>
      <c r="K1009" s="50" t="s">
        <v>2356</v>
      </c>
      <c r="L1009" s="50" t="s">
        <v>2483</v>
      </c>
      <c r="M1009" s="50"/>
    </row>
    <row r="1010" spans="1:13" x14ac:dyDescent="0.3">
      <c r="A1010" s="27">
        <v>45982</v>
      </c>
      <c r="B1010" s="27">
        <v>45982</v>
      </c>
      <c r="C1010" s="28">
        <v>580.03</v>
      </c>
      <c r="D1010" s="28">
        <v>0</v>
      </c>
      <c r="E1010" s="28"/>
      <c r="F1010" s="28" t="s">
        <v>4</v>
      </c>
      <c r="G1010" s="24">
        <v>0.97</v>
      </c>
      <c r="H1010" s="28" t="s">
        <v>49</v>
      </c>
      <c r="I1010" s="28" t="s">
        <v>1779</v>
      </c>
      <c r="J1010" s="28"/>
      <c r="K1010" s="28" t="s">
        <v>50</v>
      </c>
      <c r="L1010" s="28" t="s">
        <v>2482</v>
      </c>
      <c r="M1010" s="28"/>
    </row>
    <row r="1011" spans="1:13" x14ac:dyDescent="0.3">
      <c r="A1011" s="25">
        <v>45982</v>
      </c>
      <c r="B1011" s="25">
        <v>45982</v>
      </c>
      <c r="C1011" s="26">
        <v>0</v>
      </c>
      <c r="D1011" s="26">
        <v>315.37</v>
      </c>
      <c r="E1011" s="26"/>
      <c r="F1011" s="26" t="s">
        <v>3</v>
      </c>
      <c r="G1011" s="24">
        <v>0.93</v>
      </c>
      <c r="H1011" s="26" t="s">
        <v>49</v>
      </c>
      <c r="I1011" s="26" t="s">
        <v>1779</v>
      </c>
      <c r="J1011" s="26"/>
      <c r="K1011" s="26" t="s">
        <v>685</v>
      </c>
      <c r="L1011" s="26" t="s">
        <v>2482</v>
      </c>
      <c r="M1011" s="26"/>
    </row>
    <row r="1012" spans="1:13" x14ac:dyDescent="0.3">
      <c r="A1012" s="27">
        <v>45982</v>
      </c>
      <c r="B1012" s="27">
        <v>45982</v>
      </c>
      <c r="C1012" s="28">
        <v>65.41</v>
      </c>
      <c r="D1012" s="28">
        <v>0</v>
      </c>
      <c r="E1012" s="28"/>
      <c r="F1012" s="28" t="s">
        <v>4</v>
      </c>
      <c r="G1012" s="24">
        <v>0.97</v>
      </c>
      <c r="H1012" s="28" t="s">
        <v>49</v>
      </c>
      <c r="I1012" s="28" t="s">
        <v>1779</v>
      </c>
      <c r="J1012" s="28"/>
      <c r="K1012" s="28" t="s">
        <v>50</v>
      </c>
      <c r="L1012" s="28" t="s">
        <v>2482</v>
      </c>
      <c r="M1012" s="28"/>
    </row>
    <row r="1013" spans="1:13" x14ac:dyDescent="0.3">
      <c r="A1013" s="89">
        <v>45983</v>
      </c>
      <c r="B1013" s="89">
        <v>45983</v>
      </c>
      <c r="C1013" s="90">
        <v>150</v>
      </c>
      <c r="D1013" s="90">
        <v>0</v>
      </c>
      <c r="E1013" s="90" t="s">
        <v>1311</v>
      </c>
      <c r="F1013" s="90" t="s">
        <v>975</v>
      </c>
      <c r="G1013" s="39">
        <v>0.55000000000000004</v>
      </c>
      <c r="H1013" s="90" t="s">
        <v>91</v>
      </c>
      <c r="I1013" s="90" t="s">
        <v>1680</v>
      </c>
      <c r="J1013" s="90"/>
      <c r="K1013" s="90" t="s">
        <v>1310</v>
      </c>
      <c r="L1013" s="90" t="s">
        <v>2484</v>
      </c>
      <c r="M1013" s="90"/>
    </row>
    <row r="1014" spans="1:13" x14ac:dyDescent="0.3">
      <c r="A1014" s="101">
        <v>45983</v>
      </c>
      <c r="B1014" s="101">
        <v>45983</v>
      </c>
      <c r="C1014" s="102">
        <v>1000</v>
      </c>
      <c r="D1014" s="102">
        <v>0</v>
      </c>
      <c r="E1014" s="102"/>
      <c r="F1014" s="102" t="s">
        <v>976</v>
      </c>
      <c r="G1014" s="24">
        <v>0.85</v>
      </c>
      <c r="H1014" s="102" t="s">
        <v>1028</v>
      </c>
      <c r="I1014" s="102" t="s">
        <v>1680</v>
      </c>
      <c r="J1014" s="102"/>
      <c r="K1014" s="102" t="s">
        <v>1309</v>
      </c>
      <c r="L1014" s="102" t="s">
        <v>2484</v>
      </c>
      <c r="M1014" s="102"/>
    </row>
    <row r="1015" spans="1:13" x14ac:dyDescent="0.3">
      <c r="A1015" s="89">
        <v>45983</v>
      </c>
      <c r="B1015" s="89">
        <v>45983</v>
      </c>
      <c r="C1015" s="90">
        <v>60</v>
      </c>
      <c r="D1015" s="90">
        <v>0</v>
      </c>
      <c r="E1015" s="90" t="s">
        <v>1308</v>
      </c>
      <c r="F1015" s="90" t="s">
        <v>975</v>
      </c>
      <c r="G1015" s="39">
        <v>0.55000000000000004</v>
      </c>
      <c r="H1015" s="90" t="s">
        <v>91</v>
      </c>
      <c r="I1015" s="90" t="s">
        <v>1680</v>
      </c>
      <c r="J1015" s="90"/>
      <c r="K1015" s="90" t="s">
        <v>1307</v>
      </c>
      <c r="L1015" s="90" t="s">
        <v>2484</v>
      </c>
      <c r="M1015" s="90"/>
    </row>
    <row r="1016" spans="1:13" x14ac:dyDescent="0.3">
      <c r="A1016" s="89">
        <v>45983</v>
      </c>
      <c r="B1016" s="89">
        <v>45983</v>
      </c>
      <c r="C1016" s="90">
        <v>30</v>
      </c>
      <c r="D1016" s="90">
        <v>0</v>
      </c>
      <c r="E1016" s="90" t="s">
        <v>1313</v>
      </c>
      <c r="F1016" s="90" t="s">
        <v>975</v>
      </c>
      <c r="G1016" s="39">
        <v>0.55000000000000004</v>
      </c>
      <c r="H1016" s="90" t="s">
        <v>91</v>
      </c>
      <c r="I1016" s="90" t="s">
        <v>1680</v>
      </c>
      <c r="J1016" s="90"/>
      <c r="K1016" s="90" t="s">
        <v>1312</v>
      </c>
      <c r="L1016" s="90" t="s">
        <v>2484</v>
      </c>
      <c r="M1016" s="90"/>
    </row>
    <row r="1017" spans="1:13" x14ac:dyDescent="0.3">
      <c r="A1017" s="89">
        <v>45984</v>
      </c>
      <c r="B1017" s="89">
        <v>45984</v>
      </c>
      <c r="C1017" s="90">
        <v>50</v>
      </c>
      <c r="D1017" s="90">
        <v>0</v>
      </c>
      <c r="E1017" s="90" t="s">
        <v>1316</v>
      </c>
      <c r="F1017" s="90" t="s">
        <v>975</v>
      </c>
      <c r="G1017" s="39">
        <v>0.55000000000000004</v>
      </c>
      <c r="H1017" s="90" t="s">
        <v>91</v>
      </c>
      <c r="I1017" s="90" t="s">
        <v>1680</v>
      </c>
      <c r="J1017" s="90"/>
      <c r="K1017" s="90" t="s">
        <v>1315</v>
      </c>
      <c r="L1017" s="90" t="s">
        <v>2484</v>
      </c>
      <c r="M1017" s="90"/>
    </row>
    <row r="1018" spans="1:13" x14ac:dyDescent="0.3">
      <c r="A1018" s="101">
        <v>45984</v>
      </c>
      <c r="B1018" s="101">
        <v>45984</v>
      </c>
      <c r="C1018" s="102">
        <v>1000</v>
      </c>
      <c r="D1018" s="102">
        <v>0</v>
      </c>
      <c r="E1018" s="102"/>
      <c r="F1018" s="102" t="s">
        <v>976</v>
      </c>
      <c r="G1018" s="24">
        <v>0.85</v>
      </c>
      <c r="H1018" s="102" t="s">
        <v>1028</v>
      </c>
      <c r="I1018" s="102" t="s">
        <v>1680</v>
      </c>
      <c r="J1018" s="102"/>
      <c r="K1018" s="102" t="s">
        <v>1314</v>
      </c>
      <c r="L1018" s="102" t="s">
        <v>2484</v>
      </c>
      <c r="M1018" s="102"/>
    </row>
    <row r="1019" spans="1:13" x14ac:dyDescent="0.3">
      <c r="A1019" s="89">
        <v>45985</v>
      </c>
      <c r="B1019" s="89">
        <v>45985</v>
      </c>
      <c r="C1019" s="90">
        <v>35</v>
      </c>
      <c r="D1019" s="90">
        <v>0</v>
      </c>
      <c r="E1019" s="90" t="s">
        <v>1319</v>
      </c>
      <c r="F1019" s="90" t="s">
        <v>975</v>
      </c>
      <c r="G1019" s="39">
        <v>0.55000000000000004</v>
      </c>
      <c r="H1019" s="90" t="s">
        <v>91</v>
      </c>
      <c r="I1019" s="90" t="s">
        <v>1680</v>
      </c>
      <c r="J1019" s="90"/>
      <c r="K1019" s="90" t="s">
        <v>1318</v>
      </c>
      <c r="L1019" s="90" t="s">
        <v>2484</v>
      </c>
      <c r="M1019" s="90"/>
    </row>
    <row r="1020" spans="1:13" x14ac:dyDescent="0.3">
      <c r="A1020" s="101">
        <v>45985</v>
      </c>
      <c r="B1020" s="101">
        <v>45985</v>
      </c>
      <c r="C1020" s="102">
        <v>1000</v>
      </c>
      <c r="D1020" s="102">
        <v>0</v>
      </c>
      <c r="E1020" s="102"/>
      <c r="F1020" s="102" t="s">
        <v>976</v>
      </c>
      <c r="G1020" s="24">
        <v>0.85</v>
      </c>
      <c r="H1020" s="102" t="s">
        <v>1028</v>
      </c>
      <c r="I1020" s="102" t="s">
        <v>1680</v>
      </c>
      <c r="J1020" s="102"/>
      <c r="K1020" s="102" t="s">
        <v>1317</v>
      </c>
      <c r="L1020" s="102" t="s">
        <v>2484</v>
      </c>
      <c r="M1020" s="102"/>
    </row>
    <row r="1021" spans="1:13" x14ac:dyDescent="0.3">
      <c r="A1021" s="27">
        <v>45985</v>
      </c>
      <c r="B1021" s="27">
        <v>45985</v>
      </c>
      <c r="C1021" s="28">
        <v>195.96</v>
      </c>
      <c r="D1021" s="28">
        <v>0</v>
      </c>
      <c r="E1021" s="28"/>
      <c r="F1021" s="28" t="s">
        <v>4</v>
      </c>
      <c r="G1021" s="24">
        <v>0.97</v>
      </c>
      <c r="H1021" s="28" t="s">
        <v>49</v>
      </c>
      <c r="I1021" s="28" t="s">
        <v>1779</v>
      </c>
      <c r="J1021" s="28"/>
      <c r="K1021" s="28" t="s">
        <v>50</v>
      </c>
      <c r="L1021" s="28" t="s">
        <v>2482</v>
      </c>
      <c r="M1021" s="28"/>
    </row>
    <row r="1022" spans="1:13" x14ac:dyDescent="0.3">
      <c r="A1022" s="27">
        <v>45985</v>
      </c>
      <c r="B1022" s="27">
        <v>45985</v>
      </c>
      <c r="C1022" s="28">
        <v>728.47</v>
      </c>
      <c r="D1022" s="28">
        <v>0</v>
      </c>
      <c r="E1022" s="28"/>
      <c r="F1022" s="28" t="s">
        <v>4</v>
      </c>
      <c r="G1022" s="24">
        <v>0.97</v>
      </c>
      <c r="H1022" s="28" t="s">
        <v>49</v>
      </c>
      <c r="I1022" s="28" t="s">
        <v>1779</v>
      </c>
      <c r="J1022" s="28"/>
      <c r="K1022" s="28" t="s">
        <v>50</v>
      </c>
      <c r="L1022" s="28" t="s">
        <v>2482</v>
      </c>
      <c r="M1022" s="28"/>
    </row>
    <row r="1023" spans="1:13" x14ac:dyDescent="0.3">
      <c r="A1023" s="27">
        <v>45986</v>
      </c>
      <c r="B1023" s="27">
        <v>45986</v>
      </c>
      <c r="C1023" s="28">
        <v>65.06</v>
      </c>
      <c r="D1023" s="28">
        <v>0</v>
      </c>
      <c r="E1023" s="28"/>
      <c r="F1023" s="28" t="s">
        <v>4</v>
      </c>
      <c r="G1023" s="24">
        <v>0.97</v>
      </c>
      <c r="H1023" s="28" t="s">
        <v>49</v>
      </c>
      <c r="I1023" s="28" t="s">
        <v>1779</v>
      </c>
      <c r="J1023" s="28"/>
      <c r="K1023" s="28" t="s">
        <v>50</v>
      </c>
      <c r="L1023" s="28" t="s">
        <v>2482</v>
      </c>
      <c r="M1023" s="28"/>
    </row>
    <row r="1024" spans="1:13" x14ac:dyDescent="0.3">
      <c r="A1024" s="89">
        <v>45986</v>
      </c>
      <c r="B1024" s="89">
        <v>45986</v>
      </c>
      <c r="C1024" s="90">
        <v>20</v>
      </c>
      <c r="D1024" s="90">
        <v>0</v>
      </c>
      <c r="E1024" s="90" t="s">
        <v>1322</v>
      </c>
      <c r="F1024" s="90" t="s">
        <v>975</v>
      </c>
      <c r="G1024" s="39">
        <v>0.55000000000000004</v>
      </c>
      <c r="H1024" s="90" t="s">
        <v>91</v>
      </c>
      <c r="I1024" s="90" t="s">
        <v>1680</v>
      </c>
      <c r="J1024" s="90"/>
      <c r="K1024" s="90" t="s">
        <v>1321</v>
      </c>
      <c r="L1024" s="90" t="s">
        <v>2484</v>
      </c>
      <c r="M1024" s="90"/>
    </row>
    <row r="1025" spans="1:13" x14ac:dyDescent="0.3">
      <c r="A1025" s="101">
        <v>45986</v>
      </c>
      <c r="B1025" s="101">
        <v>45986</v>
      </c>
      <c r="C1025" s="102">
        <v>1000</v>
      </c>
      <c r="D1025" s="102">
        <v>0</v>
      </c>
      <c r="E1025" s="102"/>
      <c r="F1025" s="102" t="s">
        <v>976</v>
      </c>
      <c r="G1025" s="24">
        <v>0.85</v>
      </c>
      <c r="H1025" s="102" t="s">
        <v>1028</v>
      </c>
      <c r="I1025" s="102" t="s">
        <v>1680</v>
      </c>
      <c r="J1025" s="102"/>
      <c r="K1025" s="102" t="s">
        <v>1320</v>
      </c>
      <c r="L1025" s="102" t="s">
        <v>2484</v>
      </c>
      <c r="M1025" s="102"/>
    </row>
    <row r="1026" spans="1:13" x14ac:dyDescent="0.3">
      <c r="A1026" s="25">
        <v>45987</v>
      </c>
      <c r="B1026" s="25">
        <v>45987</v>
      </c>
      <c r="C1026" s="26">
        <v>0</v>
      </c>
      <c r="D1026" s="26">
        <v>6473.54</v>
      </c>
      <c r="E1026" s="26"/>
      <c r="F1026" s="26" t="s">
        <v>3</v>
      </c>
      <c r="G1026" s="24">
        <v>0.93</v>
      </c>
      <c r="H1026" s="26" t="s">
        <v>49</v>
      </c>
      <c r="I1026" s="26" t="s">
        <v>1779</v>
      </c>
      <c r="J1026" s="26"/>
      <c r="K1026" s="26" t="s">
        <v>692</v>
      </c>
      <c r="L1026" s="26" t="s">
        <v>2482</v>
      </c>
      <c r="M1026" s="26"/>
    </row>
    <row r="1027" spans="1:13" x14ac:dyDescent="0.3">
      <c r="A1027" s="25">
        <v>45987</v>
      </c>
      <c r="B1027" s="25">
        <v>45987</v>
      </c>
      <c r="C1027" s="26">
        <v>0</v>
      </c>
      <c r="D1027" s="26">
        <v>18149.099999999999</v>
      </c>
      <c r="E1027" s="26"/>
      <c r="F1027" s="26" t="s">
        <v>3</v>
      </c>
      <c r="G1027" s="24">
        <v>0.93</v>
      </c>
      <c r="H1027" s="26" t="s">
        <v>49</v>
      </c>
      <c r="I1027" s="26" t="s">
        <v>1779</v>
      </c>
      <c r="J1027" s="26"/>
      <c r="K1027" s="26" t="s">
        <v>694</v>
      </c>
      <c r="L1027" s="26" t="s">
        <v>2482</v>
      </c>
      <c r="M1027" s="26"/>
    </row>
    <row r="1028" spans="1:13" x14ac:dyDescent="0.3">
      <c r="A1028" s="27">
        <v>45987</v>
      </c>
      <c r="B1028" s="27">
        <v>45987</v>
      </c>
      <c r="C1028" s="28">
        <v>65.06</v>
      </c>
      <c r="D1028" s="28">
        <v>0</v>
      </c>
      <c r="E1028" s="28"/>
      <c r="F1028" s="28" t="s">
        <v>4</v>
      </c>
      <c r="G1028" s="24">
        <v>0.97</v>
      </c>
      <c r="H1028" s="28" t="s">
        <v>49</v>
      </c>
      <c r="I1028" s="28" t="s">
        <v>1779</v>
      </c>
      <c r="J1028" s="28"/>
      <c r="K1028" s="28" t="s">
        <v>50</v>
      </c>
      <c r="L1028" s="28" t="s">
        <v>2482</v>
      </c>
      <c r="M1028" s="28"/>
    </row>
    <row r="1029" spans="1:13" x14ac:dyDescent="0.3">
      <c r="A1029" s="85">
        <v>45987</v>
      </c>
      <c r="B1029" s="85">
        <v>45987</v>
      </c>
      <c r="C1029" s="86">
        <v>5000</v>
      </c>
      <c r="D1029" s="86">
        <v>0</v>
      </c>
      <c r="E1029" s="86"/>
      <c r="F1029" s="86" t="s">
        <v>974</v>
      </c>
      <c r="G1029" s="24">
        <v>0.9</v>
      </c>
      <c r="H1029" s="86" t="s">
        <v>1019</v>
      </c>
      <c r="I1029" s="86" t="s">
        <v>1680</v>
      </c>
      <c r="J1029" s="86"/>
      <c r="K1029" s="86" t="s">
        <v>1324</v>
      </c>
      <c r="L1029" s="86" t="s">
        <v>2484</v>
      </c>
      <c r="M1029" s="86"/>
    </row>
    <row r="1030" spans="1:13" x14ac:dyDescent="0.3">
      <c r="A1030" s="101">
        <v>45987</v>
      </c>
      <c r="B1030" s="101">
        <v>45987</v>
      </c>
      <c r="C1030" s="102">
        <v>1000</v>
      </c>
      <c r="D1030" s="102">
        <v>0</v>
      </c>
      <c r="E1030" s="102"/>
      <c r="F1030" s="102" t="s">
        <v>976</v>
      </c>
      <c r="G1030" s="24">
        <v>0.85</v>
      </c>
      <c r="H1030" s="102" t="s">
        <v>1028</v>
      </c>
      <c r="I1030" s="102" t="s">
        <v>1680</v>
      </c>
      <c r="J1030" s="102"/>
      <c r="K1030" s="102" t="s">
        <v>1323</v>
      </c>
      <c r="L1030" s="102" t="s">
        <v>2484</v>
      </c>
      <c r="M1030" s="102"/>
    </row>
    <row r="1031" spans="1:13" x14ac:dyDescent="0.3">
      <c r="A1031" s="27">
        <v>45987.874201388891</v>
      </c>
      <c r="B1031" s="27">
        <v>45987</v>
      </c>
      <c r="C1031" s="28">
        <v>0</v>
      </c>
      <c r="D1031" s="28">
        <v>5000</v>
      </c>
      <c r="E1031" s="28"/>
      <c r="F1031" s="28" t="s">
        <v>1656</v>
      </c>
      <c r="G1031" s="24">
        <v>0.95</v>
      </c>
      <c r="H1031" s="28" t="s">
        <v>1680</v>
      </c>
      <c r="I1031" s="28" t="s">
        <v>1019</v>
      </c>
      <c r="J1031" s="28"/>
      <c r="K1031" s="28" t="s">
        <v>2358</v>
      </c>
      <c r="L1031" s="28" t="s">
        <v>2483</v>
      </c>
      <c r="M1031" s="28"/>
    </row>
    <row r="1032" spans="1:13" x14ac:dyDescent="0.3">
      <c r="A1032" s="25">
        <v>45988</v>
      </c>
      <c r="B1032" s="25">
        <v>45988</v>
      </c>
      <c r="C1032" s="26">
        <v>0</v>
      </c>
      <c r="D1032" s="26">
        <v>1021.48</v>
      </c>
      <c r="E1032" s="26"/>
      <c r="F1032" s="26" t="s">
        <v>3</v>
      </c>
      <c r="G1032" s="24">
        <v>0.93</v>
      </c>
      <c r="H1032" s="26" t="s">
        <v>49</v>
      </c>
      <c r="I1032" s="26" t="s">
        <v>1779</v>
      </c>
      <c r="J1032" s="26"/>
      <c r="K1032" s="26" t="s">
        <v>697</v>
      </c>
      <c r="L1032" s="26" t="s">
        <v>2482</v>
      </c>
      <c r="M1032" s="26"/>
    </row>
    <row r="1033" spans="1:13" x14ac:dyDescent="0.3">
      <c r="A1033" s="101">
        <v>45988</v>
      </c>
      <c r="B1033" s="101">
        <v>45988</v>
      </c>
      <c r="C1033" s="102">
        <v>1000</v>
      </c>
      <c r="D1033" s="102">
        <v>0</v>
      </c>
      <c r="E1033" s="102"/>
      <c r="F1033" s="102" t="s">
        <v>976</v>
      </c>
      <c r="G1033" s="24">
        <v>0.85</v>
      </c>
      <c r="H1033" s="102" t="s">
        <v>1028</v>
      </c>
      <c r="I1033" s="102" t="s">
        <v>1680</v>
      </c>
      <c r="J1033" s="102"/>
      <c r="K1033" s="102" t="s">
        <v>1325</v>
      </c>
      <c r="L1033" s="102" t="s">
        <v>2484</v>
      </c>
      <c r="M1033" s="102"/>
    </row>
    <row r="1034" spans="1:13" x14ac:dyDescent="0.3">
      <c r="A1034" s="27">
        <v>45988</v>
      </c>
      <c r="B1034" s="27">
        <v>45988</v>
      </c>
      <c r="C1034" s="28">
        <v>58.6</v>
      </c>
      <c r="D1034" s="28">
        <v>0</v>
      </c>
      <c r="E1034" s="28"/>
      <c r="F1034" s="28" t="s">
        <v>4</v>
      </c>
      <c r="G1034" s="24">
        <v>0.97</v>
      </c>
      <c r="H1034" s="28" t="s">
        <v>49</v>
      </c>
      <c r="I1034" s="28" t="s">
        <v>1779</v>
      </c>
      <c r="J1034" s="28"/>
      <c r="K1034" s="28" t="s">
        <v>50</v>
      </c>
      <c r="L1034" s="28" t="s">
        <v>2482</v>
      </c>
      <c r="M1034" s="28"/>
    </row>
    <row r="1035" spans="1:13" x14ac:dyDescent="0.3">
      <c r="A1035" s="47">
        <v>45988</v>
      </c>
      <c r="B1035" s="47">
        <v>45988</v>
      </c>
      <c r="C1035" s="48">
        <v>30000</v>
      </c>
      <c r="D1035" s="48">
        <v>0</v>
      </c>
      <c r="E1035" s="48"/>
      <c r="F1035" s="48" t="s">
        <v>24</v>
      </c>
      <c r="G1035" s="24">
        <v>0.88</v>
      </c>
      <c r="H1035" s="48" t="s">
        <v>157</v>
      </c>
      <c r="I1035" s="48" t="s">
        <v>1779</v>
      </c>
      <c r="J1035" s="48"/>
      <c r="K1035" s="48" t="s">
        <v>699</v>
      </c>
      <c r="L1035" s="48" t="s">
        <v>2482</v>
      </c>
      <c r="M1035" s="48"/>
    </row>
    <row r="1036" spans="1:13" x14ac:dyDescent="0.3">
      <c r="A1036" s="27">
        <v>45988</v>
      </c>
      <c r="B1036" s="27">
        <v>45988</v>
      </c>
      <c r="C1036" s="28">
        <v>142.46</v>
      </c>
      <c r="D1036" s="28">
        <v>0</v>
      </c>
      <c r="E1036" s="28"/>
      <c r="F1036" s="28" t="s">
        <v>4</v>
      </c>
      <c r="G1036" s="24">
        <v>0.97</v>
      </c>
      <c r="H1036" s="28" t="s">
        <v>49</v>
      </c>
      <c r="I1036" s="28" t="s">
        <v>1779</v>
      </c>
      <c r="J1036" s="28"/>
      <c r="K1036" s="28" t="s">
        <v>50</v>
      </c>
      <c r="L1036" s="28" t="s">
        <v>2482</v>
      </c>
      <c r="M1036" s="28"/>
    </row>
    <row r="1037" spans="1:13" x14ac:dyDescent="0.3">
      <c r="A1037" s="25">
        <v>45989</v>
      </c>
      <c r="B1037" s="25">
        <v>45989</v>
      </c>
      <c r="C1037" s="26">
        <v>0</v>
      </c>
      <c r="D1037" s="26">
        <v>30064.62</v>
      </c>
      <c r="E1037" s="26"/>
      <c r="F1037" s="26" t="s">
        <v>3</v>
      </c>
      <c r="G1037" s="24">
        <v>0.93</v>
      </c>
      <c r="H1037" s="26" t="s">
        <v>49</v>
      </c>
      <c r="I1037" s="26" t="s">
        <v>1779</v>
      </c>
      <c r="J1037" s="26"/>
      <c r="K1037" s="26" t="s">
        <v>703</v>
      </c>
      <c r="L1037" s="26" t="s">
        <v>2482</v>
      </c>
      <c r="M1037" s="26"/>
    </row>
    <row r="1038" spans="1:13" x14ac:dyDescent="0.3">
      <c r="A1038" s="101">
        <v>45989</v>
      </c>
      <c r="B1038" s="101">
        <v>45989</v>
      </c>
      <c r="C1038" s="102">
        <v>1000</v>
      </c>
      <c r="D1038" s="102">
        <v>0</v>
      </c>
      <c r="E1038" s="102"/>
      <c r="F1038" s="102" t="s">
        <v>976</v>
      </c>
      <c r="G1038" s="24">
        <v>0.85</v>
      </c>
      <c r="H1038" s="102" t="s">
        <v>1028</v>
      </c>
      <c r="I1038" s="102" t="s">
        <v>1680</v>
      </c>
      <c r="J1038" s="102"/>
      <c r="K1038" s="102" t="s">
        <v>1326</v>
      </c>
      <c r="L1038" s="102" t="s">
        <v>2484</v>
      </c>
      <c r="M1038" s="102"/>
    </row>
    <row r="1039" spans="1:13" x14ac:dyDescent="0.3">
      <c r="A1039" s="89">
        <v>45989</v>
      </c>
      <c r="B1039" s="89">
        <v>45989</v>
      </c>
      <c r="C1039" s="90">
        <v>50</v>
      </c>
      <c r="D1039" s="90">
        <v>0</v>
      </c>
      <c r="E1039" s="90" t="s">
        <v>1322</v>
      </c>
      <c r="F1039" s="90" t="s">
        <v>975</v>
      </c>
      <c r="G1039" s="39">
        <v>0.55000000000000004</v>
      </c>
      <c r="H1039" s="90" t="s">
        <v>91</v>
      </c>
      <c r="I1039" s="90" t="s">
        <v>1680</v>
      </c>
      <c r="J1039" s="90"/>
      <c r="K1039" s="90" t="s">
        <v>1327</v>
      </c>
      <c r="L1039" s="90" t="s">
        <v>2484</v>
      </c>
      <c r="M1039" s="90"/>
    </row>
    <row r="1040" spans="1:13" x14ac:dyDescent="0.3">
      <c r="A1040" s="89">
        <v>45989</v>
      </c>
      <c r="B1040" s="89">
        <v>45989</v>
      </c>
      <c r="C1040" s="90">
        <v>100</v>
      </c>
      <c r="D1040" s="90">
        <v>0</v>
      </c>
      <c r="E1040" s="90" t="s">
        <v>1329</v>
      </c>
      <c r="F1040" s="90" t="s">
        <v>975</v>
      </c>
      <c r="G1040" s="39">
        <v>0.55000000000000004</v>
      </c>
      <c r="H1040" s="90" t="s">
        <v>91</v>
      </c>
      <c r="I1040" s="90" t="s">
        <v>1680</v>
      </c>
      <c r="J1040" s="90"/>
      <c r="K1040" s="90" t="s">
        <v>1328</v>
      </c>
      <c r="L1040" s="90" t="s">
        <v>2484</v>
      </c>
      <c r="M1040" s="90"/>
    </row>
    <row r="1041" spans="1:13" x14ac:dyDescent="0.3">
      <c r="A1041" s="27">
        <v>45989</v>
      </c>
      <c r="B1041" s="27">
        <v>45989</v>
      </c>
      <c r="C1041" s="28">
        <v>158.30000000000001</v>
      </c>
      <c r="D1041" s="28">
        <v>0</v>
      </c>
      <c r="E1041" s="28"/>
      <c r="F1041" s="28" t="s">
        <v>4</v>
      </c>
      <c r="G1041" s="24">
        <v>0.97</v>
      </c>
      <c r="H1041" s="28" t="s">
        <v>49</v>
      </c>
      <c r="I1041" s="28" t="s">
        <v>1779</v>
      </c>
      <c r="J1041" s="28"/>
      <c r="K1041" s="28" t="s">
        <v>50</v>
      </c>
      <c r="L1041" s="28" t="s">
        <v>2482</v>
      </c>
      <c r="M1041" s="28"/>
    </row>
    <row r="1042" spans="1:13" x14ac:dyDescent="0.3">
      <c r="A1042" s="49">
        <v>45989</v>
      </c>
      <c r="B1042" s="49">
        <v>45989</v>
      </c>
      <c r="C1042" s="50">
        <v>0</v>
      </c>
      <c r="D1042" s="50">
        <v>600</v>
      </c>
      <c r="E1042" s="50"/>
      <c r="F1042" s="50" t="s">
        <v>17</v>
      </c>
      <c r="G1042" s="24">
        <v>0.85</v>
      </c>
      <c r="H1042" s="50" t="s">
        <v>17</v>
      </c>
      <c r="I1042" s="50" t="s">
        <v>1779</v>
      </c>
      <c r="J1042" s="50"/>
      <c r="K1042" s="50" t="s">
        <v>708</v>
      </c>
      <c r="L1042" s="50" t="s">
        <v>2482</v>
      </c>
      <c r="M1042" s="50"/>
    </row>
    <row r="1043" spans="1:13" x14ac:dyDescent="0.3">
      <c r="A1043" s="27">
        <v>45989</v>
      </c>
      <c r="B1043" s="27">
        <v>45989</v>
      </c>
      <c r="C1043" s="28">
        <v>58.91</v>
      </c>
      <c r="D1043" s="28">
        <v>0</v>
      </c>
      <c r="E1043" s="28"/>
      <c r="F1043" s="28" t="s">
        <v>4</v>
      </c>
      <c r="G1043" s="24">
        <v>0.97</v>
      </c>
      <c r="H1043" s="28" t="s">
        <v>49</v>
      </c>
      <c r="I1043" s="28" t="s">
        <v>1779</v>
      </c>
      <c r="J1043" s="28"/>
      <c r="K1043" s="28" t="s">
        <v>50</v>
      </c>
      <c r="L1043" s="28" t="s">
        <v>2482</v>
      </c>
      <c r="M1043" s="28"/>
    </row>
    <row r="1044" spans="1:13" x14ac:dyDescent="0.3">
      <c r="A1044" s="22">
        <v>45989</v>
      </c>
      <c r="B1044" s="22">
        <v>45989</v>
      </c>
      <c r="C1044" s="23">
        <v>5000</v>
      </c>
      <c r="D1044" s="23">
        <v>0</v>
      </c>
      <c r="E1044" s="23"/>
      <c r="F1044" s="23" t="s">
        <v>2</v>
      </c>
      <c r="G1044" s="24">
        <v>0.95</v>
      </c>
      <c r="H1044" s="23" t="s">
        <v>2</v>
      </c>
      <c r="I1044" s="23" t="s">
        <v>1779</v>
      </c>
      <c r="J1044" s="23"/>
      <c r="K1044" s="23" t="s">
        <v>705</v>
      </c>
      <c r="L1044" s="23" t="s">
        <v>2482</v>
      </c>
      <c r="M1044" s="23"/>
    </row>
    <row r="1045" spans="1:13" x14ac:dyDescent="0.3">
      <c r="A1045" s="89">
        <v>45989</v>
      </c>
      <c r="B1045" s="89">
        <v>45989</v>
      </c>
      <c r="C1045" s="90">
        <v>20</v>
      </c>
      <c r="D1045" s="90">
        <v>0</v>
      </c>
      <c r="E1045" s="90" t="s">
        <v>1331</v>
      </c>
      <c r="F1045" s="90" t="s">
        <v>975</v>
      </c>
      <c r="G1045" s="39">
        <v>0.55000000000000004</v>
      </c>
      <c r="H1045" s="90" t="s">
        <v>91</v>
      </c>
      <c r="I1045" s="90" t="s">
        <v>1680</v>
      </c>
      <c r="J1045" s="90"/>
      <c r="K1045" s="90" t="s">
        <v>1330</v>
      </c>
      <c r="L1045" s="90" t="s">
        <v>2484</v>
      </c>
      <c r="M1045" s="90"/>
    </row>
    <row r="1046" spans="1:13" x14ac:dyDescent="0.3">
      <c r="A1046" s="22">
        <v>45989.311921296299</v>
      </c>
      <c r="B1046" s="22">
        <v>45989</v>
      </c>
      <c r="C1046" s="23">
        <v>8050</v>
      </c>
      <c r="D1046" s="23">
        <v>0</v>
      </c>
      <c r="E1046" s="23"/>
      <c r="F1046" s="23" t="s">
        <v>2</v>
      </c>
      <c r="G1046" s="24">
        <v>0.96</v>
      </c>
      <c r="H1046" s="23" t="s">
        <v>2</v>
      </c>
      <c r="I1046" s="23" t="s">
        <v>1019</v>
      </c>
      <c r="J1046" s="23"/>
      <c r="K1046" s="23" t="s">
        <v>2360</v>
      </c>
      <c r="L1046" s="23" t="s">
        <v>2483</v>
      </c>
      <c r="M1046" s="23"/>
    </row>
    <row r="1047" spans="1:13" x14ac:dyDescent="0.3">
      <c r="A1047" s="89">
        <v>45990</v>
      </c>
      <c r="B1047" s="89">
        <v>45990</v>
      </c>
      <c r="C1047" s="90">
        <v>300</v>
      </c>
      <c r="D1047" s="90">
        <v>0</v>
      </c>
      <c r="E1047" s="90" t="s">
        <v>1334</v>
      </c>
      <c r="F1047" s="90" t="s">
        <v>975</v>
      </c>
      <c r="G1047" s="39">
        <v>0.55000000000000004</v>
      </c>
      <c r="H1047" s="90" t="s">
        <v>91</v>
      </c>
      <c r="I1047" s="90" t="s">
        <v>1680</v>
      </c>
      <c r="J1047" s="90"/>
      <c r="K1047" s="90" t="s">
        <v>1333</v>
      </c>
      <c r="L1047" s="90" t="s">
        <v>2484</v>
      </c>
      <c r="M1047" s="90"/>
    </row>
    <row r="1048" spans="1:13" x14ac:dyDescent="0.3">
      <c r="A1048" s="101">
        <v>45990</v>
      </c>
      <c r="B1048" s="101">
        <v>45990</v>
      </c>
      <c r="C1048" s="102">
        <v>1000</v>
      </c>
      <c r="D1048" s="102">
        <v>0</v>
      </c>
      <c r="E1048" s="102"/>
      <c r="F1048" s="102" t="s">
        <v>976</v>
      </c>
      <c r="G1048" s="24">
        <v>0.85</v>
      </c>
      <c r="H1048" s="102" t="s">
        <v>1028</v>
      </c>
      <c r="I1048" s="102" t="s">
        <v>1680</v>
      </c>
      <c r="J1048" s="102"/>
      <c r="K1048" s="102" t="s">
        <v>1332</v>
      </c>
      <c r="L1048" s="102" t="s">
        <v>2484</v>
      </c>
      <c r="M1048" s="102"/>
    </row>
    <row r="1049" spans="1:13" x14ac:dyDescent="0.3">
      <c r="A1049" s="101">
        <v>45991</v>
      </c>
      <c r="B1049" s="101">
        <v>45991</v>
      </c>
      <c r="C1049" s="102">
        <v>1000</v>
      </c>
      <c r="D1049" s="102">
        <v>0</v>
      </c>
      <c r="E1049" s="102"/>
      <c r="F1049" s="102" t="s">
        <v>976</v>
      </c>
      <c r="G1049" s="24">
        <v>0.85</v>
      </c>
      <c r="H1049" s="102" t="s">
        <v>1028</v>
      </c>
      <c r="I1049" s="102" t="s">
        <v>1680</v>
      </c>
      <c r="J1049" s="102"/>
      <c r="K1049" s="102" t="s">
        <v>1335</v>
      </c>
      <c r="L1049" s="102" t="s">
        <v>2484</v>
      </c>
      <c r="M1049" s="102"/>
    </row>
    <row r="1050" spans="1:13" x14ac:dyDescent="0.3">
      <c r="A1050" s="111">
        <v>45991</v>
      </c>
      <c r="B1050" s="111">
        <v>45991</v>
      </c>
      <c r="C1050" s="112">
        <v>10780</v>
      </c>
      <c r="D1050" s="112">
        <v>0</v>
      </c>
      <c r="E1050" s="112"/>
      <c r="F1050" s="112" t="s">
        <v>994</v>
      </c>
      <c r="G1050" s="24">
        <v>0.85</v>
      </c>
      <c r="H1050" s="112" t="s">
        <v>112</v>
      </c>
      <c r="I1050" s="112" t="s">
        <v>1680</v>
      </c>
      <c r="J1050" s="112"/>
      <c r="K1050" s="112" t="s">
        <v>1336</v>
      </c>
      <c r="L1050" s="112" t="s">
        <v>2484</v>
      </c>
      <c r="M1050" s="112"/>
    </row>
    <row r="1051" spans="1:13" x14ac:dyDescent="0.3">
      <c r="A1051" s="85">
        <v>45992</v>
      </c>
      <c r="B1051" s="85">
        <v>45992</v>
      </c>
      <c r="C1051" s="86">
        <v>8000</v>
      </c>
      <c r="D1051" s="86">
        <v>0</v>
      </c>
      <c r="E1051" s="86"/>
      <c r="F1051" s="86" t="s">
        <v>974</v>
      </c>
      <c r="G1051" s="24">
        <v>0.9</v>
      </c>
      <c r="H1051" s="86" t="s">
        <v>1019</v>
      </c>
      <c r="I1051" s="86" t="s">
        <v>1680</v>
      </c>
      <c r="J1051" s="86"/>
      <c r="K1051" s="86" t="s">
        <v>1339</v>
      </c>
      <c r="L1051" s="86" t="s">
        <v>2484</v>
      </c>
      <c r="M1051" s="86"/>
    </row>
    <row r="1052" spans="1:13" x14ac:dyDescent="0.3">
      <c r="A1052" s="101">
        <v>45992</v>
      </c>
      <c r="B1052" s="101">
        <v>45992</v>
      </c>
      <c r="C1052" s="102">
        <v>1000</v>
      </c>
      <c r="D1052" s="102">
        <v>0</v>
      </c>
      <c r="E1052" s="102"/>
      <c r="F1052" s="102" t="s">
        <v>976</v>
      </c>
      <c r="G1052" s="24">
        <v>0.85</v>
      </c>
      <c r="H1052" s="102" t="s">
        <v>1028</v>
      </c>
      <c r="I1052" s="102" t="s">
        <v>1680</v>
      </c>
      <c r="J1052" s="102"/>
      <c r="K1052" s="102" t="s">
        <v>1338</v>
      </c>
      <c r="L1052" s="102" t="s">
        <v>2484</v>
      </c>
      <c r="M1052" s="102"/>
    </row>
    <row r="1053" spans="1:13" x14ac:dyDescent="0.3">
      <c r="A1053" s="78">
        <v>45992</v>
      </c>
      <c r="B1053" s="78">
        <v>45992</v>
      </c>
      <c r="C1053" s="79">
        <v>0</v>
      </c>
      <c r="D1053" s="79">
        <v>108048</v>
      </c>
      <c r="E1053" s="79"/>
      <c r="F1053" s="79" t="s">
        <v>972</v>
      </c>
      <c r="G1053" s="24">
        <v>0.97</v>
      </c>
      <c r="H1053" s="79" t="s">
        <v>972</v>
      </c>
      <c r="I1053" s="79" t="s">
        <v>1680</v>
      </c>
      <c r="J1053" s="79"/>
      <c r="K1053" s="79" t="s">
        <v>1337</v>
      </c>
      <c r="L1053" s="79" t="s">
        <v>2484</v>
      </c>
      <c r="M1053" s="79"/>
    </row>
    <row r="1054" spans="1:13" x14ac:dyDescent="0.3">
      <c r="A1054" s="22">
        <v>45992</v>
      </c>
      <c r="B1054" s="22">
        <v>45992</v>
      </c>
      <c r="C1054" s="23">
        <v>5000</v>
      </c>
      <c r="D1054" s="23">
        <v>0</v>
      </c>
      <c r="E1054" s="23"/>
      <c r="F1054" s="23" t="s">
        <v>2</v>
      </c>
      <c r="G1054" s="24">
        <v>0.95</v>
      </c>
      <c r="H1054" s="23" t="s">
        <v>2</v>
      </c>
      <c r="I1054" s="23" t="s">
        <v>1779</v>
      </c>
      <c r="J1054" s="23"/>
      <c r="K1054" s="23" t="s">
        <v>711</v>
      </c>
      <c r="L1054" s="23" t="s">
        <v>2482</v>
      </c>
      <c r="M1054" s="23"/>
    </row>
    <row r="1055" spans="1:13" x14ac:dyDescent="0.3">
      <c r="A1055" s="27">
        <v>45992</v>
      </c>
      <c r="B1055" s="27">
        <v>45992</v>
      </c>
      <c r="C1055" s="28">
        <v>176.58</v>
      </c>
      <c r="D1055" s="28">
        <v>0</v>
      </c>
      <c r="E1055" s="28"/>
      <c r="F1055" s="28" t="s">
        <v>4</v>
      </c>
      <c r="G1055" s="24">
        <v>0.97</v>
      </c>
      <c r="H1055" s="28" t="s">
        <v>49</v>
      </c>
      <c r="I1055" s="28" t="s">
        <v>1779</v>
      </c>
      <c r="J1055" s="28"/>
      <c r="K1055" s="28" t="s">
        <v>50</v>
      </c>
      <c r="L1055" s="28" t="s">
        <v>2482</v>
      </c>
      <c r="M1055" s="28"/>
    </row>
    <row r="1056" spans="1:13" x14ac:dyDescent="0.3">
      <c r="A1056" s="27">
        <v>45992</v>
      </c>
      <c r="B1056" s="27">
        <v>45992</v>
      </c>
      <c r="C1056" s="28">
        <v>424.5</v>
      </c>
      <c r="D1056" s="28">
        <v>0</v>
      </c>
      <c r="E1056" s="28"/>
      <c r="F1056" s="28" t="s">
        <v>4</v>
      </c>
      <c r="G1056" s="24">
        <v>0.97</v>
      </c>
      <c r="H1056" s="28" t="s">
        <v>49</v>
      </c>
      <c r="I1056" s="28" t="s">
        <v>1779</v>
      </c>
      <c r="J1056" s="28"/>
      <c r="K1056" s="28" t="s">
        <v>50</v>
      </c>
      <c r="L1056" s="28" t="s">
        <v>2482</v>
      </c>
      <c r="M1056" s="28"/>
    </row>
    <row r="1057" spans="1:13" x14ac:dyDescent="0.3">
      <c r="A1057" s="27">
        <v>45992.661770833343</v>
      </c>
      <c r="B1057" s="27">
        <v>45992</v>
      </c>
      <c r="C1057" s="28">
        <v>0</v>
      </c>
      <c r="D1057" s="28">
        <v>8000</v>
      </c>
      <c r="E1057" s="28"/>
      <c r="F1057" s="28" t="s">
        <v>1656</v>
      </c>
      <c r="G1057" s="24">
        <v>0.95</v>
      </c>
      <c r="H1057" s="28" t="s">
        <v>1680</v>
      </c>
      <c r="I1057" s="28" t="s">
        <v>1019</v>
      </c>
      <c r="J1057" s="28"/>
      <c r="K1057" s="28" t="s">
        <v>2362</v>
      </c>
      <c r="L1057" s="28" t="s">
        <v>2483</v>
      </c>
      <c r="M1057" s="28"/>
    </row>
    <row r="1058" spans="1:13" x14ac:dyDescent="0.3">
      <c r="A1058" s="27">
        <v>45993</v>
      </c>
      <c r="B1058" s="27">
        <v>45993</v>
      </c>
      <c r="C1058" s="28">
        <v>63.21</v>
      </c>
      <c r="D1058" s="28">
        <v>0</v>
      </c>
      <c r="E1058" s="28"/>
      <c r="F1058" s="28" t="s">
        <v>4</v>
      </c>
      <c r="G1058" s="24">
        <v>0.97</v>
      </c>
      <c r="H1058" s="28" t="s">
        <v>49</v>
      </c>
      <c r="I1058" s="28" t="s">
        <v>1779</v>
      </c>
      <c r="J1058" s="28"/>
      <c r="K1058" s="28" t="s">
        <v>50</v>
      </c>
      <c r="L1058" s="28" t="s">
        <v>2482</v>
      </c>
      <c r="M1058" s="28"/>
    </row>
    <row r="1059" spans="1:13" x14ac:dyDescent="0.3">
      <c r="A1059" s="101">
        <v>45993</v>
      </c>
      <c r="B1059" s="101">
        <v>45993</v>
      </c>
      <c r="C1059" s="102">
        <v>1000</v>
      </c>
      <c r="D1059" s="102">
        <v>0</v>
      </c>
      <c r="E1059" s="102"/>
      <c r="F1059" s="102" t="s">
        <v>976</v>
      </c>
      <c r="G1059" s="24">
        <v>0.85</v>
      </c>
      <c r="H1059" s="102" t="s">
        <v>1028</v>
      </c>
      <c r="I1059" s="102" t="s">
        <v>1680</v>
      </c>
      <c r="J1059" s="102"/>
      <c r="K1059" s="102" t="s">
        <v>1340</v>
      </c>
      <c r="L1059" s="102" t="s">
        <v>2484</v>
      </c>
      <c r="M1059" s="102"/>
    </row>
    <row r="1060" spans="1:13" x14ac:dyDescent="0.3">
      <c r="A1060" s="83">
        <v>45993</v>
      </c>
      <c r="B1060" s="83">
        <v>45993</v>
      </c>
      <c r="C1060" s="84">
        <v>5094.5</v>
      </c>
      <c r="D1060" s="84">
        <v>0</v>
      </c>
      <c r="E1060" s="84"/>
      <c r="F1060" s="84" t="s">
        <v>973</v>
      </c>
      <c r="G1060" s="40">
        <v>0.68</v>
      </c>
      <c r="H1060" s="84" t="s">
        <v>1014</v>
      </c>
      <c r="I1060" s="84" t="s">
        <v>1680</v>
      </c>
      <c r="J1060" s="84"/>
      <c r="K1060" s="84" t="s">
        <v>1341</v>
      </c>
      <c r="L1060" s="84" t="s">
        <v>2484</v>
      </c>
      <c r="M1060" s="84"/>
    </row>
    <row r="1061" spans="1:13" x14ac:dyDescent="0.3">
      <c r="A1061" s="83">
        <v>45993</v>
      </c>
      <c r="B1061" s="83">
        <v>45993</v>
      </c>
      <c r="C1061" s="84">
        <v>0</v>
      </c>
      <c r="D1061" s="84">
        <v>5094.5</v>
      </c>
      <c r="E1061" s="84"/>
      <c r="F1061" s="84" t="s">
        <v>973</v>
      </c>
      <c r="G1061" s="40">
        <v>0.68</v>
      </c>
      <c r="H1061" s="84" t="s">
        <v>1014</v>
      </c>
      <c r="I1061" s="84" t="s">
        <v>1680</v>
      </c>
      <c r="J1061" s="84"/>
      <c r="K1061" s="84" t="s">
        <v>1342</v>
      </c>
      <c r="L1061" s="84" t="s">
        <v>2484</v>
      </c>
      <c r="M1061" s="84"/>
    </row>
    <row r="1062" spans="1:13" x14ac:dyDescent="0.3">
      <c r="A1062" s="49">
        <v>45993</v>
      </c>
      <c r="B1062" s="49">
        <v>45993</v>
      </c>
      <c r="C1062" s="50">
        <v>0</v>
      </c>
      <c r="D1062" s="50">
        <v>700</v>
      </c>
      <c r="E1062" s="50"/>
      <c r="F1062" s="50" t="s">
        <v>17</v>
      </c>
      <c r="G1062" s="24">
        <v>0.88</v>
      </c>
      <c r="H1062" s="50" t="s">
        <v>17</v>
      </c>
      <c r="I1062" s="50" t="s">
        <v>1779</v>
      </c>
      <c r="J1062" s="50"/>
      <c r="K1062" s="50" t="s">
        <v>715</v>
      </c>
      <c r="L1062" s="50" t="s">
        <v>2482</v>
      </c>
      <c r="M1062" s="50"/>
    </row>
    <row r="1063" spans="1:13" x14ac:dyDescent="0.3">
      <c r="A1063" s="27">
        <v>45993</v>
      </c>
      <c r="B1063" s="27">
        <v>45993</v>
      </c>
      <c r="C1063" s="28">
        <v>58.7</v>
      </c>
      <c r="D1063" s="28">
        <v>0</v>
      </c>
      <c r="E1063" s="28"/>
      <c r="F1063" s="28" t="s">
        <v>4</v>
      </c>
      <c r="G1063" s="24">
        <v>0.97</v>
      </c>
      <c r="H1063" s="28" t="s">
        <v>49</v>
      </c>
      <c r="I1063" s="28" t="s">
        <v>1779</v>
      </c>
      <c r="J1063" s="28"/>
      <c r="K1063" s="28" t="s">
        <v>50</v>
      </c>
      <c r="L1063" s="28" t="s">
        <v>2482</v>
      </c>
      <c r="M1063" s="28"/>
    </row>
    <row r="1064" spans="1:13" x14ac:dyDescent="0.3">
      <c r="A1064" s="101">
        <v>45994</v>
      </c>
      <c r="B1064" s="101">
        <v>45994</v>
      </c>
      <c r="C1064" s="102">
        <v>1000</v>
      </c>
      <c r="D1064" s="102">
        <v>0</v>
      </c>
      <c r="E1064" s="102"/>
      <c r="F1064" s="102" t="s">
        <v>976</v>
      </c>
      <c r="G1064" s="24">
        <v>0.85</v>
      </c>
      <c r="H1064" s="102" t="s">
        <v>1028</v>
      </c>
      <c r="I1064" s="102" t="s">
        <v>1680</v>
      </c>
      <c r="J1064" s="102"/>
      <c r="K1064" s="102" t="s">
        <v>1343</v>
      </c>
      <c r="L1064" s="102" t="s">
        <v>2484</v>
      </c>
      <c r="M1064" s="102"/>
    </row>
    <row r="1065" spans="1:13" x14ac:dyDescent="0.3">
      <c r="A1065" s="95">
        <v>45994</v>
      </c>
      <c r="B1065" s="95">
        <v>45994</v>
      </c>
      <c r="C1065" s="96">
        <v>23000</v>
      </c>
      <c r="D1065" s="96">
        <v>0</v>
      </c>
      <c r="E1065" s="96"/>
      <c r="F1065" s="96" t="s">
        <v>990</v>
      </c>
      <c r="G1065" s="24">
        <v>0.92</v>
      </c>
      <c r="H1065" s="96" t="s">
        <v>990</v>
      </c>
      <c r="I1065" s="96" t="s">
        <v>1680</v>
      </c>
      <c r="J1065" s="96"/>
      <c r="K1065" s="96" t="s">
        <v>1344</v>
      </c>
      <c r="L1065" s="96" t="s">
        <v>2484</v>
      </c>
      <c r="M1065" s="96"/>
    </row>
    <row r="1066" spans="1:13" x14ac:dyDescent="0.3">
      <c r="A1066" s="27">
        <v>45994</v>
      </c>
      <c r="B1066" s="27">
        <v>45994</v>
      </c>
      <c r="C1066" s="28">
        <v>329.31</v>
      </c>
      <c r="D1066" s="28">
        <v>0</v>
      </c>
      <c r="E1066" s="28"/>
      <c r="F1066" s="28" t="s">
        <v>4</v>
      </c>
      <c r="G1066" s="24">
        <v>0.97</v>
      </c>
      <c r="H1066" s="28" t="s">
        <v>49</v>
      </c>
      <c r="I1066" s="28" t="s">
        <v>1779</v>
      </c>
      <c r="J1066" s="28"/>
      <c r="K1066" s="28" t="s">
        <v>50</v>
      </c>
      <c r="L1066" s="28" t="s">
        <v>2482</v>
      </c>
      <c r="M1066" s="28"/>
    </row>
    <row r="1067" spans="1:13" x14ac:dyDescent="0.3">
      <c r="A1067" s="27">
        <v>45994</v>
      </c>
      <c r="B1067" s="27">
        <v>45994</v>
      </c>
      <c r="C1067" s="28">
        <v>58.68</v>
      </c>
      <c r="D1067" s="28">
        <v>0</v>
      </c>
      <c r="E1067" s="28"/>
      <c r="F1067" s="28" t="s">
        <v>4</v>
      </c>
      <c r="G1067" s="24">
        <v>0.97</v>
      </c>
      <c r="H1067" s="28" t="s">
        <v>49</v>
      </c>
      <c r="I1067" s="28" t="s">
        <v>1779</v>
      </c>
      <c r="J1067" s="28"/>
      <c r="K1067" s="28" t="s">
        <v>50</v>
      </c>
      <c r="L1067" s="28" t="s">
        <v>2482</v>
      </c>
      <c r="M1067" s="28"/>
    </row>
    <row r="1068" spans="1:13" x14ac:dyDescent="0.3">
      <c r="A1068" s="83">
        <v>45995</v>
      </c>
      <c r="B1068" s="83">
        <v>45995</v>
      </c>
      <c r="C1068" s="84">
        <v>0</v>
      </c>
      <c r="D1068" s="84">
        <v>4100</v>
      </c>
      <c r="E1068" s="84"/>
      <c r="F1068" s="84" t="s">
        <v>973</v>
      </c>
      <c r="G1068" s="24">
        <v>0.92</v>
      </c>
      <c r="H1068" s="84" t="s">
        <v>1014</v>
      </c>
      <c r="I1068" s="84" t="s">
        <v>1680</v>
      </c>
      <c r="J1068" s="84"/>
      <c r="K1068" s="84" t="s">
        <v>1346</v>
      </c>
      <c r="L1068" s="84" t="s">
        <v>2484</v>
      </c>
      <c r="M1068" s="84"/>
    </row>
    <row r="1069" spans="1:13" x14ac:dyDescent="0.3">
      <c r="A1069" s="101">
        <v>45995</v>
      </c>
      <c r="B1069" s="101">
        <v>45995</v>
      </c>
      <c r="C1069" s="102">
        <v>1000</v>
      </c>
      <c r="D1069" s="102">
        <v>0</v>
      </c>
      <c r="E1069" s="102"/>
      <c r="F1069" s="102" t="s">
        <v>976</v>
      </c>
      <c r="G1069" s="24">
        <v>0.85</v>
      </c>
      <c r="H1069" s="102" t="s">
        <v>1028</v>
      </c>
      <c r="I1069" s="102" t="s">
        <v>1680</v>
      </c>
      <c r="J1069" s="102"/>
      <c r="K1069" s="102" t="s">
        <v>1345</v>
      </c>
      <c r="L1069" s="102" t="s">
        <v>2484</v>
      </c>
      <c r="M1069" s="102"/>
    </row>
    <row r="1070" spans="1:13" x14ac:dyDescent="0.3">
      <c r="A1070" s="27">
        <v>45995</v>
      </c>
      <c r="B1070" s="27">
        <v>45995</v>
      </c>
      <c r="C1070" s="28">
        <v>58.56</v>
      </c>
      <c r="D1070" s="28">
        <v>0</v>
      </c>
      <c r="E1070" s="28"/>
      <c r="F1070" s="28" t="s">
        <v>4</v>
      </c>
      <c r="G1070" s="24">
        <v>0.97</v>
      </c>
      <c r="H1070" s="28" t="s">
        <v>49</v>
      </c>
      <c r="I1070" s="28" t="s">
        <v>1779</v>
      </c>
      <c r="J1070" s="28"/>
      <c r="K1070" s="28" t="s">
        <v>50</v>
      </c>
      <c r="L1070" s="28" t="s">
        <v>2482</v>
      </c>
      <c r="M1070" s="28"/>
    </row>
    <row r="1071" spans="1:13" x14ac:dyDescent="0.3">
      <c r="A1071" s="27">
        <v>45996</v>
      </c>
      <c r="B1071" s="27">
        <v>45996</v>
      </c>
      <c r="C1071" s="28">
        <v>371.57</v>
      </c>
      <c r="D1071" s="28">
        <v>0</v>
      </c>
      <c r="E1071" s="28"/>
      <c r="F1071" s="28" t="s">
        <v>4</v>
      </c>
      <c r="G1071" s="24">
        <v>0.97</v>
      </c>
      <c r="H1071" s="28" t="s">
        <v>49</v>
      </c>
      <c r="I1071" s="28" t="s">
        <v>1779</v>
      </c>
      <c r="J1071" s="28"/>
      <c r="K1071" s="28" t="s">
        <v>50</v>
      </c>
      <c r="L1071" s="28" t="s">
        <v>2482</v>
      </c>
      <c r="M1071" s="28"/>
    </row>
    <row r="1072" spans="1:13" x14ac:dyDescent="0.3">
      <c r="A1072" s="27">
        <v>45996</v>
      </c>
      <c r="B1072" s="27">
        <v>45996</v>
      </c>
      <c r="C1072" s="28">
        <v>58.56</v>
      </c>
      <c r="D1072" s="28">
        <v>0</v>
      </c>
      <c r="E1072" s="28"/>
      <c r="F1072" s="28" t="s">
        <v>4</v>
      </c>
      <c r="G1072" s="24">
        <v>0.97</v>
      </c>
      <c r="H1072" s="28" t="s">
        <v>49</v>
      </c>
      <c r="I1072" s="28" t="s">
        <v>1779</v>
      </c>
      <c r="J1072" s="28"/>
      <c r="K1072" s="28" t="s">
        <v>50</v>
      </c>
      <c r="L1072" s="28" t="s">
        <v>2482</v>
      </c>
      <c r="M1072" s="28"/>
    </row>
    <row r="1073" spans="1:13" x14ac:dyDescent="0.3">
      <c r="A1073" s="101">
        <v>45996</v>
      </c>
      <c r="B1073" s="101">
        <v>45996</v>
      </c>
      <c r="C1073" s="102">
        <v>1000</v>
      </c>
      <c r="D1073" s="102">
        <v>0</v>
      </c>
      <c r="E1073" s="102"/>
      <c r="F1073" s="102" t="s">
        <v>976</v>
      </c>
      <c r="G1073" s="24">
        <v>0.85</v>
      </c>
      <c r="H1073" s="102" t="s">
        <v>1028</v>
      </c>
      <c r="I1073" s="102" t="s">
        <v>1680</v>
      </c>
      <c r="J1073" s="102"/>
      <c r="K1073" s="102" t="s">
        <v>1347</v>
      </c>
      <c r="L1073" s="102" t="s">
        <v>2484</v>
      </c>
      <c r="M1073" s="102"/>
    </row>
    <row r="1074" spans="1:13" x14ac:dyDescent="0.3">
      <c r="A1074" s="25">
        <v>45996</v>
      </c>
      <c r="B1074" s="25">
        <v>45996</v>
      </c>
      <c r="C1074" s="26">
        <v>0</v>
      </c>
      <c r="D1074" s="26">
        <v>334.03</v>
      </c>
      <c r="E1074" s="26"/>
      <c r="F1074" s="26" t="s">
        <v>3</v>
      </c>
      <c r="G1074" s="24">
        <v>0.93</v>
      </c>
      <c r="H1074" s="26" t="s">
        <v>49</v>
      </c>
      <c r="I1074" s="26" t="s">
        <v>1779</v>
      </c>
      <c r="J1074" s="26"/>
      <c r="K1074" s="26" t="s">
        <v>722</v>
      </c>
      <c r="L1074" s="26" t="s">
        <v>2482</v>
      </c>
      <c r="M1074" s="26"/>
    </row>
    <row r="1075" spans="1:13" x14ac:dyDescent="0.3">
      <c r="A1075" s="101">
        <v>45997</v>
      </c>
      <c r="B1075" s="101">
        <v>45997</v>
      </c>
      <c r="C1075" s="102">
        <v>1367.93</v>
      </c>
      <c r="D1075" s="102">
        <v>0</v>
      </c>
      <c r="E1075" s="102"/>
      <c r="F1075" s="102" t="s">
        <v>976</v>
      </c>
      <c r="G1075" s="24">
        <v>0.85</v>
      </c>
      <c r="H1075" s="102" t="s">
        <v>1028</v>
      </c>
      <c r="I1075" s="102" t="s">
        <v>1680</v>
      </c>
      <c r="J1075" s="102"/>
      <c r="K1075" s="102" t="s">
        <v>1348</v>
      </c>
      <c r="L1075" s="102" t="s">
        <v>2484</v>
      </c>
      <c r="M1075" s="102"/>
    </row>
    <row r="1076" spans="1:13" x14ac:dyDescent="0.3">
      <c r="A1076" s="27">
        <v>45997</v>
      </c>
      <c r="B1076" s="27">
        <v>45997</v>
      </c>
      <c r="C1076" s="28">
        <v>2001</v>
      </c>
      <c r="D1076" s="28">
        <v>0</v>
      </c>
      <c r="E1076" s="28"/>
      <c r="F1076" s="28" t="s">
        <v>11</v>
      </c>
      <c r="G1076" s="40">
        <v>0.68</v>
      </c>
      <c r="H1076" s="28" t="s">
        <v>112</v>
      </c>
      <c r="I1076" s="28" t="s">
        <v>1680</v>
      </c>
      <c r="J1076" s="28"/>
      <c r="K1076" s="28" t="s">
        <v>1349</v>
      </c>
      <c r="L1076" s="28" t="s">
        <v>2484</v>
      </c>
      <c r="M1076" s="28"/>
    </row>
    <row r="1077" spans="1:13" x14ac:dyDescent="0.3">
      <c r="A1077" s="89">
        <v>45998</v>
      </c>
      <c r="B1077" s="89">
        <v>45998</v>
      </c>
      <c r="C1077" s="90">
        <v>254</v>
      </c>
      <c r="D1077" s="90">
        <v>0</v>
      </c>
      <c r="E1077" s="90" t="s">
        <v>1351</v>
      </c>
      <c r="F1077" s="90" t="s">
        <v>975</v>
      </c>
      <c r="G1077" s="39">
        <v>0.55000000000000004</v>
      </c>
      <c r="H1077" s="90" t="s">
        <v>91</v>
      </c>
      <c r="I1077" s="90" t="s">
        <v>1680</v>
      </c>
      <c r="J1077" s="90"/>
      <c r="K1077" s="90" t="s">
        <v>1350</v>
      </c>
      <c r="L1077" s="90" t="s">
        <v>2484</v>
      </c>
      <c r="M1077" s="90"/>
    </row>
    <row r="1078" spans="1:13" x14ac:dyDescent="0.3">
      <c r="A1078" s="31">
        <v>45998</v>
      </c>
      <c r="B1078" s="31">
        <v>45998</v>
      </c>
      <c r="C1078" s="32">
        <v>0</v>
      </c>
      <c r="D1078" s="32">
        <v>1880</v>
      </c>
      <c r="E1078" s="32"/>
      <c r="F1078" s="32" t="s">
        <v>6</v>
      </c>
      <c r="G1078" s="24">
        <v>0.95</v>
      </c>
      <c r="H1078" s="32" t="s">
        <v>63</v>
      </c>
      <c r="I1078" s="32" t="s">
        <v>1779</v>
      </c>
      <c r="J1078" s="32"/>
      <c r="K1078" s="32" t="s">
        <v>726</v>
      </c>
      <c r="L1078" s="32" t="s">
        <v>2482</v>
      </c>
      <c r="M1078" s="32"/>
    </row>
    <row r="1079" spans="1:13" x14ac:dyDescent="0.3">
      <c r="A1079" s="103">
        <v>45998</v>
      </c>
      <c r="B1079" s="103">
        <v>45998</v>
      </c>
      <c r="C1079" s="104">
        <v>52</v>
      </c>
      <c r="D1079" s="104">
        <v>0</v>
      </c>
      <c r="E1079" s="104"/>
      <c r="F1079" s="104" t="s">
        <v>983</v>
      </c>
      <c r="G1079" s="40">
        <v>0.82</v>
      </c>
      <c r="H1079" s="104" t="s">
        <v>131</v>
      </c>
      <c r="I1079" s="104" t="s">
        <v>1680</v>
      </c>
      <c r="J1079" s="104"/>
      <c r="K1079" s="104" t="s">
        <v>1352</v>
      </c>
      <c r="L1079" s="104" t="s">
        <v>2484</v>
      </c>
      <c r="M1079" s="104"/>
    </row>
    <row r="1080" spans="1:13" x14ac:dyDescent="0.3">
      <c r="A1080" s="89">
        <v>45998</v>
      </c>
      <c r="B1080" s="89">
        <v>45998</v>
      </c>
      <c r="C1080" s="90">
        <v>220</v>
      </c>
      <c r="D1080" s="90">
        <v>0</v>
      </c>
      <c r="E1080" s="90" t="s">
        <v>1354</v>
      </c>
      <c r="F1080" s="90" t="s">
        <v>975</v>
      </c>
      <c r="G1080" s="39">
        <v>0.55000000000000004</v>
      </c>
      <c r="H1080" s="90" t="s">
        <v>91</v>
      </c>
      <c r="I1080" s="90" t="s">
        <v>1680</v>
      </c>
      <c r="J1080" s="90"/>
      <c r="K1080" s="90" t="s">
        <v>1353</v>
      </c>
      <c r="L1080" s="90" t="s">
        <v>2484</v>
      </c>
      <c r="M1080" s="90"/>
    </row>
    <row r="1081" spans="1:13" x14ac:dyDescent="0.3">
      <c r="A1081" s="27">
        <v>45999</v>
      </c>
      <c r="B1081" s="27">
        <v>45999</v>
      </c>
      <c r="C1081" s="28">
        <v>175.65</v>
      </c>
      <c r="D1081" s="28">
        <v>0</v>
      </c>
      <c r="E1081" s="28"/>
      <c r="F1081" s="28" t="s">
        <v>4</v>
      </c>
      <c r="G1081" s="24">
        <v>0.97</v>
      </c>
      <c r="H1081" s="28" t="s">
        <v>49</v>
      </c>
      <c r="I1081" s="28" t="s">
        <v>1779</v>
      </c>
      <c r="J1081" s="28"/>
      <c r="K1081" s="28" t="s">
        <v>50</v>
      </c>
      <c r="L1081" s="28" t="s">
        <v>2482</v>
      </c>
      <c r="M1081" s="28"/>
    </row>
    <row r="1082" spans="1:13" x14ac:dyDescent="0.3">
      <c r="A1082" s="27">
        <v>45999</v>
      </c>
      <c r="B1082" s="27">
        <v>45999</v>
      </c>
      <c r="C1082" s="28">
        <v>1117.9100000000001</v>
      </c>
      <c r="D1082" s="28">
        <v>0</v>
      </c>
      <c r="E1082" s="28"/>
      <c r="F1082" s="28" t="s">
        <v>4</v>
      </c>
      <c r="G1082" s="24">
        <v>0.97</v>
      </c>
      <c r="H1082" s="28" t="s">
        <v>49</v>
      </c>
      <c r="I1082" s="28" t="s">
        <v>1779</v>
      </c>
      <c r="J1082" s="28"/>
      <c r="K1082" s="28" t="s">
        <v>50</v>
      </c>
      <c r="L1082" s="28" t="s">
        <v>2482</v>
      </c>
      <c r="M1082" s="28"/>
    </row>
    <row r="1083" spans="1:13" x14ac:dyDescent="0.3">
      <c r="A1083" s="31">
        <v>45999.609305555547</v>
      </c>
      <c r="B1083" s="31">
        <v>45999</v>
      </c>
      <c r="C1083" s="32">
        <v>0</v>
      </c>
      <c r="D1083" s="32">
        <v>122.22</v>
      </c>
      <c r="E1083" s="32"/>
      <c r="F1083" s="32" t="s">
        <v>1813</v>
      </c>
      <c r="G1083" s="24">
        <v>0.9</v>
      </c>
      <c r="H1083" s="32" t="s">
        <v>2048</v>
      </c>
      <c r="I1083" s="32" t="s">
        <v>1019</v>
      </c>
      <c r="J1083" s="32"/>
      <c r="K1083" s="32" t="s">
        <v>2364</v>
      </c>
      <c r="L1083" s="32" t="s">
        <v>2483</v>
      </c>
      <c r="M1083" s="32"/>
    </row>
    <row r="1084" spans="1:13" x14ac:dyDescent="0.3">
      <c r="A1084" s="27">
        <v>46000</v>
      </c>
      <c r="B1084" s="27">
        <v>46000</v>
      </c>
      <c r="C1084" s="28">
        <v>170.87</v>
      </c>
      <c r="D1084" s="28">
        <v>0</v>
      </c>
      <c r="E1084" s="28"/>
      <c r="F1084" s="28" t="s">
        <v>4</v>
      </c>
      <c r="G1084" s="24">
        <v>0.97</v>
      </c>
      <c r="H1084" s="28" t="s">
        <v>49</v>
      </c>
      <c r="I1084" s="28" t="s">
        <v>1779</v>
      </c>
      <c r="J1084" s="28"/>
      <c r="K1084" s="28" t="s">
        <v>50</v>
      </c>
      <c r="L1084" s="28" t="s">
        <v>2482</v>
      </c>
      <c r="M1084" s="28"/>
    </row>
    <row r="1085" spans="1:13" x14ac:dyDescent="0.3">
      <c r="A1085" s="27">
        <v>46000</v>
      </c>
      <c r="B1085" s="27">
        <v>46000</v>
      </c>
      <c r="C1085" s="28">
        <v>58.15</v>
      </c>
      <c r="D1085" s="28">
        <v>0</v>
      </c>
      <c r="E1085" s="28"/>
      <c r="F1085" s="28" t="s">
        <v>4</v>
      </c>
      <c r="G1085" s="24">
        <v>0.97</v>
      </c>
      <c r="H1085" s="28" t="s">
        <v>49</v>
      </c>
      <c r="I1085" s="28" t="s">
        <v>1779</v>
      </c>
      <c r="J1085" s="28"/>
      <c r="K1085" s="28" t="s">
        <v>50</v>
      </c>
      <c r="L1085" s="28" t="s">
        <v>2482</v>
      </c>
      <c r="M1085" s="28"/>
    </row>
    <row r="1086" spans="1:13" x14ac:dyDescent="0.3">
      <c r="A1086" s="97">
        <v>46001</v>
      </c>
      <c r="B1086" s="97">
        <v>46001</v>
      </c>
      <c r="C1086" s="98">
        <v>5000</v>
      </c>
      <c r="D1086" s="98">
        <v>0</v>
      </c>
      <c r="E1086" s="98"/>
      <c r="F1086" s="98" t="s">
        <v>978</v>
      </c>
      <c r="G1086" s="24">
        <v>0.85</v>
      </c>
      <c r="H1086" s="98" t="s">
        <v>1031</v>
      </c>
      <c r="I1086" s="98" t="s">
        <v>1680</v>
      </c>
      <c r="J1086" s="98"/>
      <c r="K1086" s="98" t="s">
        <v>1355</v>
      </c>
      <c r="L1086" s="98" t="s">
        <v>2484</v>
      </c>
      <c r="M1086" s="98"/>
    </row>
    <row r="1087" spans="1:13" x14ac:dyDescent="0.3">
      <c r="A1087" s="27">
        <v>46001</v>
      </c>
      <c r="B1087" s="27">
        <v>46001</v>
      </c>
      <c r="C1087" s="28">
        <v>1005.4</v>
      </c>
      <c r="D1087" s="28">
        <v>0</v>
      </c>
      <c r="E1087" s="28"/>
      <c r="F1087" s="28" t="s">
        <v>4</v>
      </c>
      <c r="G1087" s="24">
        <v>0.97</v>
      </c>
      <c r="H1087" s="28" t="s">
        <v>49</v>
      </c>
      <c r="I1087" s="28" t="s">
        <v>1779</v>
      </c>
      <c r="J1087" s="28"/>
      <c r="K1087" s="28" t="s">
        <v>50</v>
      </c>
      <c r="L1087" s="28" t="s">
        <v>2482</v>
      </c>
      <c r="M1087" s="28"/>
    </row>
    <row r="1088" spans="1:13" x14ac:dyDescent="0.3">
      <c r="A1088" s="103">
        <v>46001</v>
      </c>
      <c r="B1088" s="103">
        <v>46001</v>
      </c>
      <c r="C1088" s="104">
        <v>52</v>
      </c>
      <c r="D1088" s="104">
        <v>0</v>
      </c>
      <c r="E1088" s="104"/>
      <c r="F1088" s="104" t="s">
        <v>983</v>
      </c>
      <c r="G1088" s="40">
        <v>0.82</v>
      </c>
      <c r="H1088" s="104" t="s">
        <v>131</v>
      </c>
      <c r="I1088" s="104" t="s">
        <v>1680</v>
      </c>
      <c r="J1088" s="104"/>
      <c r="K1088" s="104" t="s">
        <v>1356</v>
      </c>
      <c r="L1088" s="104" t="s">
        <v>2484</v>
      </c>
      <c r="M1088" s="104"/>
    </row>
    <row r="1089" spans="1:13" x14ac:dyDescent="0.3">
      <c r="A1089" s="27">
        <v>46001</v>
      </c>
      <c r="B1089" s="27">
        <v>46001</v>
      </c>
      <c r="C1089" s="28">
        <v>58.09</v>
      </c>
      <c r="D1089" s="28">
        <v>0</v>
      </c>
      <c r="E1089" s="28"/>
      <c r="F1089" s="28" t="s">
        <v>4</v>
      </c>
      <c r="G1089" s="24">
        <v>0.97</v>
      </c>
      <c r="H1089" s="28" t="s">
        <v>49</v>
      </c>
      <c r="I1089" s="28" t="s">
        <v>1779</v>
      </c>
      <c r="J1089" s="28"/>
      <c r="K1089" s="28" t="s">
        <v>50</v>
      </c>
      <c r="L1089" s="28" t="s">
        <v>2482</v>
      </c>
      <c r="M1089" s="28"/>
    </row>
    <row r="1090" spans="1:13" x14ac:dyDescent="0.3">
      <c r="A1090" s="97">
        <v>46001</v>
      </c>
      <c r="B1090" s="97">
        <v>46001</v>
      </c>
      <c r="C1090" s="98">
        <v>0</v>
      </c>
      <c r="D1090" s="98">
        <v>5000</v>
      </c>
      <c r="E1090" s="98"/>
      <c r="F1090" s="98" t="s">
        <v>977</v>
      </c>
      <c r="G1090" s="24">
        <v>0.85</v>
      </c>
      <c r="H1090" s="98" t="s">
        <v>1031</v>
      </c>
      <c r="I1090" s="98" t="s">
        <v>837</v>
      </c>
      <c r="J1090" s="98"/>
      <c r="K1090" s="98" t="s">
        <v>1743</v>
      </c>
      <c r="L1090" s="98" t="s">
        <v>2486</v>
      </c>
      <c r="M1090" s="98"/>
    </row>
    <row r="1091" spans="1:13" x14ac:dyDescent="0.3">
      <c r="A1091" s="85">
        <v>46001</v>
      </c>
      <c r="B1091" s="85">
        <v>46001</v>
      </c>
      <c r="C1091" s="86">
        <v>5000</v>
      </c>
      <c r="D1091" s="86">
        <v>0</v>
      </c>
      <c r="E1091" s="86"/>
      <c r="F1091" s="86" t="s">
        <v>974</v>
      </c>
      <c r="G1091" s="24">
        <v>0.9</v>
      </c>
      <c r="H1091" s="86" t="s">
        <v>1019</v>
      </c>
      <c r="I1091" s="86" t="s">
        <v>837</v>
      </c>
      <c r="J1091" s="86"/>
      <c r="K1091" s="86" t="s">
        <v>1744</v>
      </c>
      <c r="L1091" s="86" t="s">
        <v>2486</v>
      </c>
      <c r="M1091" s="86"/>
    </row>
    <row r="1092" spans="1:13" x14ac:dyDescent="0.3">
      <c r="A1092" s="41">
        <v>46001</v>
      </c>
      <c r="B1092" s="41">
        <v>46001</v>
      </c>
      <c r="C1092" s="42">
        <v>35</v>
      </c>
      <c r="D1092" s="42">
        <v>0</v>
      </c>
      <c r="E1092" s="42"/>
      <c r="F1092" s="42" t="s">
        <v>13</v>
      </c>
      <c r="G1092" s="40">
        <v>0.82</v>
      </c>
      <c r="H1092" s="42" t="s">
        <v>131</v>
      </c>
      <c r="I1092" s="42" t="s">
        <v>1680</v>
      </c>
      <c r="J1092" s="42"/>
      <c r="K1092" s="42" t="s">
        <v>1357</v>
      </c>
      <c r="L1092" s="42" t="s">
        <v>2484</v>
      </c>
      <c r="M1092" s="42"/>
    </row>
    <row r="1093" spans="1:13" x14ac:dyDescent="0.3">
      <c r="A1093" s="97">
        <v>46001</v>
      </c>
      <c r="B1093" s="97">
        <v>46001</v>
      </c>
      <c r="C1093" s="98">
        <v>0</v>
      </c>
      <c r="D1093" s="98">
        <v>50</v>
      </c>
      <c r="E1093" s="98"/>
      <c r="F1093" s="98" t="s">
        <v>977</v>
      </c>
      <c r="G1093" s="24">
        <v>0.85</v>
      </c>
      <c r="H1093" s="98" t="s">
        <v>1031</v>
      </c>
      <c r="I1093" s="98" t="s">
        <v>837</v>
      </c>
      <c r="J1093" s="98"/>
      <c r="K1093" s="98" t="s">
        <v>1742</v>
      </c>
      <c r="L1093" s="98" t="s">
        <v>2486</v>
      </c>
      <c r="M1093" s="98"/>
    </row>
    <row r="1094" spans="1:13" x14ac:dyDescent="0.3">
      <c r="A1094" s="59">
        <v>46001.357222222221</v>
      </c>
      <c r="B1094" s="59">
        <v>46001</v>
      </c>
      <c r="C1094" s="60">
        <v>0</v>
      </c>
      <c r="D1094" s="60">
        <v>501</v>
      </c>
      <c r="E1094" s="60"/>
      <c r="F1094" s="60" t="s">
        <v>29</v>
      </c>
      <c r="G1094" s="24">
        <v>0.85</v>
      </c>
      <c r="H1094" s="60" t="s">
        <v>606</v>
      </c>
      <c r="I1094" s="60" t="s">
        <v>1019</v>
      </c>
      <c r="J1094" s="60"/>
      <c r="K1094" s="60" t="s">
        <v>2366</v>
      </c>
      <c r="L1094" s="60" t="s">
        <v>2483</v>
      </c>
      <c r="M1094" s="60"/>
    </row>
    <row r="1095" spans="1:13" x14ac:dyDescent="0.3">
      <c r="A1095" s="97">
        <v>46001.648622685178</v>
      </c>
      <c r="B1095" s="97">
        <v>46001</v>
      </c>
      <c r="C1095" s="98">
        <v>0</v>
      </c>
      <c r="D1095" s="98">
        <v>50</v>
      </c>
      <c r="E1095" s="98"/>
      <c r="F1095" s="98" t="s">
        <v>977</v>
      </c>
      <c r="G1095" s="24">
        <v>0.85</v>
      </c>
      <c r="H1095" s="98" t="s">
        <v>1031</v>
      </c>
      <c r="I1095" s="98" t="s">
        <v>1019</v>
      </c>
      <c r="J1095" s="98"/>
      <c r="K1095" s="98" t="s">
        <v>2368</v>
      </c>
      <c r="L1095" s="98" t="s">
        <v>2483</v>
      </c>
      <c r="M1095" s="98"/>
    </row>
    <row r="1096" spans="1:13" x14ac:dyDescent="0.3">
      <c r="A1096" s="97">
        <v>46001.649328703701</v>
      </c>
      <c r="B1096" s="97">
        <v>46001</v>
      </c>
      <c r="C1096" s="98">
        <v>100</v>
      </c>
      <c r="D1096" s="98">
        <v>0</v>
      </c>
      <c r="E1096" s="98"/>
      <c r="F1096" s="98" t="s">
        <v>978</v>
      </c>
      <c r="G1096" s="24">
        <v>0.85</v>
      </c>
      <c r="H1096" s="98" t="s">
        <v>1031</v>
      </c>
      <c r="I1096" s="98" t="s">
        <v>1019</v>
      </c>
      <c r="J1096" s="98"/>
      <c r="K1096" s="98" t="s">
        <v>2370</v>
      </c>
      <c r="L1096" s="98" t="s">
        <v>2483</v>
      </c>
      <c r="M1096" s="98"/>
    </row>
    <row r="1097" spans="1:13" x14ac:dyDescent="0.3">
      <c r="A1097" s="37">
        <v>46001.649780092594</v>
      </c>
      <c r="B1097" s="37">
        <v>46001</v>
      </c>
      <c r="C1097" s="38">
        <v>0</v>
      </c>
      <c r="D1097" s="38">
        <v>1</v>
      </c>
      <c r="E1097" s="38"/>
      <c r="F1097" s="38" t="s">
        <v>1824</v>
      </c>
      <c r="G1097" s="39">
        <v>0.55000000000000004</v>
      </c>
      <c r="H1097" s="38" t="s">
        <v>91</v>
      </c>
      <c r="I1097" s="38" t="s">
        <v>1019</v>
      </c>
      <c r="J1097" s="38"/>
      <c r="K1097" s="38" t="s">
        <v>2372</v>
      </c>
      <c r="L1097" s="38" t="s">
        <v>2483</v>
      </c>
      <c r="M1097" s="38"/>
    </row>
    <row r="1098" spans="1:13" x14ac:dyDescent="0.3">
      <c r="A1098" s="27">
        <v>46001.658576388887</v>
      </c>
      <c r="B1098" s="27">
        <v>46001</v>
      </c>
      <c r="C1098" s="28">
        <v>0</v>
      </c>
      <c r="D1098" s="28">
        <v>5000</v>
      </c>
      <c r="E1098" s="28"/>
      <c r="F1098" s="28" t="s">
        <v>30</v>
      </c>
      <c r="G1098" s="24">
        <v>0.95</v>
      </c>
      <c r="H1098" s="28" t="s">
        <v>837</v>
      </c>
      <c r="I1098" s="28" t="s">
        <v>1019</v>
      </c>
      <c r="J1098" s="28"/>
      <c r="K1098" s="28" t="s">
        <v>2374</v>
      </c>
      <c r="L1098" s="28" t="s">
        <v>2483</v>
      </c>
      <c r="M1098" s="28"/>
    </row>
    <row r="1099" spans="1:13" x14ac:dyDescent="0.3">
      <c r="A1099" s="27">
        <v>46002</v>
      </c>
      <c r="B1099" s="27">
        <v>46002</v>
      </c>
      <c r="C1099" s="28">
        <v>57.73</v>
      </c>
      <c r="D1099" s="28">
        <v>0</v>
      </c>
      <c r="E1099" s="28"/>
      <c r="F1099" s="28" t="s">
        <v>4</v>
      </c>
      <c r="G1099" s="24">
        <v>0.97</v>
      </c>
      <c r="H1099" s="28" t="s">
        <v>49</v>
      </c>
      <c r="I1099" s="28" t="s">
        <v>1779</v>
      </c>
      <c r="J1099" s="28"/>
      <c r="K1099" s="28" t="s">
        <v>50</v>
      </c>
      <c r="L1099" s="28" t="s">
        <v>2482</v>
      </c>
      <c r="M1099" s="28"/>
    </row>
    <row r="1100" spans="1:13" x14ac:dyDescent="0.3">
      <c r="A1100" s="25">
        <v>46003</v>
      </c>
      <c r="B1100" s="25">
        <v>46003</v>
      </c>
      <c r="C1100" s="26">
        <v>0</v>
      </c>
      <c r="D1100" s="26">
        <v>265.73</v>
      </c>
      <c r="E1100" s="26"/>
      <c r="F1100" s="26" t="s">
        <v>3</v>
      </c>
      <c r="G1100" s="24">
        <v>0.93</v>
      </c>
      <c r="H1100" s="26" t="s">
        <v>49</v>
      </c>
      <c r="I1100" s="26" t="s">
        <v>1779</v>
      </c>
      <c r="J1100" s="26"/>
      <c r="K1100" s="26" t="s">
        <v>735</v>
      </c>
      <c r="L1100" s="26" t="s">
        <v>2482</v>
      </c>
      <c r="M1100" s="26"/>
    </row>
    <row r="1101" spans="1:13" x14ac:dyDescent="0.3">
      <c r="A1101" s="27">
        <v>46003</v>
      </c>
      <c r="B1101" s="27">
        <v>46003</v>
      </c>
      <c r="C1101" s="28">
        <v>57.73</v>
      </c>
      <c r="D1101" s="28">
        <v>0</v>
      </c>
      <c r="E1101" s="28"/>
      <c r="F1101" s="28" t="s">
        <v>4</v>
      </c>
      <c r="G1101" s="24">
        <v>0.97</v>
      </c>
      <c r="H1101" s="28" t="s">
        <v>49</v>
      </c>
      <c r="I1101" s="28" t="s">
        <v>1779</v>
      </c>
      <c r="J1101" s="28"/>
      <c r="K1101" s="28" t="s">
        <v>50</v>
      </c>
      <c r="L1101" s="28" t="s">
        <v>2482</v>
      </c>
      <c r="M1101" s="28"/>
    </row>
    <row r="1102" spans="1:13" x14ac:dyDescent="0.3">
      <c r="A1102" s="103">
        <v>46003</v>
      </c>
      <c r="B1102" s="103">
        <v>46003</v>
      </c>
      <c r="C1102" s="104">
        <v>24</v>
      </c>
      <c r="D1102" s="104">
        <v>0</v>
      </c>
      <c r="E1102" s="104"/>
      <c r="F1102" s="104" t="s">
        <v>983</v>
      </c>
      <c r="G1102" s="40">
        <v>0.82</v>
      </c>
      <c r="H1102" s="104" t="s">
        <v>131</v>
      </c>
      <c r="I1102" s="104" t="s">
        <v>1680</v>
      </c>
      <c r="J1102" s="104"/>
      <c r="K1102" s="104" t="s">
        <v>1358</v>
      </c>
      <c r="L1102" s="104" t="s">
        <v>2484</v>
      </c>
      <c r="M1102" s="104"/>
    </row>
    <row r="1103" spans="1:13" x14ac:dyDescent="0.3">
      <c r="A1103" s="89">
        <v>46004</v>
      </c>
      <c r="B1103" s="89">
        <v>46004</v>
      </c>
      <c r="C1103" s="90">
        <v>30</v>
      </c>
      <c r="D1103" s="90">
        <v>0</v>
      </c>
      <c r="E1103" s="90" t="s">
        <v>1109</v>
      </c>
      <c r="F1103" s="90" t="s">
        <v>975</v>
      </c>
      <c r="G1103" s="39">
        <v>0.55000000000000004</v>
      </c>
      <c r="H1103" s="90" t="s">
        <v>91</v>
      </c>
      <c r="I1103" s="90" t="s">
        <v>1680</v>
      </c>
      <c r="J1103" s="90"/>
      <c r="K1103" s="90" t="s">
        <v>1359</v>
      </c>
      <c r="L1103" s="90" t="s">
        <v>2484</v>
      </c>
      <c r="M1103" s="90"/>
    </row>
    <row r="1104" spans="1:13" x14ac:dyDescent="0.3">
      <c r="A1104" s="83">
        <v>46005</v>
      </c>
      <c r="B1104" s="83">
        <v>46005</v>
      </c>
      <c r="C1104" s="84">
        <v>0</v>
      </c>
      <c r="D1104" s="84">
        <v>20.72</v>
      </c>
      <c r="E1104" s="84"/>
      <c r="F1104" s="84" t="s">
        <v>973</v>
      </c>
      <c r="G1104" s="24">
        <v>0.92</v>
      </c>
      <c r="H1104" s="84" t="s">
        <v>1014</v>
      </c>
      <c r="I1104" s="84" t="s">
        <v>1680</v>
      </c>
      <c r="J1104" s="84"/>
      <c r="K1104" s="84" t="s">
        <v>1360</v>
      </c>
      <c r="L1104" s="84" t="s">
        <v>2484</v>
      </c>
      <c r="M1104" s="84"/>
    </row>
    <row r="1105" spans="1:13" x14ac:dyDescent="0.3">
      <c r="A1105" s="89">
        <v>46005</v>
      </c>
      <c r="B1105" s="89">
        <v>46005</v>
      </c>
      <c r="C1105" s="90">
        <v>265.06</v>
      </c>
      <c r="D1105" s="90">
        <v>0</v>
      </c>
      <c r="E1105" s="90"/>
      <c r="F1105" s="90" t="s">
        <v>992</v>
      </c>
      <c r="G1105" s="40">
        <v>0.75</v>
      </c>
      <c r="H1105" s="90" t="s">
        <v>91</v>
      </c>
      <c r="I1105" s="90" t="s">
        <v>1680</v>
      </c>
      <c r="J1105" s="90"/>
      <c r="K1105" s="90" t="s">
        <v>1361</v>
      </c>
      <c r="L1105" s="90" t="s">
        <v>2484</v>
      </c>
      <c r="M1105" s="90"/>
    </row>
    <row r="1106" spans="1:13" x14ac:dyDescent="0.3">
      <c r="A1106" s="57">
        <v>46006</v>
      </c>
      <c r="B1106" s="57">
        <v>46006</v>
      </c>
      <c r="C1106" s="58">
        <v>35000</v>
      </c>
      <c r="D1106" s="58">
        <v>0</v>
      </c>
      <c r="E1106" s="58"/>
      <c r="F1106" s="58" t="s">
        <v>995</v>
      </c>
      <c r="G1106" s="24">
        <v>0.85</v>
      </c>
      <c r="H1106" s="58" t="s">
        <v>1363</v>
      </c>
      <c r="I1106" s="58" t="s">
        <v>1680</v>
      </c>
      <c r="J1106" s="58"/>
      <c r="K1106" s="58" t="s">
        <v>1362</v>
      </c>
      <c r="L1106" s="58" t="s">
        <v>2484</v>
      </c>
      <c r="M1106" s="58"/>
    </row>
    <row r="1107" spans="1:13" x14ac:dyDescent="0.3">
      <c r="A1107" s="27">
        <v>46006</v>
      </c>
      <c r="B1107" s="27">
        <v>46006</v>
      </c>
      <c r="C1107" s="28">
        <v>173.49</v>
      </c>
      <c r="D1107" s="28">
        <v>0</v>
      </c>
      <c r="E1107" s="28"/>
      <c r="F1107" s="28" t="s">
        <v>4</v>
      </c>
      <c r="G1107" s="24">
        <v>0.97</v>
      </c>
      <c r="H1107" s="28" t="s">
        <v>49</v>
      </c>
      <c r="I1107" s="28" t="s">
        <v>1779</v>
      </c>
      <c r="J1107" s="28"/>
      <c r="K1107" s="28" t="s">
        <v>50</v>
      </c>
      <c r="L1107" s="28" t="s">
        <v>2482</v>
      </c>
      <c r="M1107" s="28"/>
    </row>
    <row r="1108" spans="1:13" x14ac:dyDescent="0.3">
      <c r="A1108" s="35">
        <v>46006</v>
      </c>
      <c r="B1108" s="35">
        <v>46006</v>
      </c>
      <c r="C1108" s="36">
        <v>365.8</v>
      </c>
      <c r="D1108" s="36">
        <v>0</v>
      </c>
      <c r="E1108" s="36"/>
      <c r="F1108" s="36" t="s">
        <v>9</v>
      </c>
      <c r="G1108" s="24">
        <v>0.93</v>
      </c>
      <c r="H1108" s="36" t="s">
        <v>9</v>
      </c>
      <c r="I1108" s="36" t="s">
        <v>1779</v>
      </c>
      <c r="J1108" s="36"/>
      <c r="K1108" s="36" t="s">
        <v>740</v>
      </c>
      <c r="L1108" s="36" t="s">
        <v>2482</v>
      </c>
      <c r="M1108" s="36"/>
    </row>
    <row r="1109" spans="1:13" x14ac:dyDescent="0.3">
      <c r="A1109" s="25">
        <v>46006</v>
      </c>
      <c r="B1109" s="25">
        <v>46006</v>
      </c>
      <c r="C1109" s="26">
        <v>0</v>
      </c>
      <c r="D1109" s="26">
        <v>473.61</v>
      </c>
      <c r="E1109" s="26"/>
      <c r="F1109" s="26" t="s">
        <v>3</v>
      </c>
      <c r="G1109" s="24">
        <v>0.93</v>
      </c>
      <c r="H1109" s="26" t="s">
        <v>49</v>
      </c>
      <c r="I1109" s="26" t="s">
        <v>1779</v>
      </c>
      <c r="J1109" s="26"/>
      <c r="K1109" s="26" t="s">
        <v>738</v>
      </c>
      <c r="L1109" s="26" t="s">
        <v>2482</v>
      </c>
      <c r="M1109" s="26"/>
    </row>
    <row r="1110" spans="1:13" x14ac:dyDescent="0.3">
      <c r="A1110" s="25">
        <v>46007</v>
      </c>
      <c r="B1110" s="25">
        <v>46007</v>
      </c>
      <c r="C1110" s="26">
        <v>0</v>
      </c>
      <c r="D1110" s="26">
        <v>350.92</v>
      </c>
      <c r="E1110" s="26"/>
      <c r="F1110" s="26" t="s">
        <v>3</v>
      </c>
      <c r="G1110" s="24">
        <v>0.93</v>
      </c>
      <c r="H1110" s="26" t="s">
        <v>49</v>
      </c>
      <c r="I1110" s="26" t="s">
        <v>1779</v>
      </c>
      <c r="J1110" s="26"/>
      <c r="K1110" s="26" t="s">
        <v>742</v>
      </c>
      <c r="L1110" s="26" t="s">
        <v>2482</v>
      </c>
      <c r="M1110" s="26"/>
    </row>
    <row r="1111" spans="1:13" x14ac:dyDescent="0.3">
      <c r="A1111" s="27">
        <v>46007</v>
      </c>
      <c r="B1111" s="27">
        <v>46007</v>
      </c>
      <c r="C1111" s="28">
        <v>58</v>
      </c>
      <c r="D1111" s="28">
        <v>0</v>
      </c>
      <c r="E1111" s="28"/>
      <c r="F1111" s="28" t="s">
        <v>4</v>
      </c>
      <c r="G1111" s="24">
        <v>0.97</v>
      </c>
      <c r="H1111" s="28" t="s">
        <v>49</v>
      </c>
      <c r="I1111" s="28" t="s">
        <v>1779</v>
      </c>
      <c r="J1111" s="28"/>
      <c r="K1111" s="28" t="s">
        <v>50</v>
      </c>
      <c r="L1111" s="28" t="s">
        <v>2482</v>
      </c>
      <c r="M1111" s="28"/>
    </row>
    <row r="1112" spans="1:13" x14ac:dyDescent="0.3">
      <c r="A1112" s="27">
        <v>46007</v>
      </c>
      <c r="B1112" s="27">
        <v>46007</v>
      </c>
      <c r="C1112" s="28">
        <v>14.53</v>
      </c>
      <c r="D1112" s="28">
        <v>0</v>
      </c>
      <c r="E1112" s="28"/>
      <c r="F1112" s="28" t="s">
        <v>4</v>
      </c>
      <c r="G1112" s="24">
        <v>0.97</v>
      </c>
      <c r="H1112" s="28" t="s">
        <v>49</v>
      </c>
      <c r="I1112" s="28" t="s">
        <v>1779</v>
      </c>
      <c r="J1112" s="28"/>
      <c r="K1112" s="28" t="s">
        <v>50</v>
      </c>
      <c r="L1112" s="28" t="s">
        <v>2482</v>
      </c>
      <c r="M1112" s="28"/>
    </row>
    <row r="1113" spans="1:13" x14ac:dyDescent="0.3">
      <c r="A1113" s="27">
        <v>46008</v>
      </c>
      <c r="B1113" s="27">
        <v>46008</v>
      </c>
      <c r="C1113" s="28">
        <v>1267.79</v>
      </c>
      <c r="D1113" s="28">
        <v>0</v>
      </c>
      <c r="E1113" s="28"/>
      <c r="F1113" s="28" t="s">
        <v>4</v>
      </c>
      <c r="G1113" s="24">
        <v>0.97</v>
      </c>
      <c r="H1113" s="28" t="s">
        <v>49</v>
      </c>
      <c r="I1113" s="28" t="s">
        <v>1779</v>
      </c>
      <c r="J1113" s="28"/>
      <c r="K1113" s="28" t="s">
        <v>50</v>
      </c>
      <c r="L1113" s="28" t="s">
        <v>2482</v>
      </c>
      <c r="M1113" s="28"/>
    </row>
    <row r="1114" spans="1:13" x14ac:dyDescent="0.3">
      <c r="A1114" s="111">
        <v>46008</v>
      </c>
      <c r="B1114" s="111">
        <v>46008</v>
      </c>
      <c r="C1114" s="112">
        <v>100</v>
      </c>
      <c r="D1114" s="112">
        <v>0</v>
      </c>
      <c r="E1114" s="112"/>
      <c r="F1114" s="112" t="s">
        <v>996</v>
      </c>
      <c r="G1114" s="24">
        <v>0.9</v>
      </c>
      <c r="H1114" s="112" t="s">
        <v>996</v>
      </c>
      <c r="I1114" s="112" t="s">
        <v>1680</v>
      </c>
      <c r="J1114" s="112"/>
      <c r="K1114" s="112" t="s">
        <v>1364</v>
      </c>
      <c r="L1114" s="112" t="s">
        <v>2484</v>
      </c>
      <c r="M1114" s="112"/>
    </row>
    <row r="1115" spans="1:13" x14ac:dyDescent="0.3">
      <c r="A1115" s="111">
        <v>46008</v>
      </c>
      <c r="B1115" s="111">
        <v>46008</v>
      </c>
      <c r="C1115" s="112">
        <v>23900</v>
      </c>
      <c r="D1115" s="112">
        <v>0</v>
      </c>
      <c r="E1115" s="112"/>
      <c r="F1115" s="112" t="s">
        <v>996</v>
      </c>
      <c r="G1115" s="24">
        <v>0.9</v>
      </c>
      <c r="H1115" s="112" t="s">
        <v>996</v>
      </c>
      <c r="I1115" s="112" t="s">
        <v>1680</v>
      </c>
      <c r="J1115" s="112"/>
      <c r="K1115" s="112" t="s">
        <v>1365</v>
      </c>
      <c r="L1115" s="112" t="s">
        <v>2484</v>
      </c>
      <c r="M1115" s="112"/>
    </row>
    <row r="1116" spans="1:13" x14ac:dyDescent="0.3">
      <c r="A1116" s="27">
        <v>46008</v>
      </c>
      <c r="B1116" s="27">
        <v>46008</v>
      </c>
      <c r="C1116" s="28">
        <v>58.12</v>
      </c>
      <c r="D1116" s="28">
        <v>0</v>
      </c>
      <c r="E1116" s="28"/>
      <c r="F1116" s="28" t="s">
        <v>4</v>
      </c>
      <c r="G1116" s="24">
        <v>0.97</v>
      </c>
      <c r="H1116" s="28" t="s">
        <v>49</v>
      </c>
      <c r="I1116" s="28" t="s">
        <v>1779</v>
      </c>
      <c r="J1116" s="28"/>
      <c r="K1116" s="28" t="s">
        <v>50</v>
      </c>
      <c r="L1116" s="28" t="s">
        <v>2482</v>
      </c>
      <c r="M1116" s="28"/>
    </row>
    <row r="1117" spans="1:13" x14ac:dyDescent="0.3">
      <c r="A1117" s="103">
        <v>46008</v>
      </c>
      <c r="B1117" s="103">
        <v>46008</v>
      </c>
      <c r="C1117" s="104">
        <v>27</v>
      </c>
      <c r="D1117" s="104">
        <v>0</v>
      </c>
      <c r="E1117" s="104"/>
      <c r="F1117" s="104" t="s">
        <v>983</v>
      </c>
      <c r="G1117" s="40">
        <v>0.82</v>
      </c>
      <c r="H1117" s="104" t="s">
        <v>131</v>
      </c>
      <c r="I1117" s="104" t="s">
        <v>1680</v>
      </c>
      <c r="J1117" s="104"/>
      <c r="K1117" s="104" t="s">
        <v>1366</v>
      </c>
      <c r="L1117" s="104" t="s">
        <v>2484</v>
      </c>
      <c r="M1117" s="104"/>
    </row>
    <row r="1118" spans="1:13" x14ac:dyDescent="0.3">
      <c r="A1118" s="89">
        <v>46008.379641203697</v>
      </c>
      <c r="B1118" s="89">
        <v>46008</v>
      </c>
      <c r="C1118" s="90">
        <v>1000</v>
      </c>
      <c r="D1118" s="90">
        <v>0</v>
      </c>
      <c r="E1118" s="90" t="s">
        <v>2378</v>
      </c>
      <c r="F1118" s="90" t="s">
        <v>975</v>
      </c>
      <c r="G1118" s="39">
        <v>0.55000000000000004</v>
      </c>
      <c r="H1118" s="90" t="s">
        <v>91</v>
      </c>
      <c r="I1118" s="90" t="s">
        <v>1019</v>
      </c>
      <c r="J1118" s="90"/>
      <c r="K1118" s="90" t="s">
        <v>2376</v>
      </c>
      <c r="L1118" s="90" t="s">
        <v>2483</v>
      </c>
      <c r="M1118" s="90"/>
    </row>
    <row r="1119" spans="1:13" x14ac:dyDescent="0.3">
      <c r="A1119" s="27">
        <v>46009</v>
      </c>
      <c r="B1119" s="27">
        <v>46009</v>
      </c>
      <c r="C1119" s="28">
        <v>57.67</v>
      </c>
      <c r="D1119" s="28">
        <v>0</v>
      </c>
      <c r="E1119" s="28"/>
      <c r="F1119" s="28" t="s">
        <v>4</v>
      </c>
      <c r="G1119" s="24">
        <v>0.97</v>
      </c>
      <c r="H1119" s="28" t="s">
        <v>49</v>
      </c>
      <c r="I1119" s="28" t="s">
        <v>1779</v>
      </c>
      <c r="J1119" s="28"/>
      <c r="K1119" s="28" t="s">
        <v>50</v>
      </c>
      <c r="L1119" s="28" t="s">
        <v>2482</v>
      </c>
      <c r="M1119" s="28"/>
    </row>
    <row r="1120" spans="1:13" x14ac:dyDescent="0.3">
      <c r="A1120" s="103">
        <v>46010</v>
      </c>
      <c r="B1120" s="103">
        <v>46010</v>
      </c>
      <c r="C1120" s="104">
        <v>54</v>
      </c>
      <c r="D1120" s="104">
        <v>0</v>
      </c>
      <c r="E1120" s="104"/>
      <c r="F1120" s="104" t="s">
        <v>983</v>
      </c>
      <c r="G1120" s="40">
        <v>0.82</v>
      </c>
      <c r="H1120" s="104" t="s">
        <v>131</v>
      </c>
      <c r="I1120" s="104" t="s">
        <v>1680</v>
      </c>
      <c r="J1120" s="104"/>
      <c r="K1120" s="104" t="s">
        <v>1368</v>
      </c>
      <c r="L1120" s="104" t="s">
        <v>2484</v>
      </c>
      <c r="M1120" s="104"/>
    </row>
    <row r="1121" spans="1:13" x14ac:dyDescent="0.3">
      <c r="A1121" s="27">
        <v>46010</v>
      </c>
      <c r="B1121" s="27">
        <v>46010</v>
      </c>
      <c r="C1121" s="28">
        <v>57.67</v>
      </c>
      <c r="D1121" s="28">
        <v>0</v>
      </c>
      <c r="E1121" s="28"/>
      <c r="F1121" s="28" t="s">
        <v>4</v>
      </c>
      <c r="G1121" s="24">
        <v>0.97</v>
      </c>
      <c r="H1121" s="28" t="s">
        <v>49</v>
      </c>
      <c r="I1121" s="28" t="s">
        <v>1779</v>
      </c>
      <c r="J1121" s="28"/>
      <c r="K1121" s="28" t="s">
        <v>50</v>
      </c>
      <c r="L1121" s="28" t="s">
        <v>2482</v>
      </c>
      <c r="M1121" s="28"/>
    </row>
    <row r="1122" spans="1:13" x14ac:dyDescent="0.3">
      <c r="A1122" s="25">
        <v>46010</v>
      </c>
      <c r="B1122" s="25">
        <v>46010</v>
      </c>
      <c r="C1122" s="26">
        <v>0</v>
      </c>
      <c r="D1122" s="26">
        <v>146.1</v>
      </c>
      <c r="E1122" s="26"/>
      <c r="F1122" s="26" t="s">
        <v>3</v>
      </c>
      <c r="G1122" s="24">
        <v>0.93</v>
      </c>
      <c r="H1122" s="26" t="s">
        <v>49</v>
      </c>
      <c r="I1122" s="26" t="s">
        <v>1779</v>
      </c>
      <c r="J1122" s="26"/>
      <c r="K1122" s="26" t="s">
        <v>749</v>
      </c>
      <c r="L1122" s="26" t="s">
        <v>2482</v>
      </c>
      <c r="M1122" s="26"/>
    </row>
    <row r="1123" spans="1:13" x14ac:dyDescent="0.3">
      <c r="A1123" s="89">
        <v>46010</v>
      </c>
      <c r="B1123" s="89">
        <v>46010</v>
      </c>
      <c r="C1123" s="90">
        <v>291</v>
      </c>
      <c r="D1123" s="90">
        <v>0</v>
      </c>
      <c r="E1123" s="90"/>
      <c r="F1123" s="90" t="s">
        <v>992</v>
      </c>
      <c r="G1123" s="40">
        <v>0.75</v>
      </c>
      <c r="H1123" s="90" t="s">
        <v>91</v>
      </c>
      <c r="I1123" s="90" t="s">
        <v>1680</v>
      </c>
      <c r="J1123" s="90"/>
      <c r="K1123" s="90" t="s">
        <v>1367</v>
      </c>
      <c r="L1123" s="90" t="s">
        <v>2484</v>
      </c>
      <c r="M1123" s="90"/>
    </row>
    <row r="1124" spans="1:13" x14ac:dyDescent="0.3">
      <c r="A1124" s="103">
        <v>46011</v>
      </c>
      <c r="B1124" s="103">
        <v>46011</v>
      </c>
      <c r="C1124" s="104">
        <v>52</v>
      </c>
      <c r="D1124" s="104">
        <v>0</v>
      </c>
      <c r="E1124" s="104"/>
      <c r="F1124" s="104" t="s">
        <v>983</v>
      </c>
      <c r="G1124" s="40">
        <v>0.82</v>
      </c>
      <c r="H1124" s="104" t="s">
        <v>131</v>
      </c>
      <c r="I1124" s="104" t="s">
        <v>1680</v>
      </c>
      <c r="J1124" s="104"/>
      <c r="K1124" s="104" t="s">
        <v>1369</v>
      </c>
      <c r="L1124" s="104" t="s">
        <v>2484</v>
      </c>
      <c r="M1124" s="104"/>
    </row>
    <row r="1125" spans="1:13" x14ac:dyDescent="0.3">
      <c r="A1125" s="89">
        <v>46011</v>
      </c>
      <c r="B1125" s="89">
        <v>46011</v>
      </c>
      <c r="C1125" s="90">
        <v>1000</v>
      </c>
      <c r="D1125" s="90">
        <v>0</v>
      </c>
      <c r="E1125" s="90" t="s">
        <v>1372</v>
      </c>
      <c r="F1125" s="90" t="s">
        <v>975</v>
      </c>
      <c r="G1125" s="39">
        <v>0.55000000000000004</v>
      </c>
      <c r="H1125" s="90" t="s">
        <v>91</v>
      </c>
      <c r="I1125" s="90" t="s">
        <v>1680</v>
      </c>
      <c r="J1125" s="90"/>
      <c r="K1125" s="90" t="s">
        <v>1371</v>
      </c>
      <c r="L1125" s="90" t="s">
        <v>2484</v>
      </c>
      <c r="M1125" s="90"/>
    </row>
    <row r="1126" spans="1:13" x14ac:dyDescent="0.3">
      <c r="A1126" s="103">
        <v>46011</v>
      </c>
      <c r="B1126" s="103">
        <v>46011</v>
      </c>
      <c r="C1126" s="104">
        <v>28</v>
      </c>
      <c r="D1126" s="104">
        <v>0</v>
      </c>
      <c r="E1126" s="104"/>
      <c r="F1126" s="104" t="s">
        <v>983</v>
      </c>
      <c r="G1126" s="40">
        <v>0.82</v>
      </c>
      <c r="H1126" s="104" t="s">
        <v>131</v>
      </c>
      <c r="I1126" s="104" t="s">
        <v>1680</v>
      </c>
      <c r="J1126" s="104"/>
      <c r="K1126" s="104" t="s">
        <v>1370</v>
      </c>
      <c r="L1126" s="104" t="s">
        <v>2484</v>
      </c>
      <c r="M1126" s="104"/>
    </row>
    <row r="1127" spans="1:13" x14ac:dyDescent="0.3">
      <c r="A1127" s="103">
        <v>46012</v>
      </c>
      <c r="B1127" s="103">
        <v>46012</v>
      </c>
      <c r="C1127" s="104">
        <v>52</v>
      </c>
      <c r="D1127" s="104">
        <v>0</v>
      </c>
      <c r="E1127" s="104"/>
      <c r="F1127" s="104" t="s">
        <v>983</v>
      </c>
      <c r="G1127" s="40">
        <v>0.82</v>
      </c>
      <c r="H1127" s="104" t="s">
        <v>131</v>
      </c>
      <c r="I1127" s="104" t="s">
        <v>1680</v>
      </c>
      <c r="J1127" s="104"/>
      <c r="K1127" s="104" t="s">
        <v>1373</v>
      </c>
      <c r="L1127" s="104" t="s">
        <v>2484</v>
      </c>
      <c r="M1127" s="104"/>
    </row>
    <row r="1128" spans="1:13" x14ac:dyDescent="0.3">
      <c r="A1128" s="27">
        <v>46013</v>
      </c>
      <c r="B1128" s="27">
        <v>46013</v>
      </c>
      <c r="C1128" s="28">
        <v>173.16</v>
      </c>
      <c r="D1128" s="28">
        <v>0</v>
      </c>
      <c r="E1128" s="28"/>
      <c r="F1128" s="28" t="s">
        <v>4</v>
      </c>
      <c r="G1128" s="24">
        <v>0.97</v>
      </c>
      <c r="H1128" s="28" t="s">
        <v>49</v>
      </c>
      <c r="I1128" s="28" t="s">
        <v>1779</v>
      </c>
      <c r="J1128" s="28"/>
      <c r="K1128" s="28" t="s">
        <v>50</v>
      </c>
      <c r="L1128" s="28" t="s">
        <v>2482</v>
      </c>
      <c r="M1128" s="28"/>
    </row>
    <row r="1129" spans="1:13" x14ac:dyDescent="0.3">
      <c r="A1129" s="25">
        <v>46013</v>
      </c>
      <c r="B1129" s="25">
        <v>46013</v>
      </c>
      <c r="C1129" s="26">
        <v>0</v>
      </c>
      <c r="D1129" s="26">
        <v>390.68</v>
      </c>
      <c r="E1129" s="26"/>
      <c r="F1129" s="26" t="s">
        <v>3</v>
      </c>
      <c r="G1129" s="24">
        <v>0.93</v>
      </c>
      <c r="H1129" s="26" t="s">
        <v>49</v>
      </c>
      <c r="I1129" s="26" t="s">
        <v>1779</v>
      </c>
      <c r="J1129" s="26"/>
      <c r="K1129" s="26" t="s">
        <v>752</v>
      </c>
      <c r="L1129" s="26" t="s">
        <v>2482</v>
      </c>
      <c r="M1129" s="26"/>
    </row>
    <row r="1130" spans="1:13" x14ac:dyDescent="0.3">
      <c r="A1130" s="83">
        <v>46013</v>
      </c>
      <c r="B1130" s="83">
        <v>46013</v>
      </c>
      <c r="C1130" s="84">
        <v>0</v>
      </c>
      <c r="D1130" s="84">
        <v>900</v>
      </c>
      <c r="E1130" s="84"/>
      <c r="F1130" s="84" t="s">
        <v>973</v>
      </c>
      <c r="G1130" s="24">
        <v>0.92</v>
      </c>
      <c r="H1130" s="84" t="s">
        <v>1014</v>
      </c>
      <c r="I1130" s="84" t="s">
        <v>1680</v>
      </c>
      <c r="J1130" s="84"/>
      <c r="K1130" s="84" t="s">
        <v>1375</v>
      </c>
      <c r="L1130" s="84" t="s">
        <v>2484</v>
      </c>
      <c r="M1130" s="84"/>
    </row>
    <row r="1131" spans="1:13" x14ac:dyDescent="0.3">
      <c r="A1131" s="103">
        <v>46013</v>
      </c>
      <c r="B1131" s="103">
        <v>46013</v>
      </c>
      <c r="C1131" s="104">
        <v>96</v>
      </c>
      <c r="D1131" s="104">
        <v>0</v>
      </c>
      <c r="E1131" s="104"/>
      <c r="F1131" s="104" t="s">
        <v>983</v>
      </c>
      <c r="G1131" s="40">
        <v>0.82</v>
      </c>
      <c r="H1131" s="104" t="s">
        <v>131</v>
      </c>
      <c r="I1131" s="104" t="s">
        <v>1680</v>
      </c>
      <c r="J1131" s="104"/>
      <c r="K1131" s="104" t="s">
        <v>1376</v>
      </c>
      <c r="L1131" s="104" t="s">
        <v>2484</v>
      </c>
      <c r="M1131" s="104"/>
    </row>
    <row r="1132" spans="1:13" x14ac:dyDescent="0.3">
      <c r="A1132" s="101">
        <v>46013</v>
      </c>
      <c r="B1132" s="101">
        <v>46013</v>
      </c>
      <c r="C1132" s="102">
        <v>1250</v>
      </c>
      <c r="D1132" s="102">
        <v>0</v>
      </c>
      <c r="E1132" s="102"/>
      <c r="F1132" s="102" t="s">
        <v>976</v>
      </c>
      <c r="G1132" s="24">
        <v>0.85</v>
      </c>
      <c r="H1132" s="102" t="s">
        <v>1028</v>
      </c>
      <c r="I1132" s="102" t="s">
        <v>1680</v>
      </c>
      <c r="J1132" s="102"/>
      <c r="K1132" s="102" t="s">
        <v>1374</v>
      </c>
      <c r="L1132" s="102" t="s">
        <v>2484</v>
      </c>
      <c r="M1132" s="102"/>
    </row>
    <row r="1133" spans="1:13" x14ac:dyDescent="0.3">
      <c r="A1133" s="97">
        <v>46013</v>
      </c>
      <c r="B1133" s="97">
        <v>46013</v>
      </c>
      <c r="C1133" s="98">
        <v>0</v>
      </c>
      <c r="D1133" s="98">
        <v>150</v>
      </c>
      <c r="E1133" s="98"/>
      <c r="F1133" s="98" t="s">
        <v>977</v>
      </c>
      <c r="G1133" s="24">
        <v>0.85</v>
      </c>
      <c r="H1133" s="98" t="s">
        <v>1031</v>
      </c>
      <c r="I1133" s="98" t="s">
        <v>837</v>
      </c>
      <c r="J1133" s="98"/>
      <c r="K1133" s="98" t="s">
        <v>1745</v>
      </c>
      <c r="L1133" s="98" t="s">
        <v>2486</v>
      </c>
      <c r="M1133" s="98"/>
    </row>
    <row r="1134" spans="1:13" x14ac:dyDescent="0.3">
      <c r="A1134" s="89">
        <v>46013</v>
      </c>
      <c r="B1134" s="89">
        <v>46013</v>
      </c>
      <c r="C1134" s="90">
        <v>10</v>
      </c>
      <c r="D1134" s="90">
        <v>0</v>
      </c>
      <c r="E1134" s="90" t="s">
        <v>1378</v>
      </c>
      <c r="F1134" s="90" t="s">
        <v>975</v>
      </c>
      <c r="G1134" s="39">
        <v>0.55000000000000004</v>
      </c>
      <c r="H1134" s="90" t="s">
        <v>91</v>
      </c>
      <c r="I1134" s="90" t="s">
        <v>1680</v>
      </c>
      <c r="J1134" s="90"/>
      <c r="K1134" s="90" t="s">
        <v>1377</v>
      </c>
      <c r="L1134" s="90" t="s">
        <v>2484</v>
      </c>
      <c r="M1134" s="90"/>
    </row>
    <row r="1135" spans="1:13" x14ac:dyDescent="0.3">
      <c r="A1135" s="97">
        <v>46013.912708333337</v>
      </c>
      <c r="B1135" s="97">
        <v>46013</v>
      </c>
      <c r="C1135" s="98">
        <v>150</v>
      </c>
      <c r="D1135" s="98">
        <v>0</v>
      </c>
      <c r="E1135" s="98"/>
      <c r="F1135" s="98" t="s">
        <v>978</v>
      </c>
      <c r="G1135" s="24">
        <v>0.85</v>
      </c>
      <c r="H1135" s="98" t="s">
        <v>1031</v>
      </c>
      <c r="I1135" s="98" t="s">
        <v>1019</v>
      </c>
      <c r="J1135" s="98"/>
      <c r="K1135" s="98" t="s">
        <v>2379</v>
      </c>
      <c r="L1135" s="98" t="s">
        <v>2483</v>
      </c>
      <c r="M1135" s="98"/>
    </row>
    <row r="1136" spans="1:13" x14ac:dyDescent="0.3">
      <c r="A1136" s="25">
        <v>46014</v>
      </c>
      <c r="B1136" s="25">
        <v>46014</v>
      </c>
      <c r="C1136" s="26">
        <v>0</v>
      </c>
      <c r="D1136" s="26">
        <v>14449.97</v>
      </c>
      <c r="E1136" s="26"/>
      <c r="F1136" s="26" t="s">
        <v>3</v>
      </c>
      <c r="G1136" s="24">
        <v>0.93</v>
      </c>
      <c r="H1136" s="26" t="s">
        <v>49</v>
      </c>
      <c r="I1136" s="26" t="s">
        <v>1779</v>
      </c>
      <c r="J1136" s="26"/>
      <c r="K1136" s="26" t="s">
        <v>755</v>
      </c>
      <c r="L1136" s="26" t="s">
        <v>2482</v>
      </c>
      <c r="M1136" s="26"/>
    </row>
    <row r="1137" spans="1:13" x14ac:dyDescent="0.3">
      <c r="A1137" s="25">
        <v>46014</v>
      </c>
      <c r="B1137" s="25">
        <v>46014</v>
      </c>
      <c r="C1137" s="26">
        <v>0</v>
      </c>
      <c r="D1137" s="26">
        <v>1897.9</v>
      </c>
      <c r="E1137" s="26"/>
      <c r="F1137" s="26" t="s">
        <v>3</v>
      </c>
      <c r="G1137" s="24">
        <v>0.93</v>
      </c>
      <c r="H1137" s="26" t="s">
        <v>49</v>
      </c>
      <c r="I1137" s="26" t="s">
        <v>1779</v>
      </c>
      <c r="J1137" s="26"/>
      <c r="K1137" s="26" t="s">
        <v>757</v>
      </c>
      <c r="L1137" s="26" t="s">
        <v>2482</v>
      </c>
      <c r="M1137" s="26"/>
    </row>
    <row r="1138" spans="1:13" x14ac:dyDescent="0.3">
      <c r="A1138" s="51">
        <v>46014</v>
      </c>
      <c r="B1138" s="51">
        <v>46014</v>
      </c>
      <c r="C1138" s="52">
        <v>10000</v>
      </c>
      <c r="D1138" s="52">
        <v>0</v>
      </c>
      <c r="E1138" s="52"/>
      <c r="F1138" s="52" t="s">
        <v>18</v>
      </c>
      <c r="G1138" s="24">
        <v>0.85</v>
      </c>
      <c r="H1138" s="52" t="s">
        <v>181</v>
      </c>
      <c r="I1138" s="52" t="s">
        <v>837</v>
      </c>
      <c r="J1138" s="52"/>
      <c r="K1138" s="52" t="s">
        <v>1748</v>
      </c>
      <c r="L1138" s="52" t="s">
        <v>2486</v>
      </c>
      <c r="M1138" s="52"/>
    </row>
    <row r="1139" spans="1:13" x14ac:dyDescent="0.3">
      <c r="A1139" s="99">
        <v>46014</v>
      </c>
      <c r="B1139" s="99">
        <v>46014</v>
      </c>
      <c r="C1139" s="100">
        <v>210</v>
      </c>
      <c r="D1139" s="100">
        <v>0</v>
      </c>
      <c r="E1139" s="100"/>
      <c r="F1139" s="100" t="s">
        <v>981</v>
      </c>
      <c r="G1139" s="40">
        <v>0.8</v>
      </c>
      <c r="H1139" s="100" t="s">
        <v>1053</v>
      </c>
      <c r="I1139" s="100" t="s">
        <v>1680</v>
      </c>
      <c r="J1139" s="100"/>
      <c r="K1139" s="100" t="s">
        <v>1383</v>
      </c>
      <c r="L1139" s="100" t="s">
        <v>2484</v>
      </c>
      <c r="M1139" s="100"/>
    </row>
    <row r="1140" spans="1:13" x14ac:dyDescent="0.3">
      <c r="A1140" s="51">
        <v>46014</v>
      </c>
      <c r="B1140" s="51">
        <v>46014</v>
      </c>
      <c r="C1140" s="52">
        <v>0</v>
      </c>
      <c r="D1140" s="52">
        <v>5000</v>
      </c>
      <c r="E1140" s="52"/>
      <c r="F1140" s="52" t="s">
        <v>20</v>
      </c>
      <c r="G1140" s="24">
        <v>0.85</v>
      </c>
      <c r="H1140" s="52" t="s">
        <v>181</v>
      </c>
      <c r="I1140" s="52" t="s">
        <v>837</v>
      </c>
      <c r="J1140" s="52"/>
      <c r="K1140" s="52" t="s">
        <v>1747</v>
      </c>
      <c r="L1140" s="52" t="s">
        <v>2486</v>
      </c>
      <c r="M1140" s="52" t="s">
        <v>2485</v>
      </c>
    </row>
    <row r="1141" spans="1:13" x14ac:dyDescent="0.3">
      <c r="A1141" s="51">
        <v>46014</v>
      </c>
      <c r="B1141" s="51">
        <v>46014</v>
      </c>
      <c r="C1141" s="52">
        <v>0</v>
      </c>
      <c r="D1141" s="52">
        <v>5000</v>
      </c>
      <c r="E1141" s="52"/>
      <c r="F1141" s="52" t="s">
        <v>20</v>
      </c>
      <c r="G1141" s="24">
        <v>0.85</v>
      </c>
      <c r="H1141" s="52" t="s">
        <v>181</v>
      </c>
      <c r="I1141" s="52" t="s">
        <v>837</v>
      </c>
      <c r="J1141" s="52"/>
      <c r="K1141" s="52" t="s">
        <v>1746</v>
      </c>
      <c r="L1141" s="52" t="s">
        <v>2486</v>
      </c>
      <c r="M1141" s="52" t="s">
        <v>2485</v>
      </c>
    </row>
    <row r="1142" spans="1:13" x14ac:dyDescent="0.3">
      <c r="A1142" s="101">
        <v>46014</v>
      </c>
      <c r="B1142" s="101">
        <v>46014</v>
      </c>
      <c r="C1142" s="102">
        <v>1300</v>
      </c>
      <c r="D1142" s="102">
        <v>0</v>
      </c>
      <c r="E1142" s="102"/>
      <c r="F1142" s="102" t="s">
        <v>976</v>
      </c>
      <c r="G1142" s="24">
        <v>0.85</v>
      </c>
      <c r="H1142" s="102" t="s">
        <v>1028</v>
      </c>
      <c r="I1142" s="102" t="s">
        <v>1680</v>
      </c>
      <c r="J1142" s="102"/>
      <c r="K1142" s="102" t="s">
        <v>1379</v>
      </c>
      <c r="L1142" s="102" t="s">
        <v>2484</v>
      </c>
      <c r="M1142" s="102"/>
    </row>
    <row r="1143" spans="1:13" x14ac:dyDescent="0.3">
      <c r="A1143" s="89">
        <v>46014</v>
      </c>
      <c r="B1143" s="89">
        <v>46014</v>
      </c>
      <c r="C1143" s="90">
        <v>30</v>
      </c>
      <c r="D1143" s="90">
        <v>0</v>
      </c>
      <c r="E1143" s="90" t="s">
        <v>1109</v>
      </c>
      <c r="F1143" s="90" t="s">
        <v>975</v>
      </c>
      <c r="G1143" s="39">
        <v>0.55000000000000004</v>
      </c>
      <c r="H1143" s="90" t="s">
        <v>91</v>
      </c>
      <c r="I1143" s="90" t="s">
        <v>1680</v>
      </c>
      <c r="J1143" s="90"/>
      <c r="K1143" s="90" t="s">
        <v>1382</v>
      </c>
      <c r="L1143" s="90" t="s">
        <v>2484</v>
      </c>
      <c r="M1143" s="90"/>
    </row>
    <row r="1144" spans="1:13" x14ac:dyDescent="0.3">
      <c r="A1144" s="27">
        <v>46014</v>
      </c>
      <c r="B1144" s="27">
        <v>46014</v>
      </c>
      <c r="C1144" s="28">
        <v>57.86</v>
      </c>
      <c r="D1144" s="28">
        <v>0</v>
      </c>
      <c r="E1144" s="28"/>
      <c r="F1144" s="28" t="s">
        <v>4</v>
      </c>
      <c r="G1144" s="24">
        <v>0.97</v>
      </c>
      <c r="H1144" s="28" t="s">
        <v>49</v>
      </c>
      <c r="I1144" s="28" t="s">
        <v>1779</v>
      </c>
      <c r="J1144" s="28"/>
      <c r="K1144" s="28" t="s">
        <v>50</v>
      </c>
      <c r="L1144" s="28" t="s">
        <v>2482</v>
      </c>
      <c r="M1144" s="28"/>
    </row>
    <row r="1145" spans="1:13" x14ac:dyDescent="0.3">
      <c r="A1145" s="89">
        <v>46014</v>
      </c>
      <c r="B1145" s="89">
        <v>46014</v>
      </c>
      <c r="C1145" s="90">
        <v>23</v>
      </c>
      <c r="D1145" s="90">
        <v>0</v>
      </c>
      <c r="E1145" s="90" t="s">
        <v>1385</v>
      </c>
      <c r="F1145" s="90" t="s">
        <v>975</v>
      </c>
      <c r="G1145" s="39">
        <v>0.55000000000000004</v>
      </c>
      <c r="H1145" s="90" t="s">
        <v>91</v>
      </c>
      <c r="I1145" s="90" t="s">
        <v>1680</v>
      </c>
      <c r="J1145" s="90"/>
      <c r="K1145" s="90" t="s">
        <v>1384</v>
      </c>
      <c r="L1145" s="90" t="s">
        <v>2484</v>
      </c>
      <c r="M1145" s="90"/>
    </row>
    <row r="1146" spans="1:13" x14ac:dyDescent="0.3">
      <c r="A1146" s="89">
        <v>46014</v>
      </c>
      <c r="B1146" s="89">
        <v>46014</v>
      </c>
      <c r="C1146" s="90">
        <v>90</v>
      </c>
      <c r="D1146" s="90">
        <v>0</v>
      </c>
      <c r="E1146" s="90" t="s">
        <v>1381</v>
      </c>
      <c r="F1146" s="90" t="s">
        <v>975</v>
      </c>
      <c r="G1146" s="39">
        <v>0.55000000000000004</v>
      </c>
      <c r="H1146" s="90" t="s">
        <v>91</v>
      </c>
      <c r="I1146" s="90" t="s">
        <v>1680</v>
      </c>
      <c r="J1146" s="90"/>
      <c r="K1146" s="90" t="s">
        <v>1380</v>
      </c>
      <c r="L1146" s="90" t="s">
        <v>2484</v>
      </c>
      <c r="M1146" s="90"/>
    </row>
    <row r="1147" spans="1:13" x14ac:dyDescent="0.3">
      <c r="A1147" s="27">
        <v>46014</v>
      </c>
      <c r="B1147" s="27">
        <v>46014</v>
      </c>
      <c r="C1147" s="28">
        <v>294.05</v>
      </c>
      <c r="D1147" s="28">
        <v>0</v>
      </c>
      <c r="E1147" s="28"/>
      <c r="F1147" s="28" t="s">
        <v>4</v>
      </c>
      <c r="G1147" s="24">
        <v>0.97</v>
      </c>
      <c r="H1147" s="28" t="s">
        <v>49</v>
      </c>
      <c r="I1147" s="28" t="s">
        <v>1779</v>
      </c>
      <c r="J1147" s="28"/>
      <c r="K1147" s="28" t="s">
        <v>50</v>
      </c>
      <c r="L1147" s="28" t="s">
        <v>2482</v>
      </c>
      <c r="M1147" s="28"/>
    </row>
    <row r="1148" spans="1:13" x14ac:dyDescent="0.3">
      <c r="A1148" s="89">
        <v>46015</v>
      </c>
      <c r="B1148" s="89">
        <v>46015</v>
      </c>
      <c r="C1148" s="90">
        <v>257</v>
      </c>
      <c r="D1148" s="90">
        <v>0</v>
      </c>
      <c r="E1148" s="90" t="s">
        <v>1388</v>
      </c>
      <c r="F1148" s="90" t="s">
        <v>975</v>
      </c>
      <c r="G1148" s="39">
        <v>0.55000000000000004</v>
      </c>
      <c r="H1148" s="90" t="s">
        <v>91</v>
      </c>
      <c r="I1148" s="90" t="s">
        <v>1680</v>
      </c>
      <c r="J1148" s="90"/>
      <c r="K1148" s="90" t="s">
        <v>1387</v>
      </c>
      <c r="L1148" s="90" t="s">
        <v>2484</v>
      </c>
      <c r="M1148" s="90"/>
    </row>
    <row r="1149" spans="1:13" x14ac:dyDescent="0.3">
      <c r="A1149" s="97">
        <v>46015</v>
      </c>
      <c r="B1149" s="97">
        <v>46015</v>
      </c>
      <c r="C1149" s="98">
        <v>0</v>
      </c>
      <c r="D1149" s="98">
        <v>100</v>
      </c>
      <c r="E1149" s="98"/>
      <c r="F1149" s="98" t="s">
        <v>977</v>
      </c>
      <c r="G1149" s="24">
        <v>0.85</v>
      </c>
      <c r="H1149" s="98" t="s">
        <v>1031</v>
      </c>
      <c r="I1149" s="98" t="s">
        <v>837</v>
      </c>
      <c r="J1149" s="98"/>
      <c r="K1149" s="98" t="s">
        <v>1749</v>
      </c>
      <c r="L1149" s="98" t="s">
        <v>2486</v>
      </c>
      <c r="M1149" s="98"/>
    </row>
    <row r="1150" spans="1:13" x14ac:dyDescent="0.3">
      <c r="A1150" s="27">
        <v>46015</v>
      </c>
      <c r="B1150" s="27">
        <v>46015</v>
      </c>
      <c r="C1150" s="28">
        <v>58.43</v>
      </c>
      <c r="D1150" s="28">
        <v>0</v>
      </c>
      <c r="E1150" s="28"/>
      <c r="F1150" s="28" t="s">
        <v>4</v>
      </c>
      <c r="G1150" s="24">
        <v>0.97</v>
      </c>
      <c r="H1150" s="28" t="s">
        <v>49</v>
      </c>
      <c r="I1150" s="28" t="s">
        <v>1779</v>
      </c>
      <c r="J1150" s="28"/>
      <c r="K1150" s="28" t="s">
        <v>50</v>
      </c>
      <c r="L1150" s="28" t="s">
        <v>2482</v>
      </c>
      <c r="M1150" s="28"/>
    </row>
    <row r="1151" spans="1:13" x14ac:dyDescent="0.3">
      <c r="A1151" s="101">
        <v>46015</v>
      </c>
      <c r="B1151" s="101">
        <v>46015</v>
      </c>
      <c r="C1151" s="102">
        <v>1300</v>
      </c>
      <c r="D1151" s="102">
        <v>0</v>
      </c>
      <c r="E1151" s="102"/>
      <c r="F1151" s="102" t="s">
        <v>976</v>
      </c>
      <c r="G1151" s="24">
        <v>0.85</v>
      </c>
      <c r="H1151" s="102" t="s">
        <v>1028</v>
      </c>
      <c r="I1151" s="102" t="s">
        <v>1680</v>
      </c>
      <c r="J1151" s="102"/>
      <c r="K1151" s="102" t="s">
        <v>1386</v>
      </c>
      <c r="L1151" s="102" t="s">
        <v>2484</v>
      </c>
      <c r="M1151" s="102"/>
    </row>
    <row r="1152" spans="1:13" x14ac:dyDescent="0.3">
      <c r="A1152" s="37">
        <v>46016</v>
      </c>
      <c r="B1152" s="37">
        <v>46016</v>
      </c>
      <c r="C1152" s="38">
        <v>0</v>
      </c>
      <c r="D1152" s="38">
        <v>1000</v>
      </c>
      <c r="E1152" s="38"/>
      <c r="F1152" s="38" t="s">
        <v>1668</v>
      </c>
      <c r="G1152" s="39">
        <v>0.55000000000000004</v>
      </c>
      <c r="H1152" s="38" t="s">
        <v>91</v>
      </c>
      <c r="I1152" s="38" t="s">
        <v>837</v>
      </c>
      <c r="J1152" s="38"/>
      <c r="K1152" s="38" t="s">
        <v>1750</v>
      </c>
      <c r="L1152" s="38" t="s">
        <v>2486</v>
      </c>
      <c r="M1152" s="38"/>
    </row>
    <row r="1153" spans="1:13" x14ac:dyDescent="0.3">
      <c r="A1153" s="89">
        <v>46016</v>
      </c>
      <c r="B1153" s="89">
        <v>46016</v>
      </c>
      <c r="C1153" s="90">
        <v>110</v>
      </c>
      <c r="D1153" s="90">
        <v>0</v>
      </c>
      <c r="E1153" s="90" t="s">
        <v>1395</v>
      </c>
      <c r="F1153" s="90" t="s">
        <v>975</v>
      </c>
      <c r="G1153" s="39">
        <v>0.55000000000000004</v>
      </c>
      <c r="H1153" s="90" t="s">
        <v>91</v>
      </c>
      <c r="I1153" s="90" t="s">
        <v>1680</v>
      </c>
      <c r="J1153" s="90"/>
      <c r="K1153" s="90" t="s">
        <v>1394</v>
      </c>
      <c r="L1153" s="90" t="s">
        <v>2484</v>
      </c>
      <c r="M1153" s="90"/>
    </row>
    <row r="1154" spans="1:13" x14ac:dyDescent="0.3">
      <c r="A1154" s="55">
        <v>46016</v>
      </c>
      <c r="B1154" s="55">
        <v>46016</v>
      </c>
      <c r="C1154" s="56">
        <v>0</v>
      </c>
      <c r="D1154" s="56">
        <v>60</v>
      </c>
      <c r="E1154" s="56"/>
      <c r="F1154" s="56" t="s">
        <v>22</v>
      </c>
      <c r="G1154" s="24">
        <v>0.9</v>
      </c>
      <c r="H1154" s="56" t="s">
        <v>22</v>
      </c>
      <c r="I1154" s="56" t="s">
        <v>837</v>
      </c>
      <c r="J1154" s="56"/>
      <c r="K1154" s="56" t="s">
        <v>1718</v>
      </c>
      <c r="L1154" s="56" t="s">
        <v>2486</v>
      </c>
      <c r="M1154" s="56"/>
    </row>
    <row r="1155" spans="1:13" x14ac:dyDescent="0.3">
      <c r="A1155" s="89">
        <v>46016</v>
      </c>
      <c r="B1155" s="89">
        <v>46016</v>
      </c>
      <c r="C1155" s="90">
        <v>160</v>
      </c>
      <c r="D1155" s="90">
        <v>0</v>
      </c>
      <c r="E1155" s="90" t="s">
        <v>1393</v>
      </c>
      <c r="F1155" s="90" t="s">
        <v>975</v>
      </c>
      <c r="G1155" s="39">
        <v>0.55000000000000004</v>
      </c>
      <c r="H1155" s="90" t="s">
        <v>91</v>
      </c>
      <c r="I1155" s="90" t="s">
        <v>1680</v>
      </c>
      <c r="J1155" s="90"/>
      <c r="K1155" s="90" t="s">
        <v>1392</v>
      </c>
      <c r="L1155" s="90" t="s">
        <v>2484</v>
      </c>
      <c r="M1155" s="90"/>
    </row>
    <row r="1156" spans="1:13" x14ac:dyDescent="0.3">
      <c r="A1156" s="89">
        <v>46016</v>
      </c>
      <c r="B1156" s="89">
        <v>46016</v>
      </c>
      <c r="C1156" s="90">
        <v>1600</v>
      </c>
      <c r="D1156" s="90">
        <v>0</v>
      </c>
      <c r="E1156" s="90" t="s">
        <v>1391</v>
      </c>
      <c r="F1156" s="90" t="s">
        <v>975</v>
      </c>
      <c r="G1156" s="39">
        <v>0.55000000000000004</v>
      </c>
      <c r="H1156" s="90" t="s">
        <v>91</v>
      </c>
      <c r="I1156" s="90" t="s">
        <v>1680</v>
      </c>
      <c r="J1156" s="90"/>
      <c r="K1156" s="90" t="s">
        <v>1390</v>
      </c>
      <c r="L1156" s="90" t="s">
        <v>2484</v>
      </c>
      <c r="M1156" s="90"/>
    </row>
    <row r="1157" spans="1:13" x14ac:dyDescent="0.3">
      <c r="A1157" s="101">
        <v>46016</v>
      </c>
      <c r="B1157" s="101">
        <v>46016</v>
      </c>
      <c r="C1157" s="102">
        <v>1200</v>
      </c>
      <c r="D1157" s="102">
        <v>0</v>
      </c>
      <c r="E1157" s="102"/>
      <c r="F1157" s="102" t="s">
        <v>976</v>
      </c>
      <c r="G1157" s="24">
        <v>0.85</v>
      </c>
      <c r="H1157" s="102" t="s">
        <v>1028</v>
      </c>
      <c r="I1157" s="102" t="s">
        <v>1680</v>
      </c>
      <c r="J1157" s="102"/>
      <c r="K1157" s="102" t="s">
        <v>1389</v>
      </c>
      <c r="L1157" s="102" t="s">
        <v>2484</v>
      </c>
      <c r="M1157" s="102"/>
    </row>
    <row r="1158" spans="1:13" x14ac:dyDescent="0.3">
      <c r="A1158" s="97">
        <v>46016.354074074072</v>
      </c>
      <c r="B1158" s="97">
        <v>46016</v>
      </c>
      <c r="C1158" s="98">
        <v>150</v>
      </c>
      <c r="D1158" s="98">
        <v>0</v>
      </c>
      <c r="E1158" s="98"/>
      <c r="F1158" s="98" t="s">
        <v>978</v>
      </c>
      <c r="G1158" s="24">
        <v>0.85</v>
      </c>
      <c r="H1158" s="98" t="s">
        <v>1031</v>
      </c>
      <c r="I1158" s="98" t="s">
        <v>1019</v>
      </c>
      <c r="J1158" s="98"/>
      <c r="K1158" s="98" t="s">
        <v>2381</v>
      </c>
      <c r="L1158" s="98" t="s">
        <v>2483</v>
      </c>
      <c r="M1158" s="98"/>
    </row>
    <row r="1159" spans="1:13" x14ac:dyDescent="0.3">
      <c r="A1159" s="89">
        <v>46017</v>
      </c>
      <c r="B1159" s="89">
        <v>46017</v>
      </c>
      <c r="C1159" s="90">
        <v>20</v>
      </c>
      <c r="D1159" s="90">
        <v>0</v>
      </c>
      <c r="E1159" s="90" t="s">
        <v>1400</v>
      </c>
      <c r="F1159" s="90" t="s">
        <v>975</v>
      </c>
      <c r="G1159" s="39">
        <v>0.55000000000000004</v>
      </c>
      <c r="H1159" s="90" t="s">
        <v>91</v>
      </c>
      <c r="I1159" s="90" t="s">
        <v>1680</v>
      </c>
      <c r="J1159" s="90"/>
      <c r="K1159" s="90" t="s">
        <v>1399</v>
      </c>
      <c r="L1159" s="90" t="s">
        <v>2484</v>
      </c>
      <c r="M1159" s="90"/>
    </row>
    <row r="1160" spans="1:13" x14ac:dyDescent="0.3">
      <c r="A1160" s="101">
        <v>46017</v>
      </c>
      <c r="B1160" s="101">
        <v>46017</v>
      </c>
      <c r="C1160" s="102">
        <v>1450</v>
      </c>
      <c r="D1160" s="102">
        <v>0</v>
      </c>
      <c r="E1160" s="102"/>
      <c r="F1160" s="102" t="s">
        <v>976</v>
      </c>
      <c r="G1160" s="24">
        <v>0.85</v>
      </c>
      <c r="H1160" s="102" t="s">
        <v>1028</v>
      </c>
      <c r="I1160" s="102" t="s">
        <v>1680</v>
      </c>
      <c r="J1160" s="102"/>
      <c r="K1160" s="102" t="s">
        <v>1398</v>
      </c>
      <c r="L1160" s="102" t="s">
        <v>2484</v>
      </c>
      <c r="M1160" s="102"/>
    </row>
    <row r="1161" spans="1:13" x14ac:dyDescent="0.3">
      <c r="A1161" s="89">
        <v>46017</v>
      </c>
      <c r="B1161" s="89">
        <v>46017</v>
      </c>
      <c r="C1161" s="90">
        <v>70</v>
      </c>
      <c r="D1161" s="90">
        <v>0</v>
      </c>
      <c r="E1161" s="90" t="s">
        <v>1397</v>
      </c>
      <c r="F1161" s="90" t="s">
        <v>975</v>
      </c>
      <c r="G1161" s="39">
        <v>0.55000000000000004</v>
      </c>
      <c r="H1161" s="90" t="s">
        <v>91</v>
      </c>
      <c r="I1161" s="90" t="s">
        <v>1680</v>
      </c>
      <c r="J1161" s="90"/>
      <c r="K1161" s="90" t="s">
        <v>1396</v>
      </c>
      <c r="L1161" s="90" t="s">
        <v>2484</v>
      </c>
      <c r="M1161" s="90"/>
    </row>
    <row r="1162" spans="1:13" x14ac:dyDescent="0.3">
      <c r="A1162" s="27">
        <v>46017</v>
      </c>
      <c r="B1162" s="27">
        <v>46017</v>
      </c>
      <c r="C1162" s="28">
        <v>37432.6</v>
      </c>
      <c r="D1162" s="28">
        <v>0</v>
      </c>
      <c r="E1162" s="28"/>
      <c r="F1162" s="28" t="s">
        <v>4</v>
      </c>
      <c r="G1162" s="24">
        <v>0.97</v>
      </c>
      <c r="H1162" s="28" t="s">
        <v>49</v>
      </c>
      <c r="I1162" s="28" t="s">
        <v>1779</v>
      </c>
      <c r="J1162" s="28"/>
      <c r="K1162" s="28" t="s">
        <v>50</v>
      </c>
      <c r="L1162" s="28" t="s">
        <v>2482</v>
      </c>
      <c r="M1162" s="28"/>
    </row>
    <row r="1163" spans="1:13" x14ac:dyDescent="0.3">
      <c r="A1163" s="25">
        <v>46017</v>
      </c>
      <c r="B1163" s="25">
        <v>46017</v>
      </c>
      <c r="C1163" s="26">
        <v>0</v>
      </c>
      <c r="D1163" s="26">
        <v>1147.56</v>
      </c>
      <c r="E1163" s="26"/>
      <c r="F1163" s="26" t="s">
        <v>3</v>
      </c>
      <c r="G1163" s="24">
        <v>0.93</v>
      </c>
      <c r="H1163" s="26" t="s">
        <v>49</v>
      </c>
      <c r="I1163" s="26" t="s">
        <v>1779</v>
      </c>
      <c r="J1163" s="26"/>
      <c r="K1163" s="26" t="s">
        <v>762</v>
      </c>
      <c r="L1163" s="26" t="s">
        <v>2482</v>
      </c>
      <c r="M1163" s="26"/>
    </row>
    <row r="1164" spans="1:13" x14ac:dyDescent="0.3">
      <c r="A1164" s="27">
        <v>46017</v>
      </c>
      <c r="B1164" s="27">
        <v>46017</v>
      </c>
      <c r="C1164" s="28">
        <v>116.86</v>
      </c>
      <c r="D1164" s="28">
        <v>0</v>
      </c>
      <c r="E1164" s="28"/>
      <c r="F1164" s="28" t="s">
        <v>4</v>
      </c>
      <c r="G1164" s="24">
        <v>0.97</v>
      </c>
      <c r="H1164" s="28" t="s">
        <v>49</v>
      </c>
      <c r="I1164" s="28" t="s">
        <v>1779</v>
      </c>
      <c r="J1164" s="28"/>
      <c r="K1164" s="28" t="s">
        <v>50</v>
      </c>
      <c r="L1164" s="28" t="s">
        <v>2482</v>
      </c>
      <c r="M1164" s="28"/>
    </row>
    <row r="1165" spans="1:13" x14ac:dyDescent="0.3">
      <c r="A1165" s="89">
        <v>46018</v>
      </c>
      <c r="B1165" s="89">
        <v>46018</v>
      </c>
      <c r="C1165" s="90">
        <v>220</v>
      </c>
      <c r="D1165" s="90">
        <v>0</v>
      </c>
      <c r="E1165" s="90" t="s">
        <v>1409</v>
      </c>
      <c r="F1165" s="90" t="s">
        <v>975</v>
      </c>
      <c r="G1165" s="39">
        <v>0.55000000000000004</v>
      </c>
      <c r="H1165" s="90" t="s">
        <v>91</v>
      </c>
      <c r="I1165" s="90" t="s">
        <v>1680</v>
      </c>
      <c r="J1165" s="90"/>
      <c r="K1165" s="90" t="s">
        <v>1408</v>
      </c>
      <c r="L1165" s="90" t="s">
        <v>2484</v>
      </c>
      <c r="M1165" s="90"/>
    </row>
    <row r="1166" spans="1:13" x14ac:dyDescent="0.3">
      <c r="A1166" s="89">
        <v>46018</v>
      </c>
      <c r="B1166" s="89">
        <v>46018</v>
      </c>
      <c r="C1166" s="90">
        <v>2000</v>
      </c>
      <c r="D1166" s="90">
        <v>0</v>
      </c>
      <c r="E1166" s="90" t="s">
        <v>1407</v>
      </c>
      <c r="F1166" s="90" t="s">
        <v>975</v>
      </c>
      <c r="G1166" s="39">
        <v>0.55000000000000004</v>
      </c>
      <c r="H1166" s="90" t="s">
        <v>91</v>
      </c>
      <c r="I1166" s="90" t="s">
        <v>1680</v>
      </c>
      <c r="J1166" s="90"/>
      <c r="K1166" s="90" t="s">
        <v>1406</v>
      </c>
      <c r="L1166" s="90" t="s">
        <v>2484</v>
      </c>
      <c r="M1166" s="90"/>
    </row>
    <row r="1167" spans="1:13" x14ac:dyDescent="0.3">
      <c r="A1167" s="89">
        <v>46018</v>
      </c>
      <c r="B1167" s="89">
        <v>46018</v>
      </c>
      <c r="C1167" s="90">
        <v>2500</v>
      </c>
      <c r="D1167" s="90">
        <v>0</v>
      </c>
      <c r="E1167" s="90" t="s">
        <v>1405</v>
      </c>
      <c r="F1167" s="90" t="s">
        <v>975</v>
      </c>
      <c r="G1167" s="39">
        <v>0.55000000000000004</v>
      </c>
      <c r="H1167" s="90" t="s">
        <v>91</v>
      </c>
      <c r="I1167" s="90" t="s">
        <v>1680</v>
      </c>
      <c r="J1167" s="90"/>
      <c r="K1167" s="90" t="s">
        <v>1404</v>
      </c>
      <c r="L1167" s="90" t="s">
        <v>2484</v>
      </c>
      <c r="M1167" s="90"/>
    </row>
    <row r="1168" spans="1:13" x14ac:dyDescent="0.3">
      <c r="A1168" s="89">
        <v>46018</v>
      </c>
      <c r="B1168" s="89">
        <v>46018</v>
      </c>
      <c r="C1168" s="90">
        <v>120</v>
      </c>
      <c r="D1168" s="90">
        <v>0</v>
      </c>
      <c r="E1168" s="90" t="s">
        <v>1403</v>
      </c>
      <c r="F1168" s="90" t="s">
        <v>975</v>
      </c>
      <c r="G1168" s="39">
        <v>0.55000000000000004</v>
      </c>
      <c r="H1168" s="90" t="s">
        <v>91</v>
      </c>
      <c r="I1168" s="90" t="s">
        <v>1680</v>
      </c>
      <c r="J1168" s="90"/>
      <c r="K1168" s="90" t="s">
        <v>1402</v>
      </c>
      <c r="L1168" s="90" t="s">
        <v>2484</v>
      </c>
      <c r="M1168" s="90"/>
    </row>
    <row r="1169" spans="1:13" x14ac:dyDescent="0.3">
      <c r="A1169" s="101">
        <v>46018</v>
      </c>
      <c r="B1169" s="101">
        <v>46018</v>
      </c>
      <c r="C1169" s="102">
        <v>1450</v>
      </c>
      <c r="D1169" s="102">
        <v>0</v>
      </c>
      <c r="E1169" s="102"/>
      <c r="F1169" s="102" t="s">
        <v>976</v>
      </c>
      <c r="G1169" s="24">
        <v>0.85</v>
      </c>
      <c r="H1169" s="102" t="s">
        <v>1028</v>
      </c>
      <c r="I1169" s="102" t="s">
        <v>1680</v>
      </c>
      <c r="J1169" s="102"/>
      <c r="K1169" s="102" t="s">
        <v>1401</v>
      </c>
      <c r="L1169" s="102" t="s">
        <v>2484</v>
      </c>
      <c r="M1169" s="102"/>
    </row>
    <row r="1170" spans="1:13" x14ac:dyDescent="0.3">
      <c r="A1170" s="101">
        <v>46019</v>
      </c>
      <c r="B1170" s="101">
        <v>46019</v>
      </c>
      <c r="C1170" s="102">
        <v>1450</v>
      </c>
      <c r="D1170" s="102">
        <v>0</v>
      </c>
      <c r="E1170" s="102"/>
      <c r="F1170" s="102" t="s">
        <v>976</v>
      </c>
      <c r="G1170" s="24">
        <v>0.85</v>
      </c>
      <c r="H1170" s="102" t="s">
        <v>1028</v>
      </c>
      <c r="I1170" s="102" t="s">
        <v>1680</v>
      </c>
      <c r="J1170" s="102"/>
      <c r="K1170" s="102" t="s">
        <v>1410</v>
      </c>
      <c r="L1170" s="102" t="s">
        <v>2484</v>
      </c>
      <c r="M1170" s="102"/>
    </row>
    <row r="1171" spans="1:13" x14ac:dyDescent="0.3">
      <c r="A1171" s="22">
        <v>46019.299432870372</v>
      </c>
      <c r="B1171" s="22">
        <v>46019</v>
      </c>
      <c r="C1171" s="23">
        <v>8050</v>
      </c>
      <c r="D1171" s="23">
        <v>0</v>
      </c>
      <c r="E1171" s="23"/>
      <c r="F1171" s="23" t="s">
        <v>2</v>
      </c>
      <c r="G1171" s="24">
        <v>0.96</v>
      </c>
      <c r="H1171" s="23" t="s">
        <v>2</v>
      </c>
      <c r="I1171" s="23" t="s">
        <v>1019</v>
      </c>
      <c r="J1171" s="23"/>
      <c r="K1171" s="23" t="s">
        <v>2383</v>
      </c>
      <c r="L1171" s="23" t="s">
        <v>2483</v>
      </c>
      <c r="M1171" s="23"/>
    </row>
    <row r="1172" spans="1:13" x14ac:dyDescent="0.3">
      <c r="A1172" s="142">
        <v>46020</v>
      </c>
      <c r="B1172" s="142">
        <v>46020</v>
      </c>
      <c r="C1172" s="143">
        <v>0</v>
      </c>
      <c r="D1172" s="143">
        <v>17320.330000000002</v>
      </c>
      <c r="E1172" s="143"/>
      <c r="F1172" s="143" t="s">
        <v>1669</v>
      </c>
      <c r="G1172" s="24">
        <v>0.92</v>
      </c>
      <c r="H1172" s="143" t="s">
        <v>1658</v>
      </c>
      <c r="I1172" s="143" t="s">
        <v>837</v>
      </c>
      <c r="J1172" s="143"/>
      <c r="K1172" s="143" t="s">
        <v>1751</v>
      </c>
      <c r="L1172" s="143" t="s">
        <v>2486</v>
      </c>
      <c r="M1172" s="143"/>
    </row>
    <row r="1173" spans="1:13" x14ac:dyDescent="0.3">
      <c r="A1173" s="27">
        <v>46020</v>
      </c>
      <c r="B1173" s="27">
        <v>46020</v>
      </c>
      <c r="C1173" s="28">
        <v>136.5</v>
      </c>
      <c r="D1173" s="28">
        <v>0</v>
      </c>
      <c r="E1173" s="28"/>
      <c r="F1173" s="28" t="s">
        <v>4</v>
      </c>
      <c r="G1173" s="24">
        <v>0.97</v>
      </c>
      <c r="H1173" s="28" t="s">
        <v>49</v>
      </c>
      <c r="I1173" s="28" t="s">
        <v>1779</v>
      </c>
      <c r="J1173" s="28"/>
      <c r="K1173" s="28" t="s">
        <v>50</v>
      </c>
      <c r="L1173" s="28" t="s">
        <v>2482</v>
      </c>
      <c r="M1173" s="28"/>
    </row>
    <row r="1174" spans="1:13" x14ac:dyDescent="0.3">
      <c r="A1174" s="22">
        <v>46020</v>
      </c>
      <c r="B1174" s="22">
        <v>46020</v>
      </c>
      <c r="C1174" s="23">
        <v>5000</v>
      </c>
      <c r="D1174" s="23">
        <v>0</v>
      </c>
      <c r="E1174" s="23"/>
      <c r="F1174" s="23" t="s">
        <v>2</v>
      </c>
      <c r="G1174" s="24">
        <v>0.95</v>
      </c>
      <c r="H1174" s="23" t="s">
        <v>2</v>
      </c>
      <c r="I1174" s="23" t="s">
        <v>1779</v>
      </c>
      <c r="J1174" s="23"/>
      <c r="K1174" s="23" t="s">
        <v>766</v>
      </c>
      <c r="L1174" s="23" t="s">
        <v>2482</v>
      </c>
      <c r="M1174" s="23"/>
    </row>
    <row r="1175" spans="1:13" x14ac:dyDescent="0.3">
      <c r="A1175" s="83">
        <v>46020</v>
      </c>
      <c r="B1175" s="83">
        <v>46020</v>
      </c>
      <c r="C1175" s="84">
        <v>0</v>
      </c>
      <c r="D1175" s="84">
        <v>60.72</v>
      </c>
      <c r="E1175" s="84"/>
      <c r="F1175" s="84" t="s">
        <v>973</v>
      </c>
      <c r="G1175" s="24">
        <v>0.92</v>
      </c>
      <c r="H1175" s="84" t="s">
        <v>1014</v>
      </c>
      <c r="I1175" s="84" t="s">
        <v>1680</v>
      </c>
      <c r="J1175" s="84"/>
      <c r="K1175" s="84" t="s">
        <v>1414</v>
      </c>
      <c r="L1175" s="84" t="s">
        <v>2484</v>
      </c>
      <c r="M1175" s="84"/>
    </row>
    <row r="1176" spans="1:13" x14ac:dyDescent="0.3">
      <c r="A1176" s="83">
        <v>46020</v>
      </c>
      <c r="B1176" s="83">
        <v>46020</v>
      </c>
      <c r="C1176" s="84">
        <v>0</v>
      </c>
      <c r="D1176" s="84">
        <v>1900</v>
      </c>
      <c r="E1176" s="84"/>
      <c r="F1176" s="84" t="s">
        <v>973</v>
      </c>
      <c r="G1176" s="24">
        <v>0.92</v>
      </c>
      <c r="H1176" s="84" t="s">
        <v>1014</v>
      </c>
      <c r="I1176" s="84" t="s">
        <v>1680</v>
      </c>
      <c r="J1176" s="84"/>
      <c r="K1176" s="84" t="s">
        <v>1415</v>
      </c>
      <c r="L1176" s="84" t="s">
        <v>2484</v>
      </c>
      <c r="M1176" s="84"/>
    </row>
    <row r="1177" spans="1:13" x14ac:dyDescent="0.3">
      <c r="A1177" s="83">
        <v>46020</v>
      </c>
      <c r="B1177" s="83">
        <v>46020</v>
      </c>
      <c r="C1177" s="84">
        <v>0</v>
      </c>
      <c r="D1177" s="84">
        <v>10.72</v>
      </c>
      <c r="E1177" s="84"/>
      <c r="F1177" s="84" t="s">
        <v>973</v>
      </c>
      <c r="G1177" s="24">
        <v>0.92</v>
      </c>
      <c r="H1177" s="84" t="s">
        <v>1014</v>
      </c>
      <c r="I1177" s="84" t="s">
        <v>1680</v>
      </c>
      <c r="J1177" s="84"/>
      <c r="K1177" s="84" t="s">
        <v>1416</v>
      </c>
      <c r="L1177" s="84" t="s">
        <v>2484</v>
      </c>
      <c r="M1177" s="84"/>
    </row>
    <row r="1178" spans="1:13" x14ac:dyDescent="0.3">
      <c r="A1178" s="89">
        <v>46020</v>
      </c>
      <c r="B1178" s="89">
        <v>46020</v>
      </c>
      <c r="C1178" s="90">
        <v>150</v>
      </c>
      <c r="D1178" s="90">
        <v>0</v>
      </c>
      <c r="E1178" s="90" t="s">
        <v>1413</v>
      </c>
      <c r="F1178" s="90" t="s">
        <v>975</v>
      </c>
      <c r="G1178" s="39">
        <v>0.55000000000000004</v>
      </c>
      <c r="H1178" s="90" t="s">
        <v>91</v>
      </c>
      <c r="I1178" s="90" t="s">
        <v>1680</v>
      </c>
      <c r="J1178" s="90"/>
      <c r="K1178" s="90" t="s">
        <v>1412</v>
      </c>
      <c r="L1178" s="90" t="s">
        <v>2484</v>
      </c>
      <c r="M1178" s="90"/>
    </row>
    <row r="1179" spans="1:13" x14ac:dyDescent="0.3">
      <c r="A1179" s="101">
        <v>46020</v>
      </c>
      <c r="B1179" s="101">
        <v>46020</v>
      </c>
      <c r="C1179" s="102">
        <v>1450</v>
      </c>
      <c r="D1179" s="102">
        <v>0</v>
      </c>
      <c r="E1179" s="102"/>
      <c r="F1179" s="102" t="s">
        <v>976</v>
      </c>
      <c r="G1179" s="24">
        <v>0.85</v>
      </c>
      <c r="H1179" s="102" t="s">
        <v>1028</v>
      </c>
      <c r="I1179" s="102" t="s">
        <v>1680</v>
      </c>
      <c r="J1179" s="102"/>
      <c r="K1179" s="102" t="s">
        <v>1411</v>
      </c>
      <c r="L1179" s="102" t="s">
        <v>2484</v>
      </c>
      <c r="M1179" s="102"/>
    </row>
    <row r="1180" spans="1:13" x14ac:dyDescent="0.3">
      <c r="A1180" s="27">
        <v>46020</v>
      </c>
      <c r="B1180" s="27">
        <v>46020</v>
      </c>
      <c r="C1180" s="28">
        <v>2014.32</v>
      </c>
      <c r="D1180" s="28">
        <v>0</v>
      </c>
      <c r="E1180" s="28"/>
      <c r="F1180" s="28" t="s">
        <v>4</v>
      </c>
      <c r="G1180" s="24">
        <v>0.97</v>
      </c>
      <c r="H1180" s="28" t="s">
        <v>49</v>
      </c>
      <c r="I1180" s="28" t="s">
        <v>1779</v>
      </c>
      <c r="J1180" s="28"/>
      <c r="K1180" s="28" t="s">
        <v>50</v>
      </c>
      <c r="L1180" s="28" t="s">
        <v>2482</v>
      </c>
      <c r="M1180" s="28"/>
    </row>
    <row r="1181" spans="1:13" x14ac:dyDescent="0.3">
      <c r="A1181" s="101">
        <v>46021</v>
      </c>
      <c r="B1181" s="101">
        <v>46021</v>
      </c>
      <c r="C1181" s="102">
        <v>1450</v>
      </c>
      <c r="D1181" s="102">
        <v>0</v>
      </c>
      <c r="E1181" s="102"/>
      <c r="F1181" s="102" t="s">
        <v>976</v>
      </c>
      <c r="G1181" s="24">
        <v>0.85</v>
      </c>
      <c r="H1181" s="102" t="s">
        <v>1028</v>
      </c>
      <c r="I1181" s="102" t="s">
        <v>837</v>
      </c>
      <c r="J1181" s="102"/>
      <c r="K1181" s="102" t="s">
        <v>1752</v>
      </c>
      <c r="L1181" s="102" t="s">
        <v>2486</v>
      </c>
      <c r="M1181" s="102"/>
    </row>
    <row r="1182" spans="1:13" x14ac:dyDescent="0.3">
      <c r="A1182" s="22">
        <v>46021</v>
      </c>
      <c r="B1182" s="22">
        <v>46021</v>
      </c>
      <c r="C1182" s="23">
        <v>5000</v>
      </c>
      <c r="D1182" s="23">
        <v>0</v>
      </c>
      <c r="E1182" s="23"/>
      <c r="F1182" s="23" t="s">
        <v>2</v>
      </c>
      <c r="G1182" s="24">
        <v>0.95</v>
      </c>
      <c r="H1182" s="23" t="s">
        <v>2</v>
      </c>
      <c r="I1182" s="23" t="s">
        <v>1779</v>
      </c>
      <c r="J1182" s="23"/>
      <c r="K1182" s="23" t="s">
        <v>770</v>
      </c>
      <c r="L1182" s="23" t="s">
        <v>2482</v>
      </c>
      <c r="M1182" s="23"/>
    </row>
    <row r="1183" spans="1:13" x14ac:dyDescent="0.3">
      <c r="A1183" s="27">
        <v>46021</v>
      </c>
      <c r="B1183" s="27">
        <v>46021</v>
      </c>
      <c r="C1183" s="28">
        <v>31.21</v>
      </c>
      <c r="D1183" s="28">
        <v>0</v>
      </c>
      <c r="E1183" s="28"/>
      <c r="F1183" s="28" t="s">
        <v>4</v>
      </c>
      <c r="G1183" s="24">
        <v>0.97</v>
      </c>
      <c r="H1183" s="28" t="s">
        <v>49</v>
      </c>
      <c r="I1183" s="28" t="s">
        <v>1779</v>
      </c>
      <c r="J1183" s="28"/>
      <c r="K1183" s="28" t="s">
        <v>50</v>
      </c>
      <c r="L1183" s="28" t="s">
        <v>2482</v>
      </c>
      <c r="M1183" s="28"/>
    </row>
    <row r="1184" spans="1:13" x14ac:dyDescent="0.3">
      <c r="A1184" s="83">
        <v>46021</v>
      </c>
      <c r="B1184" s="83">
        <v>46021</v>
      </c>
      <c r="C1184" s="84">
        <v>7554.5</v>
      </c>
      <c r="D1184" s="84">
        <v>0</v>
      </c>
      <c r="E1184" s="84"/>
      <c r="F1184" s="84" t="s">
        <v>973</v>
      </c>
      <c r="G1184" s="24">
        <v>0.88</v>
      </c>
      <c r="H1184" s="84" t="s">
        <v>1014</v>
      </c>
      <c r="I1184" s="84" t="s">
        <v>1680</v>
      </c>
      <c r="J1184" s="84"/>
      <c r="K1184" s="84" t="s">
        <v>1417</v>
      </c>
      <c r="L1184" s="84" t="s">
        <v>2484</v>
      </c>
      <c r="M1184" s="84"/>
    </row>
    <row r="1185" spans="1:13" x14ac:dyDescent="0.3">
      <c r="A1185" s="89">
        <v>46021</v>
      </c>
      <c r="B1185" s="89">
        <v>46021</v>
      </c>
      <c r="C1185" s="90">
        <v>3158</v>
      </c>
      <c r="D1185" s="90">
        <v>0</v>
      </c>
      <c r="E1185" s="90" t="s">
        <v>1754</v>
      </c>
      <c r="F1185" s="90" t="s">
        <v>975</v>
      </c>
      <c r="G1185" s="39">
        <v>0.55000000000000004</v>
      </c>
      <c r="H1185" s="90" t="s">
        <v>91</v>
      </c>
      <c r="I1185" s="90" t="s">
        <v>837</v>
      </c>
      <c r="J1185" s="90"/>
      <c r="K1185" s="90" t="s">
        <v>1753</v>
      </c>
      <c r="L1185" s="90" t="s">
        <v>2486</v>
      </c>
      <c r="M1185" s="90"/>
    </row>
    <row r="1186" spans="1:13" x14ac:dyDescent="0.3">
      <c r="A1186" s="85">
        <v>46021</v>
      </c>
      <c r="B1186" s="85">
        <v>46021</v>
      </c>
      <c r="C1186" s="86">
        <v>4000</v>
      </c>
      <c r="D1186" s="86">
        <v>0</v>
      </c>
      <c r="E1186" s="86"/>
      <c r="F1186" s="86" t="s">
        <v>974</v>
      </c>
      <c r="G1186" s="24">
        <v>0.88</v>
      </c>
      <c r="H1186" s="86" t="s">
        <v>1019</v>
      </c>
      <c r="I1186" s="86" t="s">
        <v>837</v>
      </c>
      <c r="J1186" s="86"/>
      <c r="K1186" s="86" t="s">
        <v>1755</v>
      </c>
      <c r="L1186" s="86" t="s">
        <v>2486</v>
      </c>
      <c r="M1186" s="86"/>
    </row>
    <row r="1187" spans="1:13" x14ac:dyDescent="0.3">
      <c r="A1187" s="27">
        <v>46021.877453703702</v>
      </c>
      <c r="B1187" s="27">
        <v>46021</v>
      </c>
      <c r="C1187" s="28">
        <v>0</v>
      </c>
      <c r="D1187" s="28">
        <v>4000</v>
      </c>
      <c r="E1187" s="28"/>
      <c r="F1187" s="28" t="s">
        <v>30</v>
      </c>
      <c r="G1187" s="24">
        <v>0.95</v>
      </c>
      <c r="H1187" s="28" t="s">
        <v>837</v>
      </c>
      <c r="I1187" s="28" t="s">
        <v>1019</v>
      </c>
      <c r="J1187" s="28"/>
      <c r="K1187" s="28" t="s">
        <v>2385</v>
      </c>
      <c r="L1187" s="28" t="s">
        <v>2483</v>
      </c>
      <c r="M1187" s="28"/>
    </row>
    <row r="1188" spans="1:13" x14ac:dyDescent="0.3">
      <c r="A1188" s="101">
        <v>46022</v>
      </c>
      <c r="B1188" s="101">
        <v>46022</v>
      </c>
      <c r="C1188" s="102">
        <v>1500</v>
      </c>
      <c r="D1188" s="102">
        <v>0</v>
      </c>
      <c r="E1188" s="102"/>
      <c r="F1188" s="102" t="s">
        <v>976</v>
      </c>
      <c r="G1188" s="24">
        <v>0.85</v>
      </c>
      <c r="H1188" s="102" t="s">
        <v>1028</v>
      </c>
      <c r="I1188" s="102" t="s">
        <v>837</v>
      </c>
      <c r="J1188" s="102"/>
      <c r="K1188" s="102" t="s">
        <v>1756</v>
      </c>
      <c r="L1188" s="102" t="s">
        <v>2486</v>
      </c>
      <c r="M1188" s="102"/>
    </row>
    <row r="1189" spans="1:13" x14ac:dyDescent="0.3">
      <c r="A1189" s="89">
        <v>46022</v>
      </c>
      <c r="B1189" s="89">
        <v>46022</v>
      </c>
      <c r="C1189" s="90">
        <v>35</v>
      </c>
      <c r="D1189" s="90">
        <v>0</v>
      </c>
      <c r="E1189" s="90" t="s">
        <v>1760</v>
      </c>
      <c r="F1189" s="90" t="s">
        <v>975</v>
      </c>
      <c r="G1189" s="39">
        <v>0.55000000000000004</v>
      </c>
      <c r="H1189" s="90" t="s">
        <v>91</v>
      </c>
      <c r="I1189" s="90" t="s">
        <v>837</v>
      </c>
      <c r="J1189" s="90"/>
      <c r="K1189" s="90" t="s">
        <v>1759</v>
      </c>
      <c r="L1189" s="90" t="s">
        <v>2486</v>
      </c>
      <c r="M1189" s="90"/>
    </row>
    <row r="1190" spans="1:13" x14ac:dyDescent="0.3">
      <c r="A1190" s="103">
        <v>46022</v>
      </c>
      <c r="B1190" s="103">
        <v>46022</v>
      </c>
      <c r="C1190" s="104">
        <v>52</v>
      </c>
      <c r="D1190" s="104">
        <v>0</v>
      </c>
      <c r="E1190" s="104"/>
      <c r="F1190" s="104" t="s">
        <v>983</v>
      </c>
      <c r="G1190" s="40">
        <v>0.82</v>
      </c>
      <c r="H1190" s="104" t="s">
        <v>131</v>
      </c>
      <c r="I1190" s="104" t="s">
        <v>837</v>
      </c>
      <c r="J1190" s="104"/>
      <c r="K1190" s="104" t="s">
        <v>1761</v>
      </c>
      <c r="L1190" s="104" t="s">
        <v>2486</v>
      </c>
      <c r="M1190" s="104"/>
    </row>
    <row r="1191" spans="1:13" x14ac:dyDescent="0.3">
      <c r="A1191" s="89">
        <v>46022</v>
      </c>
      <c r="B1191" s="89">
        <v>46022</v>
      </c>
      <c r="C1191" s="90">
        <v>140</v>
      </c>
      <c r="D1191" s="90">
        <v>0</v>
      </c>
      <c r="E1191" s="90" t="s">
        <v>1758</v>
      </c>
      <c r="F1191" s="90" t="s">
        <v>975</v>
      </c>
      <c r="G1191" s="39">
        <v>0.55000000000000004</v>
      </c>
      <c r="H1191" s="90" t="s">
        <v>91</v>
      </c>
      <c r="I1191" s="90" t="s">
        <v>837</v>
      </c>
      <c r="J1191" s="90"/>
      <c r="K1191" s="90" t="s">
        <v>1757</v>
      </c>
      <c r="L1191" s="90" t="s">
        <v>2486</v>
      </c>
      <c r="M1191" s="90"/>
    </row>
    <row r="1192" spans="1:13" x14ac:dyDescent="0.3">
      <c r="A1192" s="55">
        <v>46023</v>
      </c>
      <c r="B1192" s="55">
        <v>46023</v>
      </c>
      <c r="C1192" s="56">
        <v>0</v>
      </c>
      <c r="D1192" s="56">
        <v>410</v>
      </c>
      <c r="E1192" s="56"/>
      <c r="F1192" s="56" t="s">
        <v>22</v>
      </c>
      <c r="G1192" s="24">
        <v>0.93</v>
      </c>
      <c r="H1192" s="56" t="s">
        <v>22</v>
      </c>
      <c r="I1192" s="56" t="s">
        <v>1680</v>
      </c>
      <c r="J1192" s="56"/>
      <c r="K1192" s="56" t="s">
        <v>1424</v>
      </c>
      <c r="L1192" s="56" t="s">
        <v>2484</v>
      </c>
      <c r="M1192" s="56"/>
    </row>
    <row r="1193" spans="1:13" x14ac:dyDescent="0.3">
      <c r="A1193" s="41">
        <v>46023</v>
      </c>
      <c r="B1193" s="41">
        <v>46023</v>
      </c>
      <c r="C1193" s="42">
        <v>578</v>
      </c>
      <c r="D1193" s="42">
        <v>0</v>
      </c>
      <c r="E1193" s="42"/>
      <c r="F1193" s="42" t="s">
        <v>997</v>
      </c>
      <c r="G1193" s="40">
        <v>0.68</v>
      </c>
      <c r="H1193" s="42" t="s">
        <v>131</v>
      </c>
      <c r="I1193" s="42" t="s">
        <v>1680</v>
      </c>
      <c r="J1193" s="42"/>
      <c r="K1193" s="42" t="s">
        <v>1419</v>
      </c>
      <c r="L1193" s="42" t="s">
        <v>2484</v>
      </c>
      <c r="M1193" s="42"/>
    </row>
    <row r="1194" spans="1:13" x14ac:dyDescent="0.3">
      <c r="A1194" s="101">
        <v>46023</v>
      </c>
      <c r="B1194" s="101">
        <v>46023</v>
      </c>
      <c r="C1194" s="102">
        <v>1500</v>
      </c>
      <c r="D1194" s="102">
        <v>0</v>
      </c>
      <c r="E1194" s="102"/>
      <c r="F1194" s="102" t="s">
        <v>976</v>
      </c>
      <c r="G1194" s="24">
        <v>0.85</v>
      </c>
      <c r="H1194" s="102" t="s">
        <v>1028</v>
      </c>
      <c r="I1194" s="102" t="s">
        <v>1680</v>
      </c>
      <c r="J1194" s="102"/>
      <c r="K1194" s="102" t="s">
        <v>1418</v>
      </c>
      <c r="L1194" s="102" t="s">
        <v>2484</v>
      </c>
      <c r="M1194" s="102"/>
    </row>
    <row r="1195" spans="1:13" x14ac:dyDescent="0.3">
      <c r="A1195" s="78">
        <v>46023</v>
      </c>
      <c r="B1195" s="78">
        <v>46023</v>
      </c>
      <c r="C1195" s="79">
        <v>0</v>
      </c>
      <c r="D1195" s="79">
        <v>96180</v>
      </c>
      <c r="E1195" s="79"/>
      <c r="F1195" s="79" t="s">
        <v>972</v>
      </c>
      <c r="G1195" s="24">
        <v>0.97</v>
      </c>
      <c r="H1195" s="79" t="s">
        <v>972</v>
      </c>
      <c r="I1195" s="79" t="s">
        <v>1680</v>
      </c>
      <c r="J1195" s="79"/>
      <c r="K1195" s="79" t="s">
        <v>1420</v>
      </c>
      <c r="L1195" s="79" t="s">
        <v>2484</v>
      </c>
      <c r="M1195" s="79"/>
    </row>
    <row r="1196" spans="1:13" x14ac:dyDescent="0.3">
      <c r="A1196" s="83">
        <v>46023</v>
      </c>
      <c r="B1196" s="83">
        <v>46023</v>
      </c>
      <c r="C1196" s="84">
        <v>1088.5999999999999</v>
      </c>
      <c r="D1196" s="84">
        <v>0</v>
      </c>
      <c r="E1196" s="84"/>
      <c r="F1196" s="84" t="s">
        <v>973</v>
      </c>
      <c r="G1196" s="24">
        <v>0.88</v>
      </c>
      <c r="H1196" s="84" t="s">
        <v>1014</v>
      </c>
      <c r="I1196" s="84" t="s">
        <v>1680</v>
      </c>
      <c r="J1196" s="84"/>
      <c r="K1196" s="84" t="s">
        <v>1421</v>
      </c>
      <c r="L1196" s="84" t="s">
        <v>2484</v>
      </c>
      <c r="M1196" s="84"/>
    </row>
    <row r="1197" spans="1:13" x14ac:dyDescent="0.3">
      <c r="A1197" s="89">
        <v>46023</v>
      </c>
      <c r="B1197" s="89">
        <v>46023</v>
      </c>
      <c r="C1197" s="90">
        <v>240</v>
      </c>
      <c r="D1197" s="90">
        <v>0</v>
      </c>
      <c r="E1197" s="90" t="s">
        <v>1423</v>
      </c>
      <c r="F1197" s="90" t="s">
        <v>975</v>
      </c>
      <c r="G1197" s="39">
        <v>0.55000000000000004</v>
      </c>
      <c r="H1197" s="90" t="s">
        <v>91</v>
      </c>
      <c r="I1197" s="90" t="s">
        <v>1680</v>
      </c>
      <c r="J1197" s="90"/>
      <c r="K1197" s="90" t="s">
        <v>1422</v>
      </c>
      <c r="L1197" s="90" t="s">
        <v>2484</v>
      </c>
      <c r="M1197" s="90"/>
    </row>
    <row r="1198" spans="1:13" x14ac:dyDescent="0.3">
      <c r="A1198" s="27">
        <v>46023</v>
      </c>
      <c r="B1198" s="27">
        <v>46023</v>
      </c>
      <c r="C1198" s="28">
        <v>70.89</v>
      </c>
      <c r="D1198" s="28">
        <v>0</v>
      </c>
      <c r="E1198" s="28"/>
      <c r="F1198" s="28" t="s">
        <v>4</v>
      </c>
      <c r="G1198" s="24">
        <v>0.97</v>
      </c>
      <c r="H1198" s="28" t="s">
        <v>49</v>
      </c>
      <c r="I1198" s="28" t="s">
        <v>1779</v>
      </c>
      <c r="J1198" s="28"/>
      <c r="K1198" s="28" t="s">
        <v>50</v>
      </c>
      <c r="L1198" s="28" t="s">
        <v>2482</v>
      </c>
      <c r="M1198" s="28"/>
    </row>
    <row r="1199" spans="1:13" x14ac:dyDescent="0.3">
      <c r="A1199" s="55">
        <v>46023</v>
      </c>
      <c r="B1199" s="55">
        <v>46022</v>
      </c>
      <c r="C1199" s="56">
        <v>0</v>
      </c>
      <c r="D1199" s="56">
        <v>253</v>
      </c>
      <c r="E1199" s="56"/>
      <c r="F1199" s="56" t="s">
        <v>22</v>
      </c>
      <c r="G1199" s="24">
        <v>0.95</v>
      </c>
      <c r="H1199" s="56" t="s">
        <v>22</v>
      </c>
      <c r="I1199" s="56" t="s">
        <v>1779</v>
      </c>
      <c r="J1199" s="56"/>
      <c r="K1199" s="56" t="s">
        <v>773</v>
      </c>
      <c r="L1199" s="56" t="s">
        <v>2482</v>
      </c>
      <c r="M1199" s="56"/>
    </row>
    <row r="1200" spans="1:13" x14ac:dyDescent="0.3">
      <c r="A1200" s="25">
        <v>46023</v>
      </c>
      <c r="B1200" s="25">
        <v>46023</v>
      </c>
      <c r="C1200" s="26">
        <v>0</v>
      </c>
      <c r="D1200" s="26">
        <v>8894.89</v>
      </c>
      <c r="E1200" s="26"/>
      <c r="F1200" s="26" t="s">
        <v>3</v>
      </c>
      <c r="G1200" s="24">
        <v>0.93</v>
      </c>
      <c r="H1200" s="26" t="s">
        <v>49</v>
      </c>
      <c r="I1200" s="26" t="s">
        <v>1779</v>
      </c>
      <c r="J1200" s="26"/>
      <c r="K1200" s="26" t="s">
        <v>776</v>
      </c>
      <c r="L1200" s="26" t="s">
        <v>2482</v>
      </c>
      <c r="M1200" s="26"/>
    </row>
    <row r="1201" spans="1:13" x14ac:dyDescent="0.3">
      <c r="A1201" s="25">
        <v>46023</v>
      </c>
      <c r="B1201" s="25">
        <v>46023</v>
      </c>
      <c r="C1201" s="26">
        <v>0</v>
      </c>
      <c r="D1201" s="26">
        <v>27977.29</v>
      </c>
      <c r="E1201" s="26"/>
      <c r="F1201" s="26" t="s">
        <v>3</v>
      </c>
      <c r="G1201" s="24">
        <v>0.93</v>
      </c>
      <c r="H1201" s="26" t="s">
        <v>49</v>
      </c>
      <c r="I1201" s="26" t="s">
        <v>1779</v>
      </c>
      <c r="J1201" s="26"/>
      <c r="K1201" s="26" t="s">
        <v>774</v>
      </c>
      <c r="L1201" s="26" t="s">
        <v>2482</v>
      </c>
      <c r="M1201" s="26"/>
    </row>
    <row r="1202" spans="1:13" x14ac:dyDescent="0.3">
      <c r="A1202" s="130">
        <v>46023</v>
      </c>
      <c r="B1202" s="130">
        <v>46023</v>
      </c>
      <c r="C1202" s="131">
        <v>320</v>
      </c>
      <c r="D1202" s="131">
        <v>0</v>
      </c>
      <c r="E1202" s="131"/>
      <c r="F1202" s="131" t="s">
        <v>1657</v>
      </c>
      <c r="G1202" s="40">
        <v>0.65</v>
      </c>
      <c r="H1202" s="131" t="s">
        <v>91</v>
      </c>
      <c r="I1202" s="131" t="s">
        <v>837</v>
      </c>
      <c r="J1202" s="131"/>
      <c r="K1202" s="131" t="s">
        <v>1762</v>
      </c>
      <c r="L1202" s="131" t="s">
        <v>2486</v>
      </c>
      <c r="M1202" s="131"/>
    </row>
    <row r="1203" spans="1:13" x14ac:dyDescent="0.3">
      <c r="A1203" s="89">
        <v>46023</v>
      </c>
      <c r="B1203" s="89">
        <v>46023</v>
      </c>
      <c r="C1203" s="90">
        <v>119</v>
      </c>
      <c r="D1203" s="90">
        <v>0</v>
      </c>
      <c r="E1203" s="90" t="s">
        <v>1764</v>
      </c>
      <c r="F1203" s="90" t="s">
        <v>975</v>
      </c>
      <c r="G1203" s="39">
        <v>0.55000000000000004</v>
      </c>
      <c r="H1203" s="90" t="s">
        <v>91</v>
      </c>
      <c r="I1203" s="90" t="s">
        <v>837</v>
      </c>
      <c r="J1203" s="90"/>
      <c r="K1203" s="90" t="s">
        <v>1763</v>
      </c>
      <c r="L1203" s="90" t="s">
        <v>2486</v>
      </c>
      <c r="M1203" s="90"/>
    </row>
    <row r="1204" spans="1:13" x14ac:dyDescent="0.3">
      <c r="A1204" s="55">
        <v>46023.213518518518</v>
      </c>
      <c r="B1204" s="55">
        <v>46022</v>
      </c>
      <c r="C1204" s="56">
        <v>0</v>
      </c>
      <c r="D1204" s="56">
        <v>66</v>
      </c>
      <c r="E1204" s="56"/>
      <c r="F1204" s="56" t="s">
        <v>22</v>
      </c>
      <c r="G1204" s="24">
        <v>0.95</v>
      </c>
      <c r="H1204" s="56" t="s">
        <v>22</v>
      </c>
      <c r="I1204" s="56" t="s">
        <v>1019</v>
      </c>
      <c r="J1204" s="56"/>
      <c r="K1204" s="56" t="s">
        <v>2387</v>
      </c>
      <c r="L1204" s="56" t="s">
        <v>2483</v>
      </c>
      <c r="M1204" s="56"/>
    </row>
    <row r="1205" spans="1:13" x14ac:dyDescent="0.3">
      <c r="A1205" s="89">
        <v>46024</v>
      </c>
      <c r="B1205" s="89">
        <v>46024</v>
      </c>
      <c r="C1205" s="90">
        <v>70</v>
      </c>
      <c r="D1205" s="90">
        <v>0</v>
      </c>
      <c r="E1205" s="90" t="s">
        <v>1429</v>
      </c>
      <c r="F1205" s="90" t="s">
        <v>975</v>
      </c>
      <c r="G1205" s="39">
        <v>0.55000000000000004</v>
      </c>
      <c r="H1205" s="90" t="s">
        <v>91</v>
      </c>
      <c r="I1205" s="90" t="s">
        <v>1680</v>
      </c>
      <c r="J1205" s="90"/>
      <c r="K1205" s="90" t="s">
        <v>1428</v>
      </c>
      <c r="L1205" s="90" t="s">
        <v>2484</v>
      </c>
      <c r="M1205" s="90"/>
    </row>
    <row r="1206" spans="1:13" x14ac:dyDescent="0.3">
      <c r="A1206" s="111">
        <v>46024</v>
      </c>
      <c r="B1206" s="111">
        <v>46024</v>
      </c>
      <c r="C1206" s="112">
        <v>75000</v>
      </c>
      <c r="D1206" s="112">
        <v>0</v>
      </c>
      <c r="E1206" s="112"/>
      <c r="F1206" s="112" t="s">
        <v>996</v>
      </c>
      <c r="G1206" s="24">
        <v>0.9</v>
      </c>
      <c r="H1206" s="112" t="s">
        <v>996</v>
      </c>
      <c r="I1206" s="112" t="s">
        <v>1680</v>
      </c>
      <c r="J1206" s="112"/>
      <c r="K1206" s="112" t="s">
        <v>1427</v>
      </c>
      <c r="L1206" s="112" t="s">
        <v>2484</v>
      </c>
      <c r="M1206" s="112"/>
    </row>
    <row r="1207" spans="1:13" x14ac:dyDescent="0.3">
      <c r="A1207" s="111">
        <v>46024</v>
      </c>
      <c r="B1207" s="111">
        <v>46024</v>
      </c>
      <c r="C1207" s="112">
        <v>1000</v>
      </c>
      <c r="D1207" s="112">
        <v>0</v>
      </c>
      <c r="E1207" s="112"/>
      <c r="F1207" s="112" t="s">
        <v>996</v>
      </c>
      <c r="G1207" s="24">
        <v>0.9</v>
      </c>
      <c r="H1207" s="112" t="s">
        <v>996</v>
      </c>
      <c r="I1207" s="112" t="s">
        <v>1680</v>
      </c>
      <c r="J1207" s="112"/>
      <c r="K1207" s="112" t="s">
        <v>1426</v>
      </c>
      <c r="L1207" s="112" t="s">
        <v>2484</v>
      </c>
      <c r="M1207" s="112"/>
    </row>
    <row r="1208" spans="1:13" x14ac:dyDescent="0.3">
      <c r="A1208" s="89">
        <v>46024</v>
      </c>
      <c r="B1208" s="89">
        <v>46024</v>
      </c>
      <c r="C1208" s="90">
        <v>40</v>
      </c>
      <c r="D1208" s="90">
        <v>0</v>
      </c>
      <c r="E1208" s="90" t="s">
        <v>1435</v>
      </c>
      <c r="F1208" s="90" t="s">
        <v>975</v>
      </c>
      <c r="G1208" s="39">
        <v>0.55000000000000004</v>
      </c>
      <c r="H1208" s="90" t="s">
        <v>91</v>
      </c>
      <c r="I1208" s="90" t="s">
        <v>1680</v>
      </c>
      <c r="J1208" s="90"/>
      <c r="K1208" s="90" t="s">
        <v>1434</v>
      </c>
      <c r="L1208" s="90" t="s">
        <v>2484</v>
      </c>
      <c r="M1208" s="90"/>
    </row>
    <row r="1209" spans="1:13" x14ac:dyDescent="0.3">
      <c r="A1209" s="89">
        <v>46024</v>
      </c>
      <c r="B1209" s="89">
        <v>46024</v>
      </c>
      <c r="C1209" s="90">
        <v>140</v>
      </c>
      <c r="D1209" s="90">
        <v>0</v>
      </c>
      <c r="E1209" s="90" t="s">
        <v>1437</v>
      </c>
      <c r="F1209" s="90" t="s">
        <v>975</v>
      </c>
      <c r="G1209" s="39">
        <v>0.55000000000000004</v>
      </c>
      <c r="H1209" s="90" t="s">
        <v>91</v>
      </c>
      <c r="I1209" s="90" t="s">
        <v>1680</v>
      </c>
      <c r="J1209" s="90"/>
      <c r="K1209" s="90" t="s">
        <v>1436</v>
      </c>
      <c r="L1209" s="90" t="s">
        <v>2484</v>
      </c>
      <c r="M1209" s="90"/>
    </row>
    <row r="1210" spans="1:13" x14ac:dyDescent="0.3">
      <c r="A1210" s="130">
        <v>46024</v>
      </c>
      <c r="B1210" s="130">
        <v>46024</v>
      </c>
      <c r="C1210" s="131">
        <v>30</v>
      </c>
      <c r="D1210" s="131">
        <v>0</v>
      </c>
      <c r="E1210" s="131"/>
      <c r="F1210" s="131" t="s">
        <v>1657</v>
      </c>
      <c r="G1210" s="40">
        <v>0.65</v>
      </c>
      <c r="H1210" s="131" t="s">
        <v>91</v>
      </c>
      <c r="I1210" s="131" t="s">
        <v>837</v>
      </c>
      <c r="J1210" s="131"/>
      <c r="K1210" s="131" t="s">
        <v>1765</v>
      </c>
      <c r="L1210" s="131" t="s">
        <v>2486</v>
      </c>
      <c r="M1210" s="131"/>
    </row>
    <row r="1211" spans="1:13" x14ac:dyDescent="0.3">
      <c r="A1211" s="136">
        <v>46024</v>
      </c>
      <c r="B1211" s="136">
        <v>46024</v>
      </c>
      <c r="C1211" s="137">
        <v>160</v>
      </c>
      <c r="D1211" s="137">
        <v>0</v>
      </c>
      <c r="E1211" s="137"/>
      <c r="F1211" s="137" t="s">
        <v>1661</v>
      </c>
      <c r="G1211" s="40">
        <v>0.65</v>
      </c>
      <c r="H1211" s="137" t="s">
        <v>91</v>
      </c>
      <c r="I1211" s="137" t="s">
        <v>837</v>
      </c>
      <c r="J1211" s="137"/>
      <c r="K1211" s="137" t="s">
        <v>1766</v>
      </c>
      <c r="L1211" s="137" t="s">
        <v>2486</v>
      </c>
      <c r="M1211" s="137"/>
    </row>
    <row r="1212" spans="1:13" x14ac:dyDescent="0.3">
      <c r="A1212" s="130">
        <v>46024</v>
      </c>
      <c r="B1212" s="130">
        <v>46024</v>
      </c>
      <c r="C1212" s="131">
        <v>100</v>
      </c>
      <c r="D1212" s="131">
        <v>0</v>
      </c>
      <c r="E1212" s="131"/>
      <c r="F1212" s="131" t="s">
        <v>1657</v>
      </c>
      <c r="G1212" s="40">
        <v>0.65</v>
      </c>
      <c r="H1212" s="131" t="s">
        <v>91</v>
      </c>
      <c r="I1212" s="131" t="s">
        <v>837</v>
      </c>
      <c r="J1212" s="131"/>
      <c r="K1212" s="131" t="s">
        <v>1767</v>
      </c>
      <c r="L1212" s="131" t="s">
        <v>2486</v>
      </c>
      <c r="M1212" s="131"/>
    </row>
    <row r="1213" spans="1:13" x14ac:dyDescent="0.3">
      <c r="A1213" s="89">
        <v>46024</v>
      </c>
      <c r="B1213" s="89">
        <v>46024</v>
      </c>
      <c r="C1213" s="90">
        <v>80</v>
      </c>
      <c r="D1213" s="90">
        <v>0</v>
      </c>
      <c r="E1213" s="90" t="s">
        <v>1433</v>
      </c>
      <c r="F1213" s="90" t="s">
        <v>975</v>
      </c>
      <c r="G1213" s="39">
        <v>0.55000000000000004</v>
      </c>
      <c r="H1213" s="90" t="s">
        <v>91</v>
      </c>
      <c r="I1213" s="90" t="s">
        <v>1680</v>
      </c>
      <c r="J1213" s="90"/>
      <c r="K1213" s="90" t="s">
        <v>1432</v>
      </c>
      <c r="L1213" s="90" t="s">
        <v>2484</v>
      </c>
      <c r="M1213" s="90"/>
    </row>
    <row r="1214" spans="1:13" x14ac:dyDescent="0.3">
      <c r="A1214" s="130">
        <v>46024</v>
      </c>
      <c r="B1214" s="130">
        <v>46024</v>
      </c>
      <c r="C1214" s="131">
        <v>63</v>
      </c>
      <c r="D1214" s="131">
        <v>0</v>
      </c>
      <c r="E1214" s="131"/>
      <c r="F1214" s="131" t="s">
        <v>1657</v>
      </c>
      <c r="G1214" s="40">
        <v>0.65</v>
      </c>
      <c r="H1214" s="131" t="s">
        <v>91</v>
      </c>
      <c r="I1214" s="131" t="s">
        <v>837</v>
      </c>
      <c r="J1214" s="131"/>
      <c r="K1214" s="131" t="s">
        <v>1768</v>
      </c>
      <c r="L1214" s="131" t="s">
        <v>2486</v>
      </c>
      <c r="M1214" s="131"/>
    </row>
    <row r="1215" spans="1:13" x14ac:dyDescent="0.3">
      <c r="A1215" s="101">
        <v>46024</v>
      </c>
      <c r="B1215" s="101">
        <v>46024</v>
      </c>
      <c r="C1215" s="102">
        <v>1500</v>
      </c>
      <c r="D1215" s="102">
        <v>0</v>
      </c>
      <c r="E1215" s="102"/>
      <c r="F1215" s="102" t="s">
        <v>976</v>
      </c>
      <c r="G1215" s="24">
        <v>0.85</v>
      </c>
      <c r="H1215" s="102" t="s">
        <v>1028</v>
      </c>
      <c r="I1215" s="102" t="s">
        <v>1680</v>
      </c>
      <c r="J1215" s="102"/>
      <c r="K1215" s="102" t="s">
        <v>1425</v>
      </c>
      <c r="L1215" s="102" t="s">
        <v>2484</v>
      </c>
      <c r="M1215" s="102"/>
    </row>
    <row r="1216" spans="1:13" x14ac:dyDescent="0.3">
      <c r="A1216" s="89">
        <v>46024</v>
      </c>
      <c r="B1216" s="89">
        <v>46024</v>
      </c>
      <c r="C1216" s="90">
        <v>4334</v>
      </c>
      <c r="D1216" s="90">
        <v>0</v>
      </c>
      <c r="E1216" s="90" t="s">
        <v>1431</v>
      </c>
      <c r="F1216" s="90" t="s">
        <v>975</v>
      </c>
      <c r="G1216" s="39">
        <v>0.55000000000000004</v>
      </c>
      <c r="H1216" s="90" t="s">
        <v>91</v>
      </c>
      <c r="I1216" s="90" t="s">
        <v>1680</v>
      </c>
      <c r="J1216" s="90"/>
      <c r="K1216" s="90" t="s">
        <v>1430</v>
      </c>
      <c r="L1216" s="90" t="s">
        <v>2484</v>
      </c>
      <c r="M1216" s="90"/>
    </row>
    <row r="1217" spans="1:13" x14ac:dyDescent="0.3">
      <c r="A1217" s="25">
        <v>46024</v>
      </c>
      <c r="B1217" s="25">
        <v>46024</v>
      </c>
      <c r="C1217" s="26">
        <v>0</v>
      </c>
      <c r="D1217" s="26">
        <v>253.39</v>
      </c>
      <c r="E1217" s="26"/>
      <c r="F1217" s="26" t="s">
        <v>3</v>
      </c>
      <c r="G1217" s="24">
        <v>0.93</v>
      </c>
      <c r="H1217" s="26" t="s">
        <v>49</v>
      </c>
      <c r="I1217" s="26" t="s">
        <v>1779</v>
      </c>
      <c r="J1217" s="26"/>
      <c r="K1217" s="26" t="s">
        <v>779</v>
      </c>
      <c r="L1217" s="26" t="s">
        <v>2482</v>
      </c>
      <c r="M1217" s="26"/>
    </row>
    <row r="1218" spans="1:13" x14ac:dyDescent="0.3">
      <c r="A1218" s="29">
        <v>46024</v>
      </c>
      <c r="B1218" s="29">
        <v>46024</v>
      </c>
      <c r="C1218" s="30">
        <v>0</v>
      </c>
      <c r="D1218" s="30">
        <v>1627.68</v>
      </c>
      <c r="E1218" s="30"/>
      <c r="F1218" s="30" t="s">
        <v>5</v>
      </c>
      <c r="G1218" s="24">
        <v>0.97</v>
      </c>
      <c r="H1218" s="30" t="s">
        <v>49</v>
      </c>
      <c r="I1218" s="30" t="s">
        <v>1779</v>
      </c>
      <c r="J1218" s="30"/>
      <c r="K1218" s="30" t="s">
        <v>59</v>
      </c>
      <c r="L1218" s="30" t="s">
        <v>2482</v>
      </c>
      <c r="M1218" s="30"/>
    </row>
    <row r="1219" spans="1:13" x14ac:dyDescent="0.3">
      <c r="A1219" s="27">
        <v>46024</v>
      </c>
      <c r="B1219" s="27">
        <v>46024</v>
      </c>
      <c r="C1219" s="28">
        <v>65.319999999999993</v>
      </c>
      <c r="D1219" s="28">
        <v>0</v>
      </c>
      <c r="E1219" s="28"/>
      <c r="F1219" s="28" t="s">
        <v>4</v>
      </c>
      <c r="G1219" s="24">
        <v>0.97</v>
      </c>
      <c r="H1219" s="28" t="s">
        <v>49</v>
      </c>
      <c r="I1219" s="28" t="s">
        <v>1779</v>
      </c>
      <c r="J1219" s="28"/>
      <c r="K1219" s="28" t="s">
        <v>50</v>
      </c>
      <c r="L1219" s="28" t="s">
        <v>2482</v>
      </c>
      <c r="M1219" s="28"/>
    </row>
    <row r="1220" spans="1:13" x14ac:dyDescent="0.3">
      <c r="A1220" s="89">
        <v>46025</v>
      </c>
      <c r="B1220" s="89">
        <v>46025</v>
      </c>
      <c r="C1220" s="90">
        <v>70.3</v>
      </c>
      <c r="D1220" s="90">
        <v>0</v>
      </c>
      <c r="E1220" s="90" t="s">
        <v>1458</v>
      </c>
      <c r="F1220" s="90" t="s">
        <v>975</v>
      </c>
      <c r="G1220" s="39">
        <v>0.55000000000000004</v>
      </c>
      <c r="H1220" s="90" t="s">
        <v>91</v>
      </c>
      <c r="I1220" s="90" t="s">
        <v>1680</v>
      </c>
      <c r="J1220" s="90"/>
      <c r="K1220" s="90" t="s">
        <v>1457</v>
      </c>
      <c r="L1220" s="90" t="s">
        <v>2484</v>
      </c>
      <c r="M1220" s="90"/>
    </row>
    <row r="1221" spans="1:13" x14ac:dyDescent="0.3">
      <c r="A1221" s="89">
        <v>46025</v>
      </c>
      <c r="B1221" s="89">
        <v>46025</v>
      </c>
      <c r="C1221" s="90">
        <v>30</v>
      </c>
      <c r="D1221" s="90">
        <v>0</v>
      </c>
      <c r="E1221" s="90" t="s">
        <v>1456</v>
      </c>
      <c r="F1221" s="90" t="s">
        <v>975</v>
      </c>
      <c r="G1221" s="39">
        <v>0.55000000000000004</v>
      </c>
      <c r="H1221" s="90" t="s">
        <v>91</v>
      </c>
      <c r="I1221" s="90" t="s">
        <v>1680</v>
      </c>
      <c r="J1221" s="90"/>
      <c r="K1221" s="90" t="s">
        <v>1455</v>
      </c>
      <c r="L1221" s="90" t="s">
        <v>2484</v>
      </c>
      <c r="M1221" s="90"/>
    </row>
    <row r="1222" spans="1:13" x14ac:dyDescent="0.3">
      <c r="A1222" s="89">
        <v>46025</v>
      </c>
      <c r="B1222" s="89">
        <v>46025</v>
      </c>
      <c r="C1222" s="90">
        <v>80</v>
      </c>
      <c r="D1222" s="90">
        <v>0</v>
      </c>
      <c r="E1222" s="90" t="s">
        <v>1437</v>
      </c>
      <c r="F1222" s="90" t="s">
        <v>975</v>
      </c>
      <c r="G1222" s="39">
        <v>0.55000000000000004</v>
      </c>
      <c r="H1222" s="90" t="s">
        <v>91</v>
      </c>
      <c r="I1222" s="90" t="s">
        <v>1680</v>
      </c>
      <c r="J1222" s="90"/>
      <c r="K1222" s="90" t="s">
        <v>1454</v>
      </c>
      <c r="L1222" s="90" t="s">
        <v>2484</v>
      </c>
      <c r="M1222" s="90"/>
    </row>
    <row r="1223" spans="1:13" x14ac:dyDescent="0.3">
      <c r="A1223" s="89">
        <v>46025</v>
      </c>
      <c r="B1223" s="89">
        <v>46025</v>
      </c>
      <c r="C1223" s="90">
        <v>110</v>
      </c>
      <c r="D1223" s="90">
        <v>0</v>
      </c>
      <c r="E1223" s="90" t="s">
        <v>1453</v>
      </c>
      <c r="F1223" s="90" t="s">
        <v>975</v>
      </c>
      <c r="G1223" s="39">
        <v>0.55000000000000004</v>
      </c>
      <c r="H1223" s="90" t="s">
        <v>91</v>
      </c>
      <c r="I1223" s="90" t="s">
        <v>1680</v>
      </c>
      <c r="J1223" s="90"/>
      <c r="K1223" s="90" t="s">
        <v>1452</v>
      </c>
      <c r="L1223" s="90" t="s">
        <v>2484</v>
      </c>
      <c r="M1223" s="90"/>
    </row>
    <row r="1224" spans="1:13" x14ac:dyDescent="0.3">
      <c r="A1224" s="97">
        <v>46025</v>
      </c>
      <c r="B1224" s="97">
        <v>46025</v>
      </c>
      <c r="C1224" s="98">
        <v>0</v>
      </c>
      <c r="D1224" s="98">
        <v>100</v>
      </c>
      <c r="E1224" s="98"/>
      <c r="F1224" s="98" t="s">
        <v>977</v>
      </c>
      <c r="G1224" s="24">
        <v>0.85</v>
      </c>
      <c r="H1224" s="98" t="s">
        <v>1031</v>
      </c>
      <c r="I1224" s="98" t="s">
        <v>1680</v>
      </c>
      <c r="J1224" s="98"/>
      <c r="K1224" s="98" t="s">
        <v>1460</v>
      </c>
      <c r="L1224" s="98" t="s">
        <v>2484</v>
      </c>
      <c r="M1224" s="98"/>
    </row>
    <row r="1225" spans="1:13" x14ac:dyDescent="0.3">
      <c r="A1225" s="89">
        <v>46025</v>
      </c>
      <c r="B1225" s="89">
        <v>46025</v>
      </c>
      <c r="C1225" s="90">
        <v>15</v>
      </c>
      <c r="D1225" s="90">
        <v>0</v>
      </c>
      <c r="E1225" s="90" t="s">
        <v>1433</v>
      </c>
      <c r="F1225" s="90" t="s">
        <v>975</v>
      </c>
      <c r="G1225" s="39">
        <v>0.55000000000000004</v>
      </c>
      <c r="H1225" s="90" t="s">
        <v>91</v>
      </c>
      <c r="I1225" s="90" t="s">
        <v>1680</v>
      </c>
      <c r="J1225" s="90"/>
      <c r="K1225" s="90" t="s">
        <v>1449</v>
      </c>
      <c r="L1225" s="90" t="s">
        <v>2484</v>
      </c>
      <c r="M1225" s="90"/>
    </row>
    <row r="1226" spans="1:13" x14ac:dyDescent="0.3">
      <c r="A1226" s="89">
        <v>46025</v>
      </c>
      <c r="B1226" s="89">
        <v>46025</v>
      </c>
      <c r="C1226" s="90">
        <v>50</v>
      </c>
      <c r="D1226" s="90">
        <v>0</v>
      </c>
      <c r="E1226" s="90" t="s">
        <v>1448</v>
      </c>
      <c r="F1226" s="90" t="s">
        <v>975</v>
      </c>
      <c r="G1226" s="39">
        <v>0.55000000000000004</v>
      </c>
      <c r="H1226" s="90" t="s">
        <v>91</v>
      </c>
      <c r="I1226" s="90" t="s">
        <v>1680</v>
      </c>
      <c r="J1226" s="90"/>
      <c r="K1226" s="90" t="s">
        <v>1447</v>
      </c>
      <c r="L1226" s="90" t="s">
        <v>2484</v>
      </c>
      <c r="M1226" s="90"/>
    </row>
    <row r="1227" spans="1:13" x14ac:dyDescent="0.3">
      <c r="A1227" s="89">
        <v>46025</v>
      </c>
      <c r="B1227" s="89">
        <v>46025</v>
      </c>
      <c r="C1227" s="90">
        <v>20</v>
      </c>
      <c r="D1227" s="90">
        <v>0</v>
      </c>
      <c r="E1227" s="90" t="s">
        <v>1444</v>
      </c>
      <c r="F1227" s="90" t="s">
        <v>975</v>
      </c>
      <c r="G1227" s="39">
        <v>0.55000000000000004</v>
      </c>
      <c r="H1227" s="90" t="s">
        <v>91</v>
      </c>
      <c r="I1227" s="90" t="s">
        <v>1680</v>
      </c>
      <c r="J1227" s="90"/>
      <c r="K1227" s="90" t="s">
        <v>1443</v>
      </c>
      <c r="L1227" s="90" t="s">
        <v>2484</v>
      </c>
      <c r="M1227" s="90"/>
    </row>
    <row r="1228" spans="1:13" x14ac:dyDescent="0.3">
      <c r="A1228" s="89">
        <v>46025</v>
      </c>
      <c r="B1228" s="89">
        <v>46025</v>
      </c>
      <c r="C1228" s="90">
        <v>40</v>
      </c>
      <c r="D1228" s="90">
        <v>0</v>
      </c>
      <c r="E1228" s="90" t="s">
        <v>1442</v>
      </c>
      <c r="F1228" s="90" t="s">
        <v>975</v>
      </c>
      <c r="G1228" s="39">
        <v>0.55000000000000004</v>
      </c>
      <c r="H1228" s="90" t="s">
        <v>91</v>
      </c>
      <c r="I1228" s="90" t="s">
        <v>1680</v>
      </c>
      <c r="J1228" s="90"/>
      <c r="K1228" s="90" t="s">
        <v>1441</v>
      </c>
      <c r="L1228" s="90" t="s">
        <v>2484</v>
      </c>
      <c r="M1228" s="90"/>
    </row>
    <row r="1229" spans="1:13" x14ac:dyDescent="0.3">
      <c r="A1229" s="89">
        <v>46025</v>
      </c>
      <c r="B1229" s="89">
        <v>46025</v>
      </c>
      <c r="C1229" s="90">
        <v>200</v>
      </c>
      <c r="D1229" s="90">
        <v>0</v>
      </c>
      <c r="E1229" s="90" t="s">
        <v>1440</v>
      </c>
      <c r="F1229" s="90" t="s">
        <v>975</v>
      </c>
      <c r="G1229" s="39">
        <v>0.55000000000000004</v>
      </c>
      <c r="H1229" s="90" t="s">
        <v>91</v>
      </c>
      <c r="I1229" s="90" t="s">
        <v>1680</v>
      </c>
      <c r="J1229" s="90"/>
      <c r="K1229" s="90" t="s">
        <v>1439</v>
      </c>
      <c r="L1229" s="90" t="s">
        <v>2484</v>
      </c>
      <c r="M1229" s="90"/>
    </row>
    <row r="1230" spans="1:13" x14ac:dyDescent="0.3">
      <c r="A1230" s="101">
        <v>46025</v>
      </c>
      <c r="B1230" s="101">
        <v>46025</v>
      </c>
      <c r="C1230" s="102">
        <v>1500</v>
      </c>
      <c r="D1230" s="102">
        <v>0</v>
      </c>
      <c r="E1230" s="102"/>
      <c r="F1230" s="102" t="s">
        <v>976</v>
      </c>
      <c r="G1230" s="24">
        <v>0.85</v>
      </c>
      <c r="H1230" s="102" t="s">
        <v>1028</v>
      </c>
      <c r="I1230" s="102" t="s">
        <v>1680</v>
      </c>
      <c r="J1230" s="102"/>
      <c r="K1230" s="102" t="s">
        <v>1438</v>
      </c>
      <c r="L1230" s="102" t="s">
        <v>2484</v>
      </c>
      <c r="M1230" s="102"/>
    </row>
    <row r="1231" spans="1:13" x14ac:dyDescent="0.3">
      <c r="A1231" s="97">
        <v>46025</v>
      </c>
      <c r="B1231" s="97">
        <v>46025</v>
      </c>
      <c r="C1231" s="98">
        <v>0</v>
      </c>
      <c r="D1231" s="98">
        <v>11900</v>
      </c>
      <c r="E1231" s="98"/>
      <c r="F1231" s="98" t="s">
        <v>977</v>
      </c>
      <c r="G1231" s="24">
        <v>0.85</v>
      </c>
      <c r="H1231" s="98" t="s">
        <v>1031</v>
      </c>
      <c r="I1231" s="98" t="s">
        <v>1680</v>
      </c>
      <c r="J1231" s="98"/>
      <c r="K1231" s="98" t="s">
        <v>1461</v>
      </c>
      <c r="L1231" s="98" t="s">
        <v>2484</v>
      </c>
      <c r="M1231" s="98"/>
    </row>
    <row r="1232" spans="1:13" x14ac:dyDescent="0.3">
      <c r="A1232" s="83">
        <v>46025</v>
      </c>
      <c r="B1232" s="83">
        <v>46025</v>
      </c>
      <c r="C1232" s="84">
        <v>0</v>
      </c>
      <c r="D1232" s="84">
        <v>1000</v>
      </c>
      <c r="E1232" s="84"/>
      <c r="F1232" s="84" t="s">
        <v>973</v>
      </c>
      <c r="G1232" s="24">
        <v>0.88</v>
      </c>
      <c r="H1232" s="84" t="s">
        <v>1014</v>
      </c>
      <c r="I1232" s="84" t="s">
        <v>1680</v>
      </c>
      <c r="J1232" s="84"/>
      <c r="K1232" s="84" t="s">
        <v>1459</v>
      </c>
      <c r="L1232" s="84" t="s">
        <v>2484</v>
      </c>
      <c r="M1232" s="84"/>
    </row>
    <row r="1233" spans="1:13" x14ac:dyDescent="0.3">
      <c r="A1233" s="89">
        <v>46025</v>
      </c>
      <c r="B1233" s="89">
        <v>46025</v>
      </c>
      <c r="C1233" s="90">
        <v>46</v>
      </c>
      <c r="D1233" s="90">
        <v>0</v>
      </c>
      <c r="E1233" s="90" t="s">
        <v>1451</v>
      </c>
      <c r="F1233" s="90" t="s">
        <v>975</v>
      </c>
      <c r="G1233" s="39">
        <v>0.55000000000000004</v>
      </c>
      <c r="H1233" s="90" t="s">
        <v>91</v>
      </c>
      <c r="I1233" s="90" t="s">
        <v>1680</v>
      </c>
      <c r="J1233" s="90"/>
      <c r="K1233" s="90" t="s">
        <v>1450</v>
      </c>
      <c r="L1233" s="90" t="s">
        <v>2484</v>
      </c>
      <c r="M1233" s="90"/>
    </row>
    <row r="1234" spans="1:13" x14ac:dyDescent="0.3">
      <c r="A1234" s="89">
        <v>46025</v>
      </c>
      <c r="B1234" s="89">
        <v>46025</v>
      </c>
      <c r="C1234" s="90">
        <v>55</v>
      </c>
      <c r="D1234" s="90">
        <v>0</v>
      </c>
      <c r="E1234" s="90" t="s">
        <v>1446</v>
      </c>
      <c r="F1234" s="90" t="s">
        <v>975</v>
      </c>
      <c r="G1234" s="39">
        <v>0.55000000000000004</v>
      </c>
      <c r="H1234" s="90" t="s">
        <v>91</v>
      </c>
      <c r="I1234" s="90" t="s">
        <v>1680</v>
      </c>
      <c r="J1234" s="90"/>
      <c r="K1234" s="90" t="s">
        <v>1445</v>
      </c>
      <c r="L1234" s="90" t="s">
        <v>2484</v>
      </c>
      <c r="M1234" s="90"/>
    </row>
    <row r="1235" spans="1:13" x14ac:dyDescent="0.3">
      <c r="A1235" s="22">
        <v>46025.423263888893</v>
      </c>
      <c r="B1235" s="22">
        <v>46025</v>
      </c>
      <c r="C1235" s="23">
        <v>0</v>
      </c>
      <c r="D1235" s="23">
        <v>25783.1</v>
      </c>
      <c r="E1235" s="23"/>
      <c r="F1235" s="23" t="s">
        <v>1667</v>
      </c>
      <c r="G1235" s="24">
        <v>0.92</v>
      </c>
      <c r="H1235" s="23" t="s">
        <v>1735</v>
      </c>
      <c r="I1235" s="23" t="s">
        <v>1019</v>
      </c>
      <c r="J1235" s="23"/>
      <c r="K1235" s="23" t="s">
        <v>2388</v>
      </c>
      <c r="L1235" s="23" t="s">
        <v>2483</v>
      </c>
      <c r="M1235" s="23"/>
    </row>
    <row r="1236" spans="1:13" x14ac:dyDescent="0.3">
      <c r="A1236" s="107">
        <v>46025.973124999997</v>
      </c>
      <c r="B1236" s="107">
        <v>46025</v>
      </c>
      <c r="C1236" s="108">
        <v>328.7</v>
      </c>
      <c r="D1236" s="108">
        <v>0</v>
      </c>
      <c r="E1236" s="108"/>
      <c r="F1236" s="108" t="s">
        <v>1825</v>
      </c>
      <c r="G1236" s="40">
        <v>0.68</v>
      </c>
      <c r="H1236" s="108" t="s">
        <v>1189</v>
      </c>
      <c r="I1236" s="108" t="s">
        <v>1019</v>
      </c>
      <c r="J1236" s="108"/>
      <c r="K1236" s="108" t="s">
        <v>2390</v>
      </c>
      <c r="L1236" s="108" t="s">
        <v>2483</v>
      </c>
      <c r="M1236" s="108"/>
    </row>
    <row r="1237" spans="1:13" x14ac:dyDescent="0.3">
      <c r="A1237" s="101">
        <v>46026</v>
      </c>
      <c r="B1237" s="101">
        <v>46026</v>
      </c>
      <c r="C1237" s="102">
        <v>1500</v>
      </c>
      <c r="D1237" s="102">
        <v>0</v>
      </c>
      <c r="E1237" s="102"/>
      <c r="F1237" s="102" t="s">
        <v>976</v>
      </c>
      <c r="G1237" s="24">
        <v>0.85</v>
      </c>
      <c r="H1237" s="102" t="s">
        <v>1028</v>
      </c>
      <c r="I1237" s="102" t="s">
        <v>1680</v>
      </c>
      <c r="J1237" s="102"/>
      <c r="K1237" s="102" t="s">
        <v>1462</v>
      </c>
      <c r="L1237" s="102" t="s">
        <v>2484</v>
      </c>
      <c r="M1237" s="102" t="s">
        <v>2485</v>
      </c>
    </row>
    <row r="1238" spans="1:13" x14ac:dyDescent="0.3">
      <c r="A1238" s="89">
        <v>46026</v>
      </c>
      <c r="B1238" s="89">
        <v>46026</v>
      </c>
      <c r="C1238" s="90">
        <v>85</v>
      </c>
      <c r="D1238" s="90">
        <v>0</v>
      </c>
      <c r="E1238" s="90" t="s">
        <v>1440</v>
      </c>
      <c r="F1238" s="90" t="s">
        <v>975</v>
      </c>
      <c r="G1238" s="39">
        <v>0.55000000000000004</v>
      </c>
      <c r="H1238" s="90" t="s">
        <v>91</v>
      </c>
      <c r="I1238" s="90" t="s">
        <v>1680</v>
      </c>
      <c r="J1238" s="90"/>
      <c r="K1238" s="90" t="s">
        <v>1465</v>
      </c>
      <c r="L1238" s="90" t="s">
        <v>2484</v>
      </c>
      <c r="M1238" s="90"/>
    </row>
    <row r="1239" spans="1:13" x14ac:dyDescent="0.3">
      <c r="A1239" s="89">
        <v>46026</v>
      </c>
      <c r="B1239" s="89">
        <v>46026</v>
      </c>
      <c r="C1239" s="90">
        <v>40</v>
      </c>
      <c r="D1239" s="90">
        <v>0</v>
      </c>
      <c r="E1239" s="90" t="s">
        <v>1467</v>
      </c>
      <c r="F1239" s="90" t="s">
        <v>975</v>
      </c>
      <c r="G1239" s="39">
        <v>0.55000000000000004</v>
      </c>
      <c r="H1239" s="90" t="s">
        <v>91</v>
      </c>
      <c r="I1239" s="90" t="s">
        <v>1680</v>
      </c>
      <c r="J1239" s="90"/>
      <c r="K1239" s="90" t="s">
        <v>1466</v>
      </c>
      <c r="L1239" s="90" t="s">
        <v>2484</v>
      </c>
      <c r="M1239" s="90"/>
    </row>
    <row r="1240" spans="1:13" x14ac:dyDescent="0.3">
      <c r="A1240" s="101">
        <v>46026</v>
      </c>
      <c r="B1240" s="101">
        <v>46026</v>
      </c>
      <c r="C1240" s="102">
        <v>1500</v>
      </c>
      <c r="D1240" s="102">
        <v>0</v>
      </c>
      <c r="E1240" s="102"/>
      <c r="F1240" s="102" t="s">
        <v>976</v>
      </c>
      <c r="G1240" s="24">
        <v>0.85</v>
      </c>
      <c r="H1240" s="102" t="s">
        <v>1028</v>
      </c>
      <c r="I1240" s="102" t="s">
        <v>1680</v>
      </c>
      <c r="J1240" s="102"/>
      <c r="K1240" s="102" t="s">
        <v>1468</v>
      </c>
      <c r="L1240" s="102" t="s">
        <v>2484</v>
      </c>
      <c r="M1240" s="102" t="s">
        <v>2485</v>
      </c>
    </row>
    <row r="1241" spans="1:13" x14ac:dyDescent="0.3">
      <c r="A1241" s="89">
        <v>46026</v>
      </c>
      <c r="B1241" s="89">
        <v>46026</v>
      </c>
      <c r="C1241" s="90">
        <v>75</v>
      </c>
      <c r="D1241" s="90">
        <v>0</v>
      </c>
      <c r="E1241" s="90" t="s">
        <v>1464</v>
      </c>
      <c r="F1241" s="90" t="s">
        <v>975</v>
      </c>
      <c r="G1241" s="39">
        <v>0.55000000000000004</v>
      </c>
      <c r="H1241" s="90" t="s">
        <v>91</v>
      </c>
      <c r="I1241" s="90" t="s">
        <v>1680</v>
      </c>
      <c r="J1241" s="90"/>
      <c r="K1241" s="90" t="s">
        <v>1463</v>
      </c>
      <c r="L1241" s="90" t="s">
        <v>2484</v>
      </c>
      <c r="M1241" s="90"/>
    </row>
    <row r="1242" spans="1:13" x14ac:dyDescent="0.3">
      <c r="A1242" s="27">
        <v>46027</v>
      </c>
      <c r="B1242" s="27">
        <v>46027</v>
      </c>
      <c r="C1242" s="28">
        <v>49.27</v>
      </c>
      <c r="D1242" s="28">
        <v>0</v>
      </c>
      <c r="E1242" s="28"/>
      <c r="F1242" s="28" t="s">
        <v>4</v>
      </c>
      <c r="G1242" s="24">
        <v>0.97</v>
      </c>
      <c r="H1242" s="28" t="s">
        <v>49</v>
      </c>
      <c r="I1242" s="28" t="s">
        <v>1779</v>
      </c>
      <c r="J1242" s="28"/>
      <c r="K1242" s="28" t="s">
        <v>50</v>
      </c>
      <c r="L1242" s="28" t="s">
        <v>2482</v>
      </c>
      <c r="M1242" s="28"/>
    </row>
    <row r="1243" spans="1:13" x14ac:dyDescent="0.3">
      <c r="A1243" s="89">
        <v>46027</v>
      </c>
      <c r="B1243" s="89">
        <v>46027</v>
      </c>
      <c r="C1243" s="90">
        <v>40</v>
      </c>
      <c r="D1243" s="90">
        <v>0</v>
      </c>
      <c r="E1243" s="90" t="s">
        <v>1471</v>
      </c>
      <c r="F1243" s="90" t="s">
        <v>975</v>
      </c>
      <c r="G1243" s="39">
        <v>0.55000000000000004</v>
      </c>
      <c r="H1243" s="90" t="s">
        <v>91</v>
      </c>
      <c r="I1243" s="90" t="s">
        <v>1680</v>
      </c>
      <c r="J1243" s="90"/>
      <c r="K1243" s="90" t="s">
        <v>1470</v>
      </c>
      <c r="L1243" s="90" t="s">
        <v>2484</v>
      </c>
      <c r="M1243" s="90"/>
    </row>
    <row r="1244" spans="1:13" x14ac:dyDescent="0.3">
      <c r="A1244" s="27">
        <v>46027</v>
      </c>
      <c r="B1244" s="27">
        <v>46027</v>
      </c>
      <c r="C1244" s="28">
        <v>197.97</v>
      </c>
      <c r="D1244" s="28">
        <v>0</v>
      </c>
      <c r="E1244" s="28"/>
      <c r="F1244" s="28" t="s">
        <v>4</v>
      </c>
      <c r="G1244" s="24">
        <v>0.97</v>
      </c>
      <c r="H1244" s="28" t="s">
        <v>49</v>
      </c>
      <c r="I1244" s="28" t="s">
        <v>1779</v>
      </c>
      <c r="J1244" s="28"/>
      <c r="K1244" s="28" t="s">
        <v>50</v>
      </c>
      <c r="L1244" s="28" t="s">
        <v>2482</v>
      </c>
      <c r="M1244" s="28"/>
    </row>
    <row r="1245" spans="1:13" x14ac:dyDescent="0.3">
      <c r="A1245" s="113">
        <v>46027</v>
      </c>
      <c r="B1245" s="113">
        <v>46027</v>
      </c>
      <c r="C1245" s="114">
        <v>0</v>
      </c>
      <c r="D1245" s="114">
        <v>32000</v>
      </c>
      <c r="E1245" s="114"/>
      <c r="F1245" s="114" t="s">
        <v>998</v>
      </c>
      <c r="G1245" s="24">
        <v>0.9</v>
      </c>
      <c r="H1245" s="114" t="s">
        <v>996</v>
      </c>
      <c r="I1245" s="114" t="s">
        <v>1680</v>
      </c>
      <c r="J1245" s="114"/>
      <c r="K1245" s="114" t="s">
        <v>1469</v>
      </c>
      <c r="L1245" s="114" t="s">
        <v>2484</v>
      </c>
      <c r="M1245" s="114"/>
    </row>
    <row r="1246" spans="1:13" x14ac:dyDescent="0.3">
      <c r="A1246" s="89">
        <v>46027.574907407397</v>
      </c>
      <c r="B1246" s="89">
        <v>46027</v>
      </c>
      <c r="C1246" s="90">
        <v>1300</v>
      </c>
      <c r="D1246" s="90">
        <v>0</v>
      </c>
      <c r="E1246" s="90" t="s">
        <v>2394</v>
      </c>
      <c r="F1246" s="90" t="s">
        <v>975</v>
      </c>
      <c r="G1246" s="39">
        <v>0.55000000000000004</v>
      </c>
      <c r="H1246" s="90" t="s">
        <v>91</v>
      </c>
      <c r="I1246" s="90" t="s">
        <v>1019</v>
      </c>
      <c r="J1246" s="90"/>
      <c r="K1246" s="90" t="s">
        <v>2392</v>
      </c>
      <c r="L1246" s="90" t="s">
        <v>2483</v>
      </c>
      <c r="M1246" s="90"/>
    </row>
    <row r="1247" spans="1:13" x14ac:dyDescent="0.3">
      <c r="A1247" s="89">
        <v>46028</v>
      </c>
      <c r="B1247" s="89">
        <v>46028</v>
      </c>
      <c r="C1247" s="90">
        <v>50</v>
      </c>
      <c r="D1247" s="90">
        <v>0</v>
      </c>
      <c r="E1247" s="90" t="s">
        <v>1478</v>
      </c>
      <c r="F1247" s="90" t="s">
        <v>975</v>
      </c>
      <c r="G1247" s="39">
        <v>0.55000000000000004</v>
      </c>
      <c r="H1247" s="90" t="s">
        <v>91</v>
      </c>
      <c r="I1247" s="90" t="s">
        <v>1680</v>
      </c>
      <c r="J1247" s="90"/>
      <c r="K1247" s="90" t="s">
        <v>1477</v>
      </c>
      <c r="L1247" s="90" t="s">
        <v>2484</v>
      </c>
      <c r="M1247" s="90" t="s">
        <v>2485</v>
      </c>
    </row>
    <row r="1248" spans="1:13" x14ac:dyDescent="0.3">
      <c r="A1248" s="27">
        <v>46028</v>
      </c>
      <c r="B1248" s="27">
        <v>46028</v>
      </c>
      <c r="C1248" s="28">
        <v>4080.19</v>
      </c>
      <c r="D1248" s="28">
        <v>0</v>
      </c>
      <c r="E1248" s="28"/>
      <c r="F1248" s="28" t="s">
        <v>4</v>
      </c>
      <c r="G1248" s="24">
        <v>0.97</v>
      </c>
      <c r="H1248" s="28" t="s">
        <v>49</v>
      </c>
      <c r="I1248" s="28" t="s">
        <v>1779</v>
      </c>
      <c r="J1248" s="28"/>
      <c r="K1248" s="28" t="s">
        <v>50</v>
      </c>
      <c r="L1248" s="28" t="s">
        <v>2482</v>
      </c>
      <c r="M1248" s="28"/>
    </row>
    <row r="1249" spans="1:13" x14ac:dyDescent="0.3">
      <c r="A1249" s="27">
        <v>46028</v>
      </c>
      <c r="B1249" s="27">
        <v>46028</v>
      </c>
      <c r="C1249" s="28">
        <v>65.97</v>
      </c>
      <c r="D1249" s="28">
        <v>0</v>
      </c>
      <c r="E1249" s="28"/>
      <c r="F1249" s="28" t="s">
        <v>4</v>
      </c>
      <c r="G1249" s="24">
        <v>0.97</v>
      </c>
      <c r="H1249" s="28" t="s">
        <v>49</v>
      </c>
      <c r="I1249" s="28" t="s">
        <v>1779</v>
      </c>
      <c r="J1249" s="28"/>
      <c r="K1249" s="28" t="s">
        <v>50</v>
      </c>
      <c r="L1249" s="28" t="s">
        <v>2482</v>
      </c>
      <c r="M1249" s="28"/>
    </row>
    <row r="1250" spans="1:13" x14ac:dyDescent="0.3">
      <c r="A1250" s="89">
        <v>46028</v>
      </c>
      <c r="B1250" s="89">
        <v>46028</v>
      </c>
      <c r="C1250" s="90">
        <v>120</v>
      </c>
      <c r="D1250" s="90">
        <v>0</v>
      </c>
      <c r="E1250" s="90" t="s">
        <v>1476</v>
      </c>
      <c r="F1250" s="90" t="s">
        <v>975</v>
      </c>
      <c r="G1250" s="39">
        <v>0.55000000000000004</v>
      </c>
      <c r="H1250" s="90" t="s">
        <v>91</v>
      </c>
      <c r="I1250" s="90" t="s">
        <v>1680</v>
      </c>
      <c r="J1250" s="90"/>
      <c r="K1250" s="90" t="s">
        <v>1475</v>
      </c>
      <c r="L1250" s="90" t="s">
        <v>2484</v>
      </c>
      <c r="M1250" s="90"/>
    </row>
    <row r="1251" spans="1:13" x14ac:dyDescent="0.3">
      <c r="A1251" s="101">
        <v>46028</v>
      </c>
      <c r="B1251" s="101">
        <v>46028</v>
      </c>
      <c r="C1251" s="102">
        <v>1309.24</v>
      </c>
      <c r="D1251" s="102">
        <v>0</v>
      </c>
      <c r="E1251" s="102"/>
      <c r="F1251" s="102" t="s">
        <v>976</v>
      </c>
      <c r="G1251" s="24">
        <v>0.85</v>
      </c>
      <c r="H1251" s="102" t="s">
        <v>1028</v>
      </c>
      <c r="I1251" s="102" t="s">
        <v>1680</v>
      </c>
      <c r="J1251" s="102"/>
      <c r="K1251" s="102" t="s">
        <v>1472</v>
      </c>
      <c r="L1251" s="102" t="s">
        <v>2484</v>
      </c>
      <c r="M1251" s="102"/>
    </row>
    <row r="1252" spans="1:13" x14ac:dyDescent="0.3">
      <c r="A1252" s="89">
        <v>46028</v>
      </c>
      <c r="B1252" s="89">
        <v>46028</v>
      </c>
      <c r="C1252" s="90">
        <v>50</v>
      </c>
      <c r="D1252" s="90">
        <v>0</v>
      </c>
      <c r="E1252" s="90" t="s">
        <v>1474</v>
      </c>
      <c r="F1252" s="90" t="s">
        <v>975</v>
      </c>
      <c r="G1252" s="39">
        <v>0.55000000000000004</v>
      </c>
      <c r="H1252" s="90" t="s">
        <v>91</v>
      </c>
      <c r="I1252" s="90" t="s">
        <v>1680</v>
      </c>
      <c r="J1252" s="90"/>
      <c r="K1252" s="90" t="s">
        <v>1473</v>
      </c>
      <c r="L1252" s="90" t="s">
        <v>2484</v>
      </c>
      <c r="M1252" s="90" t="s">
        <v>2485</v>
      </c>
    </row>
    <row r="1253" spans="1:13" x14ac:dyDescent="0.3">
      <c r="A1253" s="22">
        <v>46028.500752314823</v>
      </c>
      <c r="B1253" s="22">
        <v>46028</v>
      </c>
      <c r="C1253" s="23">
        <v>10000</v>
      </c>
      <c r="D1253" s="23">
        <v>0</v>
      </c>
      <c r="E1253" s="23"/>
      <c r="F1253" s="23" t="s">
        <v>1667</v>
      </c>
      <c r="G1253" s="24">
        <v>0.92</v>
      </c>
      <c r="H1253" s="23" t="s">
        <v>1735</v>
      </c>
      <c r="I1253" s="23" t="s">
        <v>1019</v>
      </c>
      <c r="J1253" s="23"/>
      <c r="K1253" s="23" t="s">
        <v>2395</v>
      </c>
      <c r="L1253" s="23" t="s">
        <v>2483</v>
      </c>
      <c r="M1253" s="23"/>
    </row>
    <row r="1254" spans="1:13" x14ac:dyDescent="0.3">
      <c r="A1254" s="89">
        <v>46028.759733796287</v>
      </c>
      <c r="B1254" s="89">
        <v>46028</v>
      </c>
      <c r="C1254" s="90">
        <v>63</v>
      </c>
      <c r="D1254" s="90">
        <v>0</v>
      </c>
      <c r="E1254" s="90" t="s">
        <v>2399</v>
      </c>
      <c r="F1254" s="90" t="s">
        <v>975</v>
      </c>
      <c r="G1254" s="39">
        <v>0.55000000000000004</v>
      </c>
      <c r="H1254" s="90" t="s">
        <v>91</v>
      </c>
      <c r="I1254" s="90" t="s">
        <v>1019</v>
      </c>
      <c r="J1254" s="90"/>
      <c r="K1254" s="90" t="s">
        <v>2397</v>
      </c>
      <c r="L1254" s="90" t="s">
        <v>2483</v>
      </c>
      <c r="M1254" s="90"/>
    </row>
    <row r="1255" spans="1:13" x14ac:dyDescent="0.3">
      <c r="A1255" s="115">
        <v>46029</v>
      </c>
      <c r="B1255" s="115">
        <v>46029</v>
      </c>
      <c r="C1255" s="116">
        <v>20</v>
      </c>
      <c r="D1255" s="116">
        <v>0</v>
      </c>
      <c r="E1255" s="116"/>
      <c r="F1255" s="116" t="s">
        <v>999</v>
      </c>
      <c r="G1255" s="40">
        <v>0.65</v>
      </c>
      <c r="H1255" s="116" t="s">
        <v>91</v>
      </c>
      <c r="I1255" s="116" t="s">
        <v>1680</v>
      </c>
      <c r="J1255" s="116"/>
      <c r="K1255" s="116" t="s">
        <v>1479</v>
      </c>
      <c r="L1255" s="116" t="s">
        <v>2484</v>
      </c>
      <c r="M1255" s="116"/>
    </row>
    <row r="1256" spans="1:13" x14ac:dyDescent="0.3">
      <c r="A1256" s="31">
        <v>46029</v>
      </c>
      <c r="B1256" s="31">
        <v>46029</v>
      </c>
      <c r="C1256" s="32">
        <v>0</v>
      </c>
      <c r="D1256" s="32">
        <v>1880</v>
      </c>
      <c r="E1256" s="32"/>
      <c r="F1256" s="32" t="s">
        <v>6</v>
      </c>
      <c r="G1256" s="24">
        <v>0.95</v>
      </c>
      <c r="H1256" s="32" t="s">
        <v>63</v>
      </c>
      <c r="I1256" s="32" t="s">
        <v>1779</v>
      </c>
      <c r="J1256" s="32"/>
      <c r="K1256" s="32" t="s">
        <v>787</v>
      </c>
      <c r="L1256" s="32" t="s">
        <v>2482</v>
      </c>
      <c r="M1256" s="32"/>
    </row>
    <row r="1257" spans="1:13" x14ac:dyDescent="0.3">
      <c r="A1257" s="27">
        <v>46029</v>
      </c>
      <c r="B1257" s="27">
        <v>46029</v>
      </c>
      <c r="C1257" s="28">
        <v>64.52</v>
      </c>
      <c r="D1257" s="28">
        <v>0</v>
      </c>
      <c r="E1257" s="28"/>
      <c r="F1257" s="28" t="s">
        <v>4</v>
      </c>
      <c r="G1257" s="24">
        <v>0.97</v>
      </c>
      <c r="H1257" s="28" t="s">
        <v>49</v>
      </c>
      <c r="I1257" s="28" t="s">
        <v>1779</v>
      </c>
      <c r="J1257" s="28"/>
      <c r="K1257" s="28" t="s">
        <v>50</v>
      </c>
      <c r="L1257" s="28" t="s">
        <v>2482</v>
      </c>
      <c r="M1257" s="28"/>
    </row>
    <row r="1258" spans="1:13" x14ac:dyDescent="0.3">
      <c r="A1258" s="25">
        <v>46030</v>
      </c>
      <c r="B1258" s="25">
        <v>46030</v>
      </c>
      <c r="C1258" s="26">
        <v>0</v>
      </c>
      <c r="D1258" s="26">
        <v>79</v>
      </c>
      <c r="E1258" s="26"/>
      <c r="F1258" s="26" t="s">
        <v>3</v>
      </c>
      <c r="G1258" s="24">
        <v>0.93</v>
      </c>
      <c r="H1258" s="26" t="s">
        <v>49</v>
      </c>
      <c r="I1258" s="26" t="s">
        <v>1779</v>
      </c>
      <c r="J1258" s="26"/>
      <c r="K1258" s="26" t="s">
        <v>790</v>
      </c>
      <c r="L1258" s="26" t="s">
        <v>2482</v>
      </c>
      <c r="M1258" s="26"/>
    </row>
    <row r="1259" spans="1:13" x14ac:dyDescent="0.3">
      <c r="A1259" s="27">
        <v>46030</v>
      </c>
      <c r="B1259" s="27">
        <v>46030</v>
      </c>
      <c r="C1259" s="28">
        <v>64.52</v>
      </c>
      <c r="D1259" s="28">
        <v>0</v>
      </c>
      <c r="E1259" s="28"/>
      <c r="F1259" s="28" t="s">
        <v>4</v>
      </c>
      <c r="G1259" s="24">
        <v>0.97</v>
      </c>
      <c r="H1259" s="28" t="s">
        <v>49</v>
      </c>
      <c r="I1259" s="28" t="s">
        <v>1779</v>
      </c>
      <c r="J1259" s="28"/>
      <c r="K1259" s="28" t="s">
        <v>50</v>
      </c>
      <c r="L1259" s="28" t="s">
        <v>2482</v>
      </c>
      <c r="M1259" s="28"/>
    </row>
    <row r="1260" spans="1:13" x14ac:dyDescent="0.3">
      <c r="A1260" s="33">
        <v>46030</v>
      </c>
      <c r="B1260" s="33">
        <v>46030</v>
      </c>
      <c r="C1260" s="34">
        <v>295</v>
      </c>
      <c r="D1260" s="34">
        <v>0</v>
      </c>
      <c r="E1260" s="34"/>
      <c r="F1260" s="34" t="s">
        <v>7</v>
      </c>
      <c r="G1260" s="24">
        <v>0.9</v>
      </c>
      <c r="H1260" s="34" t="s">
        <v>7</v>
      </c>
      <c r="I1260" s="34" t="s">
        <v>1779</v>
      </c>
      <c r="J1260" s="34"/>
      <c r="K1260" s="34" t="s">
        <v>793</v>
      </c>
      <c r="L1260" s="34" t="s">
        <v>2482</v>
      </c>
      <c r="M1260" s="34"/>
    </row>
    <row r="1261" spans="1:13" x14ac:dyDescent="0.3">
      <c r="A1261" s="27">
        <v>46030</v>
      </c>
      <c r="B1261" s="27">
        <v>46030</v>
      </c>
      <c r="C1261" s="28">
        <v>2547.16</v>
      </c>
      <c r="D1261" s="28">
        <v>0</v>
      </c>
      <c r="E1261" s="28"/>
      <c r="F1261" s="28" t="s">
        <v>4</v>
      </c>
      <c r="G1261" s="24">
        <v>0.97</v>
      </c>
      <c r="H1261" s="28" t="s">
        <v>49</v>
      </c>
      <c r="I1261" s="28" t="s">
        <v>1779</v>
      </c>
      <c r="J1261" s="28"/>
      <c r="K1261" s="28" t="s">
        <v>50</v>
      </c>
      <c r="L1261" s="28" t="s">
        <v>2482</v>
      </c>
      <c r="M1261" s="28"/>
    </row>
    <row r="1262" spans="1:13" x14ac:dyDescent="0.3">
      <c r="A1262" s="83">
        <v>46031</v>
      </c>
      <c r="B1262" s="83">
        <v>46031</v>
      </c>
      <c r="C1262" s="84">
        <v>3813.6</v>
      </c>
      <c r="D1262" s="84">
        <v>0</v>
      </c>
      <c r="E1262" s="84"/>
      <c r="F1262" s="84" t="s">
        <v>973</v>
      </c>
      <c r="G1262" s="24">
        <v>0.88</v>
      </c>
      <c r="H1262" s="84" t="s">
        <v>1014</v>
      </c>
      <c r="I1262" s="84" t="s">
        <v>1680</v>
      </c>
      <c r="J1262" s="84"/>
      <c r="K1262" s="84" t="s">
        <v>1480</v>
      </c>
      <c r="L1262" s="84" t="s">
        <v>2484</v>
      </c>
      <c r="M1262" s="84"/>
    </row>
    <row r="1263" spans="1:13" x14ac:dyDescent="0.3">
      <c r="A1263" s="89">
        <v>46031</v>
      </c>
      <c r="B1263" s="89">
        <v>46031</v>
      </c>
      <c r="C1263" s="90">
        <v>15</v>
      </c>
      <c r="D1263" s="90">
        <v>0</v>
      </c>
      <c r="E1263" s="90" t="s">
        <v>1482</v>
      </c>
      <c r="F1263" s="90" t="s">
        <v>975</v>
      </c>
      <c r="G1263" s="39">
        <v>0.55000000000000004</v>
      </c>
      <c r="H1263" s="90" t="s">
        <v>91</v>
      </c>
      <c r="I1263" s="90" t="s">
        <v>1680</v>
      </c>
      <c r="J1263" s="90"/>
      <c r="K1263" s="90" t="s">
        <v>1481</v>
      </c>
      <c r="L1263" s="90" t="s">
        <v>2484</v>
      </c>
      <c r="M1263" s="90"/>
    </row>
    <row r="1264" spans="1:13" x14ac:dyDescent="0.3">
      <c r="A1264" s="27">
        <v>46031</v>
      </c>
      <c r="B1264" s="27">
        <v>46031</v>
      </c>
      <c r="C1264" s="28">
        <v>1507.51</v>
      </c>
      <c r="D1264" s="28">
        <v>0</v>
      </c>
      <c r="E1264" s="28"/>
      <c r="F1264" s="28" t="s">
        <v>4</v>
      </c>
      <c r="G1264" s="24">
        <v>0.97</v>
      </c>
      <c r="H1264" s="28" t="s">
        <v>49</v>
      </c>
      <c r="I1264" s="28" t="s">
        <v>1779</v>
      </c>
      <c r="J1264" s="28"/>
      <c r="K1264" s="28" t="s">
        <v>50</v>
      </c>
      <c r="L1264" s="28" t="s">
        <v>2482</v>
      </c>
      <c r="M1264" s="28"/>
    </row>
    <row r="1265" spans="1:13" x14ac:dyDescent="0.3">
      <c r="A1265" s="27">
        <v>46031</v>
      </c>
      <c r="B1265" s="27">
        <v>46031</v>
      </c>
      <c r="C1265" s="28">
        <v>63.64</v>
      </c>
      <c r="D1265" s="28">
        <v>0</v>
      </c>
      <c r="E1265" s="28"/>
      <c r="F1265" s="28" t="s">
        <v>4</v>
      </c>
      <c r="G1265" s="24">
        <v>0.97</v>
      </c>
      <c r="H1265" s="28" t="s">
        <v>49</v>
      </c>
      <c r="I1265" s="28" t="s">
        <v>1779</v>
      </c>
      <c r="J1265" s="28"/>
      <c r="K1265" s="28" t="s">
        <v>50</v>
      </c>
      <c r="L1265" s="28" t="s">
        <v>2482</v>
      </c>
      <c r="M1265" s="28"/>
    </row>
    <row r="1266" spans="1:13" x14ac:dyDescent="0.3">
      <c r="A1266" s="83">
        <v>46031.784074074072</v>
      </c>
      <c r="B1266" s="83">
        <v>46031</v>
      </c>
      <c r="C1266" s="84">
        <v>4384.5</v>
      </c>
      <c r="D1266" s="84">
        <v>0</v>
      </c>
      <c r="E1266" s="84"/>
      <c r="F1266" s="84" t="s">
        <v>973</v>
      </c>
      <c r="G1266" s="24">
        <v>0.88</v>
      </c>
      <c r="H1266" s="84" t="s">
        <v>1014</v>
      </c>
      <c r="I1266" s="84" t="s">
        <v>1019</v>
      </c>
      <c r="J1266" s="84"/>
      <c r="K1266" s="84" t="s">
        <v>2400</v>
      </c>
      <c r="L1266" s="84" t="s">
        <v>2483</v>
      </c>
      <c r="M1266" s="84"/>
    </row>
    <row r="1267" spans="1:13" x14ac:dyDescent="0.3">
      <c r="A1267" s="115">
        <v>46032.832743055558</v>
      </c>
      <c r="B1267" s="115">
        <v>46032</v>
      </c>
      <c r="C1267" s="116">
        <v>15</v>
      </c>
      <c r="D1267" s="116">
        <v>0</v>
      </c>
      <c r="E1267" s="116"/>
      <c r="F1267" s="116" t="s">
        <v>999</v>
      </c>
      <c r="G1267" s="40">
        <v>0.65</v>
      </c>
      <c r="H1267" s="116" t="s">
        <v>91</v>
      </c>
      <c r="I1267" s="116" t="s">
        <v>1019</v>
      </c>
      <c r="J1267" s="116"/>
      <c r="K1267" s="116" t="s">
        <v>2402</v>
      </c>
      <c r="L1267" s="116" t="s">
        <v>2483</v>
      </c>
      <c r="M1267" s="116"/>
    </row>
    <row r="1268" spans="1:13" x14ac:dyDescent="0.3">
      <c r="A1268" s="89">
        <v>46033</v>
      </c>
      <c r="B1268" s="89">
        <v>46033</v>
      </c>
      <c r="C1268" s="90">
        <v>20</v>
      </c>
      <c r="D1268" s="90">
        <v>0</v>
      </c>
      <c r="E1268" s="90" t="s">
        <v>1495</v>
      </c>
      <c r="F1268" s="90" t="s">
        <v>975</v>
      </c>
      <c r="G1268" s="39">
        <v>0.55000000000000004</v>
      </c>
      <c r="H1268" s="90" t="s">
        <v>91</v>
      </c>
      <c r="I1268" s="90" t="s">
        <v>1680</v>
      </c>
      <c r="J1268" s="90"/>
      <c r="K1268" s="90" t="s">
        <v>1494</v>
      </c>
      <c r="L1268" s="90" t="s">
        <v>2484</v>
      </c>
      <c r="M1268" s="90" t="s">
        <v>2485</v>
      </c>
    </row>
    <row r="1269" spans="1:13" x14ac:dyDescent="0.3">
      <c r="A1269" s="89">
        <v>46033</v>
      </c>
      <c r="B1269" s="89">
        <v>46033</v>
      </c>
      <c r="C1269" s="90">
        <v>190</v>
      </c>
      <c r="D1269" s="90">
        <v>0</v>
      </c>
      <c r="E1269" s="90" t="s">
        <v>1493</v>
      </c>
      <c r="F1269" s="90" t="s">
        <v>975</v>
      </c>
      <c r="G1269" s="39">
        <v>0.55000000000000004</v>
      </c>
      <c r="H1269" s="90" t="s">
        <v>91</v>
      </c>
      <c r="I1269" s="90" t="s">
        <v>1680</v>
      </c>
      <c r="J1269" s="90"/>
      <c r="K1269" s="90" t="s">
        <v>1492</v>
      </c>
      <c r="L1269" s="90" t="s">
        <v>2484</v>
      </c>
      <c r="M1269" s="90"/>
    </row>
    <row r="1270" spans="1:13" x14ac:dyDescent="0.3">
      <c r="A1270" s="89">
        <v>46033</v>
      </c>
      <c r="B1270" s="89">
        <v>46033</v>
      </c>
      <c r="C1270" s="90">
        <v>160</v>
      </c>
      <c r="D1270" s="90">
        <v>0</v>
      </c>
      <c r="E1270" s="90" t="s">
        <v>1429</v>
      </c>
      <c r="F1270" s="90" t="s">
        <v>975</v>
      </c>
      <c r="G1270" s="39">
        <v>0.55000000000000004</v>
      </c>
      <c r="H1270" s="90" t="s">
        <v>91</v>
      </c>
      <c r="I1270" s="90" t="s">
        <v>1680</v>
      </c>
      <c r="J1270" s="90"/>
      <c r="K1270" s="90" t="s">
        <v>1491</v>
      </c>
      <c r="L1270" s="90" t="s">
        <v>2484</v>
      </c>
      <c r="M1270" s="90"/>
    </row>
    <row r="1271" spans="1:13" x14ac:dyDescent="0.3">
      <c r="A1271" s="89">
        <v>46033</v>
      </c>
      <c r="B1271" s="89">
        <v>46033</v>
      </c>
      <c r="C1271" s="90">
        <v>90</v>
      </c>
      <c r="D1271" s="90">
        <v>0</v>
      </c>
      <c r="E1271" s="90" t="s">
        <v>1490</v>
      </c>
      <c r="F1271" s="90" t="s">
        <v>975</v>
      </c>
      <c r="G1271" s="39">
        <v>0.55000000000000004</v>
      </c>
      <c r="H1271" s="90" t="s">
        <v>91</v>
      </c>
      <c r="I1271" s="90" t="s">
        <v>1680</v>
      </c>
      <c r="J1271" s="90"/>
      <c r="K1271" s="90" t="s">
        <v>1489</v>
      </c>
      <c r="L1271" s="90" t="s">
        <v>2484</v>
      </c>
      <c r="M1271" s="90"/>
    </row>
    <row r="1272" spans="1:13" x14ac:dyDescent="0.3">
      <c r="A1272" s="89">
        <v>46033</v>
      </c>
      <c r="B1272" s="89">
        <v>46033</v>
      </c>
      <c r="C1272" s="90">
        <v>50</v>
      </c>
      <c r="D1272" s="90">
        <v>0</v>
      </c>
      <c r="E1272" s="90" t="s">
        <v>1488</v>
      </c>
      <c r="F1272" s="90" t="s">
        <v>975</v>
      </c>
      <c r="G1272" s="39">
        <v>0.55000000000000004</v>
      </c>
      <c r="H1272" s="90" t="s">
        <v>91</v>
      </c>
      <c r="I1272" s="90" t="s">
        <v>1680</v>
      </c>
      <c r="J1272" s="90"/>
      <c r="K1272" s="90" t="s">
        <v>1487</v>
      </c>
      <c r="L1272" s="90" t="s">
        <v>2484</v>
      </c>
      <c r="M1272" s="90"/>
    </row>
    <row r="1273" spans="1:13" x14ac:dyDescent="0.3">
      <c r="A1273" s="89">
        <v>46033</v>
      </c>
      <c r="B1273" s="89">
        <v>46033</v>
      </c>
      <c r="C1273" s="90">
        <v>20</v>
      </c>
      <c r="D1273" s="90">
        <v>0</v>
      </c>
      <c r="E1273" s="90" t="s">
        <v>1486</v>
      </c>
      <c r="F1273" s="90" t="s">
        <v>975</v>
      </c>
      <c r="G1273" s="39">
        <v>0.55000000000000004</v>
      </c>
      <c r="H1273" s="90" t="s">
        <v>91</v>
      </c>
      <c r="I1273" s="90" t="s">
        <v>1680</v>
      </c>
      <c r="J1273" s="90"/>
      <c r="K1273" s="90" t="s">
        <v>1485</v>
      </c>
      <c r="L1273" s="90" t="s">
        <v>2484</v>
      </c>
      <c r="M1273" s="90" t="s">
        <v>2485</v>
      </c>
    </row>
    <row r="1274" spans="1:13" x14ac:dyDescent="0.3">
      <c r="A1274" s="89">
        <v>46033</v>
      </c>
      <c r="B1274" s="89">
        <v>46033</v>
      </c>
      <c r="C1274" s="90">
        <v>100</v>
      </c>
      <c r="D1274" s="90">
        <v>0</v>
      </c>
      <c r="E1274" s="90" t="s">
        <v>1484</v>
      </c>
      <c r="F1274" s="90" t="s">
        <v>975</v>
      </c>
      <c r="G1274" s="39">
        <v>0.55000000000000004</v>
      </c>
      <c r="H1274" s="90" t="s">
        <v>91</v>
      </c>
      <c r="I1274" s="90" t="s">
        <v>1680</v>
      </c>
      <c r="J1274" s="90"/>
      <c r="K1274" s="90" t="s">
        <v>1483</v>
      </c>
      <c r="L1274" s="90" t="s">
        <v>2484</v>
      </c>
      <c r="M1274" s="90"/>
    </row>
    <row r="1275" spans="1:13" x14ac:dyDescent="0.3">
      <c r="A1275" s="89">
        <v>46033.336157407408</v>
      </c>
      <c r="B1275" s="89">
        <v>46033</v>
      </c>
      <c r="C1275" s="90">
        <v>72</v>
      </c>
      <c r="D1275" s="90">
        <v>0</v>
      </c>
      <c r="E1275" s="90" t="s">
        <v>1474</v>
      </c>
      <c r="F1275" s="90" t="s">
        <v>975</v>
      </c>
      <c r="G1275" s="39">
        <v>0.55000000000000004</v>
      </c>
      <c r="H1275" s="90" t="s">
        <v>91</v>
      </c>
      <c r="I1275" s="90" t="s">
        <v>1019</v>
      </c>
      <c r="J1275" s="90"/>
      <c r="K1275" s="90" t="s">
        <v>2404</v>
      </c>
      <c r="L1275" s="90" t="s">
        <v>2483</v>
      </c>
      <c r="M1275" s="90"/>
    </row>
    <row r="1276" spans="1:13" x14ac:dyDescent="0.3">
      <c r="A1276" s="89">
        <v>46033.337685185194</v>
      </c>
      <c r="B1276" s="89">
        <v>46033</v>
      </c>
      <c r="C1276" s="90">
        <v>192</v>
      </c>
      <c r="D1276" s="90">
        <v>0</v>
      </c>
      <c r="E1276" s="90" t="s">
        <v>2408</v>
      </c>
      <c r="F1276" s="90" t="s">
        <v>975</v>
      </c>
      <c r="G1276" s="39">
        <v>0.55000000000000004</v>
      </c>
      <c r="H1276" s="90" t="s">
        <v>91</v>
      </c>
      <c r="I1276" s="90" t="s">
        <v>1019</v>
      </c>
      <c r="J1276" s="90"/>
      <c r="K1276" s="90" t="s">
        <v>2406</v>
      </c>
      <c r="L1276" s="90" t="s">
        <v>2483</v>
      </c>
      <c r="M1276" s="90"/>
    </row>
    <row r="1277" spans="1:13" x14ac:dyDescent="0.3">
      <c r="A1277" s="89">
        <v>46033.478622685187</v>
      </c>
      <c r="B1277" s="89">
        <v>46033</v>
      </c>
      <c r="C1277" s="90">
        <v>480</v>
      </c>
      <c r="D1277" s="90">
        <v>0</v>
      </c>
      <c r="E1277" s="90" t="s">
        <v>2411</v>
      </c>
      <c r="F1277" s="90" t="s">
        <v>975</v>
      </c>
      <c r="G1277" s="39">
        <v>0.55000000000000004</v>
      </c>
      <c r="H1277" s="90" t="s">
        <v>91</v>
      </c>
      <c r="I1277" s="90" t="s">
        <v>1019</v>
      </c>
      <c r="J1277" s="90"/>
      <c r="K1277" s="90" t="s">
        <v>2409</v>
      </c>
      <c r="L1277" s="90" t="s">
        <v>2483</v>
      </c>
      <c r="M1277" s="90"/>
    </row>
    <row r="1278" spans="1:13" x14ac:dyDescent="0.3">
      <c r="A1278" s="89">
        <v>46034</v>
      </c>
      <c r="B1278" s="89">
        <v>46034</v>
      </c>
      <c r="C1278" s="90">
        <v>410.26</v>
      </c>
      <c r="D1278" s="90">
        <v>0</v>
      </c>
      <c r="E1278" s="90"/>
      <c r="F1278" s="90" t="s">
        <v>992</v>
      </c>
      <c r="G1278" s="40">
        <v>0.75</v>
      </c>
      <c r="H1278" s="90" t="s">
        <v>91</v>
      </c>
      <c r="I1278" s="90" t="s">
        <v>1680</v>
      </c>
      <c r="J1278" s="90"/>
      <c r="K1278" s="90" t="s">
        <v>1496</v>
      </c>
      <c r="L1278" s="90" t="s">
        <v>2484</v>
      </c>
      <c r="M1278" s="90"/>
    </row>
    <row r="1279" spans="1:13" x14ac:dyDescent="0.3">
      <c r="A1279" s="27">
        <v>46034</v>
      </c>
      <c r="B1279" s="27">
        <v>46034</v>
      </c>
      <c r="C1279" s="28">
        <v>39</v>
      </c>
      <c r="D1279" s="28">
        <v>0</v>
      </c>
      <c r="E1279" s="28"/>
      <c r="F1279" s="28" t="s">
        <v>11</v>
      </c>
      <c r="G1279" s="40">
        <v>0.68</v>
      </c>
      <c r="H1279" s="28" t="s">
        <v>112</v>
      </c>
      <c r="I1279" s="28" t="s">
        <v>1680</v>
      </c>
      <c r="J1279" s="28"/>
      <c r="K1279" s="28" t="s">
        <v>1501</v>
      </c>
      <c r="L1279" s="28" t="s">
        <v>2484</v>
      </c>
      <c r="M1279" s="28"/>
    </row>
    <row r="1280" spans="1:13" x14ac:dyDescent="0.3">
      <c r="A1280" s="85">
        <v>46034</v>
      </c>
      <c r="B1280" s="85">
        <v>46034</v>
      </c>
      <c r="C1280" s="86">
        <v>40000</v>
      </c>
      <c r="D1280" s="86">
        <v>0</v>
      </c>
      <c r="E1280" s="86"/>
      <c r="F1280" s="86" t="s">
        <v>974</v>
      </c>
      <c r="G1280" s="24">
        <v>0.9</v>
      </c>
      <c r="H1280" s="86" t="s">
        <v>1019</v>
      </c>
      <c r="I1280" s="86" t="s">
        <v>1680</v>
      </c>
      <c r="J1280" s="86"/>
      <c r="K1280" s="86" t="s">
        <v>1502</v>
      </c>
      <c r="L1280" s="86" t="s">
        <v>2484</v>
      </c>
      <c r="M1280" s="86"/>
    </row>
    <row r="1281" spans="1:13" x14ac:dyDescent="0.3">
      <c r="A1281" s="89">
        <v>46034</v>
      </c>
      <c r="B1281" s="89">
        <v>46034</v>
      </c>
      <c r="C1281" s="90">
        <v>30</v>
      </c>
      <c r="D1281" s="90">
        <v>0</v>
      </c>
      <c r="E1281" s="90" t="s">
        <v>1446</v>
      </c>
      <c r="F1281" s="90" t="s">
        <v>975</v>
      </c>
      <c r="G1281" s="39">
        <v>0.55000000000000004</v>
      </c>
      <c r="H1281" s="90" t="s">
        <v>91</v>
      </c>
      <c r="I1281" s="90" t="s">
        <v>1680</v>
      </c>
      <c r="J1281" s="90"/>
      <c r="K1281" s="90" t="s">
        <v>1497</v>
      </c>
      <c r="L1281" s="90" t="s">
        <v>2484</v>
      </c>
      <c r="M1281" s="90"/>
    </row>
    <row r="1282" spans="1:13" x14ac:dyDescent="0.3">
      <c r="A1282" s="27">
        <v>46034</v>
      </c>
      <c r="B1282" s="27">
        <v>46034</v>
      </c>
      <c r="C1282" s="28">
        <v>189.3</v>
      </c>
      <c r="D1282" s="28">
        <v>0</v>
      </c>
      <c r="E1282" s="28"/>
      <c r="F1282" s="28" t="s">
        <v>4</v>
      </c>
      <c r="G1282" s="24">
        <v>0.97</v>
      </c>
      <c r="H1282" s="28" t="s">
        <v>49</v>
      </c>
      <c r="I1282" s="28" t="s">
        <v>1779</v>
      </c>
      <c r="J1282" s="28"/>
      <c r="K1282" s="28" t="s">
        <v>50</v>
      </c>
      <c r="L1282" s="28" t="s">
        <v>2482</v>
      </c>
      <c r="M1282" s="28"/>
    </row>
    <row r="1283" spans="1:13" x14ac:dyDescent="0.3">
      <c r="A1283" s="89">
        <v>46034</v>
      </c>
      <c r="B1283" s="89">
        <v>46034</v>
      </c>
      <c r="C1283" s="90">
        <v>121</v>
      </c>
      <c r="D1283" s="90">
        <v>0</v>
      </c>
      <c r="E1283" s="90" t="s">
        <v>1440</v>
      </c>
      <c r="F1283" s="90" t="s">
        <v>975</v>
      </c>
      <c r="G1283" s="39">
        <v>0.55000000000000004</v>
      </c>
      <c r="H1283" s="90" t="s">
        <v>91</v>
      </c>
      <c r="I1283" s="90" t="s">
        <v>1680</v>
      </c>
      <c r="J1283" s="90"/>
      <c r="K1283" s="90" t="s">
        <v>1500</v>
      </c>
      <c r="L1283" s="90" t="s">
        <v>2484</v>
      </c>
      <c r="M1283" s="90"/>
    </row>
    <row r="1284" spans="1:13" x14ac:dyDescent="0.3">
      <c r="A1284" s="89">
        <v>46034</v>
      </c>
      <c r="B1284" s="89">
        <v>46034</v>
      </c>
      <c r="C1284" s="90">
        <v>72</v>
      </c>
      <c r="D1284" s="90">
        <v>0</v>
      </c>
      <c r="E1284" s="90" t="s">
        <v>1499</v>
      </c>
      <c r="F1284" s="90" t="s">
        <v>975</v>
      </c>
      <c r="G1284" s="39">
        <v>0.55000000000000004</v>
      </c>
      <c r="H1284" s="90" t="s">
        <v>91</v>
      </c>
      <c r="I1284" s="90" t="s">
        <v>1680</v>
      </c>
      <c r="J1284" s="90"/>
      <c r="K1284" s="90" t="s">
        <v>1498</v>
      </c>
      <c r="L1284" s="90" t="s">
        <v>2484</v>
      </c>
      <c r="M1284" s="90"/>
    </row>
    <row r="1285" spans="1:13" x14ac:dyDescent="0.3">
      <c r="A1285" s="59">
        <v>46034.358796296299</v>
      </c>
      <c r="B1285" s="59">
        <v>46034</v>
      </c>
      <c r="C1285" s="60">
        <v>0</v>
      </c>
      <c r="D1285" s="60">
        <v>501</v>
      </c>
      <c r="E1285" s="60"/>
      <c r="F1285" s="60" t="s">
        <v>29</v>
      </c>
      <c r="G1285" s="24">
        <v>0.85</v>
      </c>
      <c r="H1285" s="60" t="s">
        <v>606</v>
      </c>
      <c r="I1285" s="60" t="s">
        <v>1019</v>
      </c>
      <c r="J1285" s="60"/>
      <c r="K1285" s="60" t="s">
        <v>2412</v>
      </c>
      <c r="L1285" s="60" t="s">
        <v>2483</v>
      </c>
      <c r="M1285" s="60"/>
    </row>
    <row r="1286" spans="1:13" x14ac:dyDescent="0.3">
      <c r="A1286" s="146">
        <v>46034.974259259259</v>
      </c>
      <c r="B1286" s="146">
        <v>46034</v>
      </c>
      <c r="C1286" s="147">
        <v>0</v>
      </c>
      <c r="D1286" s="147">
        <v>100.03</v>
      </c>
      <c r="E1286" s="147"/>
      <c r="F1286" s="147" t="s">
        <v>1678</v>
      </c>
      <c r="G1286" s="24">
        <v>0.88</v>
      </c>
      <c r="H1286" s="147" t="s">
        <v>1658</v>
      </c>
      <c r="I1286" s="147" t="s">
        <v>1019</v>
      </c>
      <c r="J1286" s="147"/>
      <c r="K1286" s="147" t="s">
        <v>2414</v>
      </c>
      <c r="L1286" s="147" t="s">
        <v>2483</v>
      </c>
      <c r="M1286" s="147"/>
    </row>
    <row r="1287" spans="1:13" x14ac:dyDescent="0.3">
      <c r="A1287" s="27">
        <v>46034.996724537043</v>
      </c>
      <c r="B1287" s="27">
        <v>46034</v>
      </c>
      <c r="C1287" s="28">
        <v>0</v>
      </c>
      <c r="D1287" s="28">
        <v>40000</v>
      </c>
      <c r="E1287" s="28"/>
      <c r="F1287" s="28" t="s">
        <v>1656</v>
      </c>
      <c r="G1287" s="24">
        <v>0.95</v>
      </c>
      <c r="H1287" s="28" t="s">
        <v>1680</v>
      </c>
      <c r="I1287" s="28" t="s">
        <v>1019</v>
      </c>
      <c r="J1287" s="28"/>
      <c r="K1287" s="28" t="s">
        <v>2416</v>
      </c>
      <c r="L1287" s="28" t="s">
        <v>2483</v>
      </c>
      <c r="M1287" s="28"/>
    </row>
    <row r="1288" spans="1:13" x14ac:dyDescent="0.3">
      <c r="A1288" s="101">
        <v>46034.997187499997</v>
      </c>
      <c r="B1288" s="101">
        <v>46034</v>
      </c>
      <c r="C1288" s="102">
        <v>40000</v>
      </c>
      <c r="D1288" s="102">
        <v>0</v>
      </c>
      <c r="E1288" s="102"/>
      <c r="F1288" s="102" t="s">
        <v>985</v>
      </c>
      <c r="G1288" s="40">
        <v>0.68</v>
      </c>
      <c r="H1288" s="102" t="s">
        <v>1028</v>
      </c>
      <c r="I1288" s="102" t="s">
        <v>1019</v>
      </c>
      <c r="J1288" s="102"/>
      <c r="K1288" s="102" t="s">
        <v>2418</v>
      </c>
      <c r="L1288" s="102" t="s">
        <v>2483</v>
      </c>
      <c r="M1288" s="102"/>
    </row>
    <row r="1289" spans="1:13" x14ac:dyDescent="0.3">
      <c r="A1289" s="27">
        <v>46035</v>
      </c>
      <c r="B1289" s="27">
        <v>46035</v>
      </c>
      <c r="C1289" s="28">
        <v>2035.9</v>
      </c>
      <c r="D1289" s="28">
        <v>0</v>
      </c>
      <c r="E1289" s="28"/>
      <c r="F1289" s="28" t="s">
        <v>4</v>
      </c>
      <c r="G1289" s="24">
        <v>0.97</v>
      </c>
      <c r="H1289" s="28" t="s">
        <v>49</v>
      </c>
      <c r="I1289" s="28" t="s">
        <v>1779</v>
      </c>
      <c r="J1289" s="28"/>
      <c r="K1289" s="28" t="s">
        <v>50</v>
      </c>
      <c r="L1289" s="28" t="s">
        <v>2482</v>
      </c>
      <c r="M1289" s="28"/>
    </row>
    <row r="1290" spans="1:13" x14ac:dyDescent="0.3">
      <c r="A1290" s="25">
        <v>46035</v>
      </c>
      <c r="B1290" s="25">
        <v>46035</v>
      </c>
      <c r="C1290" s="26">
        <v>0</v>
      </c>
      <c r="D1290" s="26">
        <v>836.73</v>
      </c>
      <c r="E1290" s="26"/>
      <c r="F1290" s="26" t="s">
        <v>3</v>
      </c>
      <c r="G1290" s="24">
        <v>0.93</v>
      </c>
      <c r="H1290" s="26" t="s">
        <v>49</v>
      </c>
      <c r="I1290" s="26" t="s">
        <v>1779</v>
      </c>
      <c r="J1290" s="26"/>
      <c r="K1290" s="26" t="s">
        <v>799</v>
      </c>
      <c r="L1290" s="26" t="s">
        <v>2482</v>
      </c>
      <c r="M1290" s="26"/>
    </row>
    <row r="1291" spans="1:13" x14ac:dyDescent="0.3">
      <c r="A1291" s="27">
        <v>46035</v>
      </c>
      <c r="B1291" s="27">
        <v>46035</v>
      </c>
      <c r="C1291" s="28">
        <v>63.1</v>
      </c>
      <c r="D1291" s="28">
        <v>0</v>
      </c>
      <c r="E1291" s="28"/>
      <c r="F1291" s="28" t="s">
        <v>4</v>
      </c>
      <c r="G1291" s="24">
        <v>0.97</v>
      </c>
      <c r="H1291" s="28" t="s">
        <v>49</v>
      </c>
      <c r="I1291" s="28" t="s">
        <v>1779</v>
      </c>
      <c r="J1291" s="28"/>
      <c r="K1291" s="28" t="s">
        <v>50</v>
      </c>
      <c r="L1291" s="28" t="s">
        <v>2482</v>
      </c>
      <c r="M1291" s="28"/>
    </row>
    <row r="1292" spans="1:13" x14ac:dyDescent="0.3">
      <c r="A1292" s="89">
        <v>46035</v>
      </c>
      <c r="B1292" s="89">
        <v>46035</v>
      </c>
      <c r="C1292" s="90">
        <v>20</v>
      </c>
      <c r="D1292" s="90">
        <v>0</v>
      </c>
      <c r="E1292" s="90" t="s">
        <v>1504</v>
      </c>
      <c r="F1292" s="90" t="s">
        <v>975</v>
      </c>
      <c r="G1292" s="39">
        <v>0.55000000000000004</v>
      </c>
      <c r="H1292" s="90" t="s">
        <v>91</v>
      </c>
      <c r="I1292" s="90" t="s">
        <v>1680</v>
      </c>
      <c r="J1292" s="90"/>
      <c r="K1292" s="90" t="s">
        <v>1503</v>
      </c>
      <c r="L1292" s="90" t="s">
        <v>2484</v>
      </c>
      <c r="M1292" s="90" t="s">
        <v>2485</v>
      </c>
    </row>
    <row r="1293" spans="1:13" x14ac:dyDescent="0.3">
      <c r="A1293" s="35">
        <v>46035</v>
      </c>
      <c r="B1293" s="35">
        <v>46035</v>
      </c>
      <c r="C1293" s="36">
        <v>82.6</v>
      </c>
      <c r="D1293" s="36">
        <v>0</v>
      </c>
      <c r="E1293" s="36"/>
      <c r="F1293" s="36" t="s">
        <v>9</v>
      </c>
      <c r="G1293" s="24">
        <v>0.93</v>
      </c>
      <c r="H1293" s="36" t="s">
        <v>9</v>
      </c>
      <c r="I1293" s="36" t="s">
        <v>1779</v>
      </c>
      <c r="J1293" s="36"/>
      <c r="K1293" s="36" t="s">
        <v>802</v>
      </c>
      <c r="L1293" s="36" t="s">
        <v>2482</v>
      </c>
      <c r="M1293" s="36"/>
    </row>
    <row r="1294" spans="1:13" x14ac:dyDescent="0.3">
      <c r="A1294" s="89">
        <v>46035</v>
      </c>
      <c r="B1294" s="89">
        <v>46035</v>
      </c>
      <c r="C1294" s="90">
        <v>20</v>
      </c>
      <c r="D1294" s="90">
        <v>0</v>
      </c>
      <c r="E1294" s="90" t="s">
        <v>1471</v>
      </c>
      <c r="F1294" s="90" t="s">
        <v>975</v>
      </c>
      <c r="G1294" s="39">
        <v>0.55000000000000004</v>
      </c>
      <c r="H1294" s="90" t="s">
        <v>91</v>
      </c>
      <c r="I1294" s="90" t="s">
        <v>1680</v>
      </c>
      <c r="J1294" s="90"/>
      <c r="K1294" s="90" t="s">
        <v>1505</v>
      </c>
      <c r="L1294" s="90" t="s">
        <v>2484</v>
      </c>
      <c r="M1294" s="90" t="s">
        <v>2485</v>
      </c>
    </row>
    <row r="1295" spans="1:13" x14ac:dyDescent="0.3">
      <c r="A1295" s="89">
        <v>46035</v>
      </c>
      <c r="B1295" s="89">
        <v>46035</v>
      </c>
      <c r="C1295" s="90">
        <v>470</v>
      </c>
      <c r="D1295" s="90">
        <v>0</v>
      </c>
      <c r="E1295" s="90" t="s">
        <v>1770</v>
      </c>
      <c r="F1295" s="90" t="s">
        <v>975</v>
      </c>
      <c r="G1295" s="39">
        <v>0.55000000000000004</v>
      </c>
      <c r="H1295" s="90" t="s">
        <v>91</v>
      </c>
      <c r="I1295" s="90" t="s">
        <v>837</v>
      </c>
      <c r="J1295" s="90"/>
      <c r="K1295" s="90" t="s">
        <v>1769</v>
      </c>
      <c r="L1295" s="90" t="s">
        <v>2486</v>
      </c>
      <c r="M1295" s="90"/>
    </row>
    <row r="1296" spans="1:13" x14ac:dyDescent="0.3">
      <c r="A1296" s="27">
        <v>46036</v>
      </c>
      <c r="B1296" s="27">
        <v>46036</v>
      </c>
      <c r="C1296" s="28">
        <v>62.67</v>
      </c>
      <c r="D1296" s="28">
        <v>0</v>
      </c>
      <c r="E1296" s="28"/>
      <c r="F1296" s="28" t="s">
        <v>4</v>
      </c>
      <c r="G1296" s="24">
        <v>0.97</v>
      </c>
      <c r="H1296" s="28" t="s">
        <v>49</v>
      </c>
      <c r="I1296" s="28" t="s">
        <v>1779</v>
      </c>
      <c r="J1296" s="28"/>
      <c r="K1296" s="28" t="s">
        <v>50</v>
      </c>
      <c r="L1296" s="28" t="s">
        <v>2482</v>
      </c>
      <c r="M1296" s="28"/>
    </row>
    <row r="1297" spans="1:13" x14ac:dyDescent="0.3">
      <c r="A1297" s="89">
        <v>46037</v>
      </c>
      <c r="B1297" s="89">
        <v>46037</v>
      </c>
      <c r="C1297" s="90">
        <v>245</v>
      </c>
      <c r="D1297" s="90">
        <v>0</v>
      </c>
      <c r="E1297" s="90" t="s">
        <v>1507</v>
      </c>
      <c r="F1297" s="90" t="s">
        <v>975</v>
      </c>
      <c r="G1297" s="39">
        <v>0.55000000000000004</v>
      </c>
      <c r="H1297" s="90" t="s">
        <v>91</v>
      </c>
      <c r="I1297" s="90" t="s">
        <v>1680</v>
      </c>
      <c r="J1297" s="90"/>
      <c r="K1297" s="90" t="s">
        <v>1506</v>
      </c>
      <c r="L1297" s="90" t="s">
        <v>2484</v>
      </c>
      <c r="M1297" s="90"/>
    </row>
    <row r="1298" spans="1:13" x14ac:dyDescent="0.3">
      <c r="A1298" s="89">
        <v>46037</v>
      </c>
      <c r="B1298" s="89">
        <v>46037</v>
      </c>
      <c r="C1298" s="90">
        <v>45</v>
      </c>
      <c r="D1298" s="90">
        <v>0</v>
      </c>
      <c r="E1298" s="90" t="s">
        <v>1509</v>
      </c>
      <c r="F1298" s="90" t="s">
        <v>975</v>
      </c>
      <c r="G1298" s="39">
        <v>0.55000000000000004</v>
      </c>
      <c r="H1298" s="90" t="s">
        <v>91</v>
      </c>
      <c r="I1298" s="90" t="s">
        <v>1680</v>
      </c>
      <c r="J1298" s="90"/>
      <c r="K1298" s="90" t="s">
        <v>1508</v>
      </c>
      <c r="L1298" s="90" t="s">
        <v>2484</v>
      </c>
      <c r="M1298" s="90"/>
    </row>
    <row r="1299" spans="1:13" x14ac:dyDescent="0.3">
      <c r="A1299" s="89">
        <v>46037</v>
      </c>
      <c r="B1299" s="89">
        <v>46037</v>
      </c>
      <c r="C1299" s="90">
        <v>50</v>
      </c>
      <c r="D1299" s="90">
        <v>0</v>
      </c>
      <c r="E1299" s="90" t="s">
        <v>1772</v>
      </c>
      <c r="F1299" s="90" t="s">
        <v>975</v>
      </c>
      <c r="G1299" s="39">
        <v>0.55000000000000004</v>
      </c>
      <c r="H1299" s="90" t="s">
        <v>91</v>
      </c>
      <c r="I1299" s="90" t="s">
        <v>837</v>
      </c>
      <c r="J1299" s="90"/>
      <c r="K1299" s="90" t="s">
        <v>1771</v>
      </c>
      <c r="L1299" s="90" t="s">
        <v>2486</v>
      </c>
      <c r="M1299" s="90"/>
    </row>
    <row r="1300" spans="1:13" x14ac:dyDescent="0.3">
      <c r="A1300" s="85">
        <v>46037</v>
      </c>
      <c r="B1300" s="85">
        <v>46037</v>
      </c>
      <c r="C1300" s="86">
        <v>0</v>
      </c>
      <c r="D1300" s="86">
        <v>4217.71</v>
      </c>
      <c r="E1300" s="86"/>
      <c r="F1300" s="86" t="s">
        <v>974</v>
      </c>
      <c r="G1300" s="24">
        <v>0.9</v>
      </c>
      <c r="H1300" s="86" t="s">
        <v>1019</v>
      </c>
      <c r="I1300" s="86" t="s">
        <v>837</v>
      </c>
      <c r="J1300" s="86"/>
      <c r="K1300" s="86" t="s">
        <v>1773</v>
      </c>
      <c r="L1300" s="86" t="s">
        <v>2486</v>
      </c>
      <c r="M1300" s="86"/>
    </row>
    <row r="1301" spans="1:13" x14ac:dyDescent="0.3">
      <c r="A1301" s="85">
        <v>46037</v>
      </c>
      <c r="B1301" s="85">
        <v>46037</v>
      </c>
      <c r="C1301" s="86">
        <v>0</v>
      </c>
      <c r="D1301" s="86">
        <v>8000</v>
      </c>
      <c r="E1301" s="86"/>
      <c r="F1301" s="86" t="s">
        <v>974</v>
      </c>
      <c r="G1301" s="24">
        <v>0.9</v>
      </c>
      <c r="H1301" s="86" t="s">
        <v>1019</v>
      </c>
      <c r="I1301" s="86" t="s">
        <v>837</v>
      </c>
      <c r="J1301" s="86"/>
      <c r="K1301" s="86" t="s">
        <v>1774</v>
      </c>
      <c r="L1301" s="86" t="s">
        <v>2486</v>
      </c>
      <c r="M1301" s="86"/>
    </row>
    <row r="1302" spans="1:13" x14ac:dyDescent="0.3">
      <c r="A1302" s="27">
        <v>46037.904490740737</v>
      </c>
      <c r="B1302" s="27">
        <v>46037</v>
      </c>
      <c r="C1302" s="28">
        <v>4217.71</v>
      </c>
      <c r="D1302" s="28">
        <v>0</v>
      </c>
      <c r="E1302" s="28"/>
      <c r="F1302" s="28" t="s">
        <v>30</v>
      </c>
      <c r="G1302" s="24">
        <v>0.95</v>
      </c>
      <c r="H1302" s="28" t="s">
        <v>837</v>
      </c>
      <c r="I1302" s="28" t="s">
        <v>1019</v>
      </c>
      <c r="J1302" s="28"/>
      <c r="K1302" s="28" t="s">
        <v>2420</v>
      </c>
      <c r="L1302" s="28" t="s">
        <v>2483</v>
      </c>
      <c r="M1302" s="28"/>
    </row>
    <row r="1303" spans="1:13" x14ac:dyDescent="0.3">
      <c r="A1303" s="27">
        <v>46037.907372685193</v>
      </c>
      <c r="B1303" s="27">
        <v>46037</v>
      </c>
      <c r="C1303" s="28">
        <v>8000</v>
      </c>
      <c r="D1303" s="28">
        <v>0</v>
      </c>
      <c r="E1303" s="28"/>
      <c r="F1303" s="28" t="s">
        <v>30</v>
      </c>
      <c r="G1303" s="24">
        <v>0.95</v>
      </c>
      <c r="H1303" s="28" t="s">
        <v>837</v>
      </c>
      <c r="I1303" s="28" t="s">
        <v>1019</v>
      </c>
      <c r="J1303" s="28"/>
      <c r="K1303" s="28" t="s">
        <v>2422</v>
      </c>
      <c r="L1303" s="28" t="s">
        <v>2483</v>
      </c>
      <c r="M1303" s="28"/>
    </row>
    <row r="1304" spans="1:13" x14ac:dyDescent="0.3">
      <c r="A1304" s="25">
        <v>46038</v>
      </c>
      <c r="B1304" s="25">
        <v>46038</v>
      </c>
      <c r="C1304" s="26">
        <v>0</v>
      </c>
      <c r="D1304" s="26">
        <v>697.51</v>
      </c>
      <c r="E1304" s="26"/>
      <c r="F1304" s="26" t="s">
        <v>3</v>
      </c>
      <c r="G1304" s="24">
        <v>0.93</v>
      </c>
      <c r="H1304" s="26" t="s">
        <v>49</v>
      </c>
      <c r="I1304" s="26" t="s">
        <v>1779</v>
      </c>
      <c r="J1304" s="26"/>
      <c r="K1304" s="26" t="s">
        <v>805</v>
      </c>
      <c r="L1304" s="26" t="s">
        <v>2482</v>
      </c>
      <c r="M1304" s="26"/>
    </row>
    <row r="1305" spans="1:13" x14ac:dyDescent="0.3">
      <c r="A1305" s="89">
        <v>46038</v>
      </c>
      <c r="B1305" s="89">
        <v>46038</v>
      </c>
      <c r="C1305" s="90">
        <v>125</v>
      </c>
      <c r="D1305" s="90">
        <v>0</v>
      </c>
      <c r="E1305" s="90" t="s">
        <v>1511</v>
      </c>
      <c r="F1305" s="90" t="s">
        <v>975</v>
      </c>
      <c r="G1305" s="39">
        <v>0.55000000000000004</v>
      </c>
      <c r="H1305" s="90" t="s">
        <v>91</v>
      </c>
      <c r="I1305" s="90" t="s">
        <v>1680</v>
      </c>
      <c r="J1305" s="90"/>
      <c r="K1305" s="90" t="s">
        <v>1510</v>
      </c>
      <c r="L1305" s="90" t="s">
        <v>2484</v>
      </c>
      <c r="M1305" s="90"/>
    </row>
    <row r="1306" spans="1:13" x14ac:dyDescent="0.3">
      <c r="A1306" s="27">
        <v>46038</v>
      </c>
      <c r="B1306" s="27">
        <v>46038</v>
      </c>
      <c r="C1306" s="28">
        <v>1079.57</v>
      </c>
      <c r="D1306" s="28">
        <v>0</v>
      </c>
      <c r="E1306" s="28"/>
      <c r="F1306" s="28" t="s">
        <v>4</v>
      </c>
      <c r="G1306" s="24">
        <v>0.97</v>
      </c>
      <c r="H1306" s="28" t="s">
        <v>49</v>
      </c>
      <c r="I1306" s="28" t="s">
        <v>1779</v>
      </c>
      <c r="J1306" s="28"/>
      <c r="K1306" s="28" t="s">
        <v>50</v>
      </c>
      <c r="L1306" s="28" t="s">
        <v>2482</v>
      </c>
      <c r="M1306" s="28"/>
    </row>
    <row r="1307" spans="1:13" x14ac:dyDescent="0.3">
      <c r="A1307" s="27">
        <v>46038</v>
      </c>
      <c r="B1307" s="27">
        <v>46038</v>
      </c>
      <c r="C1307" s="28">
        <v>125.34</v>
      </c>
      <c r="D1307" s="28">
        <v>0</v>
      </c>
      <c r="E1307" s="28"/>
      <c r="F1307" s="28" t="s">
        <v>4</v>
      </c>
      <c r="G1307" s="24">
        <v>0.97</v>
      </c>
      <c r="H1307" s="28" t="s">
        <v>49</v>
      </c>
      <c r="I1307" s="28" t="s">
        <v>1779</v>
      </c>
      <c r="J1307" s="28"/>
      <c r="K1307" s="28" t="s">
        <v>50</v>
      </c>
      <c r="L1307" s="28" t="s">
        <v>2482</v>
      </c>
      <c r="M1307" s="28"/>
    </row>
    <row r="1308" spans="1:13" x14ac:dyDescent="0.3">
      <c r="A1308" s="107">
        <v>46038.970833333333</v>
      </c>
      <c r="B1308" s="107">
        <v>46038</v>
      </c>
      <c r="C1308" s="108">
        <v>1930.19</v>
      </c>
      <c r="D1308" s="108">
        <v>0</v>
      </c>
      <c r="E1308" s="108"/>
      <c r="F1308" s="108" t="s">
        <v>1817</v>
      </c>
      <c r="G1308" s="24">
        <v>0.85</v>
      </c>
      <c r="H1308" s="108" t="s">
        <v>1189</v>
      </c>
      <c r="I1308" s="108" t="s">
        <v>1019</v>
      </c>
      <c r="J1308" s="108"/>
      <c r="K1308" s="108" t="s">
        <v>2424</v>
      </c>
      <c r="L1308" s="108" t="s">
        <v>2483</v>
      </c>
      <c r="M1308" s="108"/>
    </row>
    <row r="1309" spans="1:13" x14ac:dyDescent="0.3">
      <c r="A1309" s="89">
        <v>46039</v>
      </c>
      <c r="B1309" s="89">
        <v>46039</v>
      </c>
      <c r="C1309" s="90">
        <v>30</v>
      </c>
      <c r="D1309" s="90">
        <v>0</v>
      </c>
      <c r="E1309" s="90" t="s">
        <v>1446</v>
      </c>
      <c r="F1309" s="90" t="s">
        <v>975</v>
      </c>
      <c r="G1309" s="39">
        <v>0.55000000000000004</v>
      </c>
      <c r="H1309" s="90" t="s">
        <v>91</v>
      </c>
      <c r="I1309" s="90" t="s">
        <v>1680</v>
      </c>
      <c r="J1309" s="90"/>
      <c r="K1309" s="90" t="s">
        <v>1512</v>
      </c>
      <c r="L1309" s="90" t="s">
        <v>2484</v>
      </c>
      <c r="M1309" s="90"/>
    </row>
    <row r="1310" spans="1:13" x14ac:dyDescent="0.3">
      <c r="A1310" s="113">
        <v>46039</v>
      </c>
      <c r="B1310" s="113">
        <v>46039</v>
      </c>
      <c r="C1310" s="114">
        <v>0</v>
      </c>
      <c r="D1310" s="114">
        <v>2000</v>
      </c>
      <c r="E1310" s="114"/>
      <c r="F1310" s="114" t="s">
        <v>998</v>
      </c>
      <c r="G1310" s="24">
        <v>0.9</v>
      </c>
      <c r="H1310" s="114" t="s">
        <v>996</v>
      </c>
      <c r="I1310" s="114" t="s">
        <v>1680</v>
      </c>
      <c r="J1310" s="114"/>
      <c r="K1310" s="114" t="s">
        <v>1469</v>
      </c>
      <c r="L1310" s="114" t="s">
        <v>2484</v>
      </c>
      <c r="M1310" s="114"/>
    </row>
    <row r="1311" spans="1:13" x14ac:dyDescent="0.3">
      <c r="A1311" s="89">
        <v>46039</v>
      </c>
      <c r="B1311" s="89">
        <v>46039</v>
      </c>
      <c r="C1311" s="90">
        <v>90</v>
      </c>
      <c r="D1311" s="90">
        <v>0</v>
      </c>
      <c r="E1311" s="90" t="s">
        <v>1515</v>
      </c>
      <c r="F1311" s="90" t="s">
        <v>975</v>
      </c>
      <c r="G1311" s="39">
        <v>0.55000000000000004</v>
      </c>
      <c r="H1311" s="90" t="s">
        <v>91</v>
      </c>
      <c r="I1311" s="90" t="s">
        <v>1680</v>
      </c>
      <c r="J1311" s="90"/>
      <c r="K1311" s="90" t="s">
        <v>1514</v>
      </c>
      <c r="L1311" s="90" t="s">
        <v>2484</v>
      </c>
      <c r="M1311" s="90"/>
    </row>
    <row r="1312" spans="1:13" x14ac:dyDescent="0.3">
      <c r="A1312" s="89">
        <v>46039</v>
      </c>
      <c r="B1312" s="89">
        <v>46039</v>
      </c>
      <c r="C1312" s="90">
        <v>260</v>
      </c>
      <c r="D1312" s="90">
        <v>0</v>
      </c>
      <c r="E1312" s="90" t="s">
        <v>1517</v>
      </c>
      <c r="F1312" s="90" t="s">
        <v>975</v>
      </c>
      <c r="G1312" s="39">
        <v>0.55000000000000004</v>
      </c>
      <c r="H1312" s="90" t="s">
        <v>91</v>
      </c>
      <c r="I1312" s="90" t="s">
        <v>1680</v>
      </c>
      <c r="J1312" s="90"/>
      <c r="K1312" s="90" t="s">
        <v>1516</v>
      </c>
      <c r="L1312" s="90" t="s">
        <v>2484</v>
      </c>
      <c r="M1312" s="90"/>
    </row>
    <row r="1313" spans="1:13" x14ac:dyDescent="0.3">
      <c r="A1313" s="89">
        <v>46039</v>
      </c>
      <c r="B1313" s="89">
        <v>46039</v>
      </c>
      <c r="C1313" s="90">
        <v>10</v>
      </c>
      <c r="D1313" s="90">
        <v>0</v>
      </c>
      <c r="E1313" s="90" t="s">
        <v>1519</v>
      </c>
      <c r="F1313" s="90" t="s">
        <v>975</v>
      </c>
      <c r="G1313" s="39">
        <v>0.55000000000000004</v>
      </c>
      <c r="H1313" s="90" t="s">
        <v>91</v>
      </c>
      <c r="I1313" s="90" t="s">
        <v>1680</v>
      </c>
      <c r="J1313" s="90"/>
      <c r="K1313" s="90" t="s">
        <v>1518</v>
      </c>
      <c r="L1313" s="90" t="s">
        <v>2484</v>
      </c>
      <c r="M1313" s="90"/>
    </row>
    <row r="1314" spans="1:13" x14ac:dyDescent="0.3">
      <c r="A1314" s="85">
        <v>46039</v>
      </c>
      <c r="B1314" s="85">
        <v>46039</v>
      </c>
      <c r="C1314" s="86">
        <v>12194</v>
      </c>
      <c r="D1314" s="86">
        <v>0</v>
      </c>
      <c r="E1314" s="86"/>
      <c r="F1314" s="86" t="s">
        <v>974</v>
      </c>
      <c r="G1314" s="24">
        <v>0.9</v>
      </c>
      <c r="H1314" s="86" t="s">
        <v>1019</v>
      </c>
      <c r="I1314" s="86" t="s">
        <v>1680</v>
      </c>
      <c r="J1314" s="86"/>
      <c r="K1314" s="86" t="s">
        <v>1513</v>
      </c>
      <c r="L1314" s="86" t="s">
        <v>2484</v>
      </c>
      <c r="M1314" s="86"/>
    </row>
    <row r="1315" spans="1:13" x14ac:dyDescent="0.3">
      <c r="A1315" s="27">
        <v>46039.45815972222</v>
      </c>
      <c r="B1315" s="27">
        <v>46039</v>
      </c>
      <c r="C1315" s="28">
        <v>0</v>
      </c>
      <c r="D1315" s="28">
        <v>12194</v>
      </c>
      <c r="E1315" s="28"/>
      <c r="F1315" s="28" t="s">
        <v>1656</v>
      </c>
      <c r="G1315" s="24">
        <v>0.95</v>
      </c>
      <c r="H1315" s="28" t="s">
        <v>1680</v>
      </c>
      <c r="I1315" s="28" t="s">
        <v>1019</v>
      </c>
      <c r="J1315" s="28"/>
      <c r="K1315" s="28" t="s">
        <v>2426</v>
      </c>
      <c r="L1315" s="28" t="s">
        <v>2483</v>
      </c>
      <c r="M1315" s="28"/>
    </row>
    <row r="1316" spans="1:13" x14ac:dyDescent="0.3">
      <c r="A1316" s="41">
        <v>46040</v>
      </c>
      <c r="B1316" s="41">
        <v>46040</v>
      </c>
      <c r="C1316" s="42">
        <v>3614.3</v>
      </c>
      <c r="D1316" s="42">
        <v>0</v>
      </c>
      <c r="E1316" s="42"/>
      <c r="F1316" s="42" t="s">
        <v>1000</v>
      </c>
      <c r="G1316" s="24">
        <v>0.88</v>
      </c>
      <c r="H1316" s="42" t="s">
        <v>131</v>
      </c>
      <c r="I1316" s="42" t="s">
        <v>1680</v>
      </c>
      <c r="J1316" s="42"/>
      <c r="K1316" s="42" t="s">
        <v>1521</v>
      </c>
      <c r="L1316" s="42" t="s">
        <v>2484</v>
      </c>
      <c r="M1316" s="42"/>
    </row>
    <row r="1317" spans="1:13" x14ac:dyDescent="0.3">
      <c r="A1317" s="89">
        <v>46040</v>
      </c>
      <c r="B1317" s="89">
        <v>46040</v>
      </c>
      <c r="C1317" s="90">
        <v>239</v>
      </c>
      <c r="D1317" s="90">
        <v>0</v>
      </c>
      <c r="E1317" s="90"/>
      <c r="F1317" s="90" t="s">
        <v>992</v>
      </c>
      <c r="G1317" s="40">
        <v>0.75</v>
      </c>
      <c r="H1317" s="90" t="s">
        <v>91</v>
      </c>
      <c r="I1317" s="90" t="s">
        <v>1680</v>
      </c>
      <c r="J1317" s="90"/>
      <c r="K1317" s="90" t="s">
        <v>1520</v>
      </c>
      <c r="L1317" s="90" t="s">
        <v>2484</v>
      </c>
      <c r="M1317" s="90"/>
    </row>
    <row r="1318" spans="1:13" x14ac:dyDescent="0.3">
      <c r="A1318" s="89">
        <v>46041</v>
      </c>
      <c r="B1318" s="89">
        <v>46041</v>
      </c>
      <c r="C1318" s="90">
        <v>30</v>
      </c>
      <c r="D1318" s="90">
        <v>0</v>
      </c>
      <c r="E1318" s="90" t="s">
        <v>1456</v>
      </c>
      <c r="F1318" s="90" t="s">
        <v>975</v>
      </c>
      <c r="G1318" s="39">
        <v>0.55000000000000004</v>
      </c>
      <c r="H1318" s="90" t="s">
        <v>91</v>
      </c>
      <c r="I1318" s="90" t="s">
        <v>1680</v>
      </c>
      <c r="J1318" s="90"/>
      <c r="K1318" s="90" t="s">
        <v>1525</v>
      </c>
      <c r="L1318" s="90" t="s">
        <v>2484</v>
      </c>
      <c r="M1318" s="90"/>
    </row>
    <row r="1319" spans="1:13" x14ac:dyDescent="0.3">
      <c r="A1319" s="89">
        <v>46041</v>
      </c>
      <c r="B1319" s="89">
        <v>46041</v>
      </c>
      <c r="C1319" s="90">
        <v>195</v>
      </c>
      <c r="D1319" s="90">
        <v>0</v>
      </c>
      <c r="E1319" s="90" t="s">
        <v>1524</v>
      </c>
      <c r="F1319" s="90" t="s">
        <v>975</v>
      </c>
      <c r="G1319" s="39">
        <v>0.55000000000000004</v>
      </c>
      <c r="H1319" s="90" t="s">
        <v>91</v>
      </c>
      <c r="I1319" s="90" t="s">
        <v>1680</v>
      </c>
      <c r="J1319" s="90"/>
      <c r="K1319" s="90" t="s">
        <v>1523</v>
      </c>
      <c r="L1319" s="90" t="s">
        <v>2484</v>
      </c>
      <c r="M1319" s="90"/>
    </row>
    <row r="1320" spans="1:13" x14ac:dyDescent="0.3">
      <c r="A1320" s="105">
        <v>46041</v>
      </c>
      <c r="B1320" s="105">
        <v>46041</v>
      </c>
      <c r="C1320" s="106">
        <v>2330</v>
      </c>
      <c r="D1320" s="106">
        <v>0</v>
      </c>
      <c r="E1320" s="106"/>
      <c r="F1320" s="106" t="s">
        <v>986</v>
      </c>
      <c r="G1320" s="24">
        <v>0.85</v>
      </c>
      <c r="H1320" s="106" t="s">
        <v>1176</v>
      </c>
      <c r="I1320" s="106" t="s">
        <v>1680</v>
      </c>
      <c r="J1320" s="106"/>
      <c r="K1320" s="106" t="s">
        <v>1522</v>
      </c>
      <c r="L1320" s="106" t="s">
        <v>2484</v>
      </c>
      <c r="M1320" s="106"/>
    </row>
    <row r="1321" spans="1:13" x14ac:dyDescent="0.3">
      <c r="A1321" s="27">
        <v>46041</v>
      </c>
      <c r="B1321" s="27">
        <v>46041</v>
      </c>
      <c r="C1321" s="28">
        <v>187.62</v>
      </c>
      <c r="D1321" s="28">
        <v>0</v>
      </c>
      <c r="E1321" s="28"/>
      <c r="F1321" s="28" t="s">
        <v>4</v>
      </c>
      <c r="G1321" s="24">
        <v>0.97</v>
      </c>
      <c r="H1321" s="28" t="s">
        <v>49</v>
      </c>
      <c r="I1321" s="28" t="s">
        <v>1779</v>
      </c>
      <c r="J1321" s="28"/>
      <c r="K1321" s="28" t="s">
        <v>50</v>
      </c>
      <c r="L1321" s="28" t="s">
        <v>2482</v>
      </c>
      <c r="M1321" s="28"/>
    </row>
    <row r="1322" spans="1:13" x14ac:dyDescent="0.3">
      <c r="A1322" s="25">
        <v>46042</v>
      </c>
      <c r="B1322" s="25">
        <v>46042</v>
      </c>
      <c r="C1322" s="26">
        <v>0</v>
      </c>
      <c r="D1322" s="26">
        <v>436.02</v>
      </c>
      <c r="E1322" s="26"/>
      <c r="F1322" s="26" t="s">
        <v>3</v>
      </c>
      <c r="G1322" s="24">
        <v>0.93</v>
      </c>
      <c r="H1322" s="26" t="s">
        <v>49</v>
      </c>
      <c r="I1322" s="26" t="s">
        <v>1779</v>
      </c>
      <c r="J1322" s="26"/>
      <c r="K1322" s="26" t="s">
        <v>810</v>
      </c>
      <c r="L1322" s="26" t="s">
        <v>2482</v>
      </c>
      <c r="M1322" s="26"/>
    </row>
    <row r="1323" spans="1:13" x14ac:dyDescent="0.3">
      <c r="A1323" s="27">
        <v>46042</v>
      </c>
      <c r="B1323" s="27">
        <v>46042</v>
      </c>
      <c r="C1323" s="28">
        <v>62.54</v>
      </c>
      <c r="D1323" s="28">
        <v>0</v>
      </c>
      <c r="E1323" s="28"/>
      <c r="F1323" s="28" t="s">
        <v>4</v>
      </c>
      <c r="G1323" s="24">
        <v>0.97</v>
      </c>
      <c r="H1323" s="28" t="s">
        <v>49</v>
      </c>
      <c r="I1323" s="28" t="s">
        <v>1779</v>
      </c>
      <c r="J1323" s="28"/>
      <c r="K1323" s="28" t="s">
        <v>50</v>
      </c>
      <c r="L1323" s="28" t="s">
        <v>2482</v>
      </c>
      <c r="M1323" s="28"/>
    </row>
    <row r="1324" spans="1:13" x14ac:dyDescent="0.3">
      <c r="A1324" s="27">
        <v>46042</v>
      </c>
      <c r="B1324" s="27">
        <v>46042</v>
      </c>
      <c r="C1324" s="28">
        <v>2744.55</v>
      </c>
      <c r="D1324" s="28">
        <v>0</v>
      </c>
      <c r="E1324" s="28"/>
      <c r="F1324" s="28" t="s">
        <v>4</v>
      </c>
      <c r="G1324" s="24">
        <v>0.97</v>
      </c>
      <c r="H1324" s="28" t="s">
        <v>49</v>
      </c>
      <c r="I1324" s="28" t="s">
        <v>1779</v>
      </c>
      <c r="J1324" s="28"/>
      <c r="K1324" s="28" t="s">
        <v>50</v>
      </c>
      <c r="L1324" s="28" t="s">
        <v>2482</v>
      </c>
      <c r="M1324" s="28"/>
    </row>
    <row r="1325" spans="1:13" x14ac:dyDescent="0.3">
      <c r="A1325" s="27">
        <v>46043</v>
      </c>
      <c r="B1325" s="27">
        <v>46043</v>
      </c>
      <c r="C1325" s="28">
        <v>1847.74</v>
      </c>
      <c r="D1325" s="28">
        <v>0</v>
      </c>
      <c r="E1325" s="28"/>
      <c r="F1325" s="28" t="s">
        <v>4</v>
      </c>
      <c r="G1325" s="24">
        <v>0.97</v>
      </c>
      <c r="H1325" s="28" t="s">
        <v>49</v>
      </c>
      <c r="I1325" s="28" t="s">
        <v>1779</v>
      </c>
      <c r="J1325" s="28"/>
      <c r="K1325" s="28" t="s">
        <v>50</v>
      </c>
      <c r="L1325" s="28" t="s">
        <v>2482</v>
      </c>
      <c r="M1325" s="28"/>
    </row>
    <row r="1326" spans="1:13" x14ac:dyDescent="0.3">
      <c r="A1326" s="27">
        <v>46043</v>
      </c>
      <c r="B1326" s="27">
        <v>46043</v>
      </c>
      <c r="C1326" s="28">
        <v>61.71</v>
      </c>
      <c r="D1326" s="28">
        <v>0</v>
      </c>
      <c r="E1326" s="28"/>
      <c r="F1326" s="28" t="s">
        <v>4</v>
      </c>
      <c r="G1326" s="24">
        <v>0.97</v>
      </c>
      <c r="H1326" s="28" t="s">
        <v>49</v>
      </c>
      <c r="I1326" s="28" t="s">
        <v>1779</v>
      </c>
      <c r="J1326" s="28"/>
      <c r="K1326" s="28" t="s">
        <v>50</v>
      </c>
      <c r="L1326" s="28" t="s">
        <v>2482</v>
      </c>
      <c r="M1326" s="28"/>
    </row>
    <row r="1327" spans="1:13" x14ac:dyDescent="0.3">
      <c r="A1327" s="37">
        <v>46043</v>
      </c>
      <c r="B1327" s="37">
        <v>46043</v>
      </c>
      <c r="C1327" s="38">
        <v>0</v>
      </c>
      <c r="D1327" s="38">
        <v>318</v>
      </c>
      <c r="E1327" s="38"/>
      <c r="F1327" s="38" t="s">
        <v>1670</v>
      </c>
      <c r="G1327" s="39">
        <v>0.55000000000000004</v>
      </c>
      <c r="H1327" s="38" t="s">
        <v>91</v>
      </c>
      <c r="I1327" s="38" t="s">
        <v>837</v>
      </c>
      <c r="J1327" s="38"/>
      <c r="K1327" s="38" t="s">
        <v>1775</v>
      </c>
      <c r="L1327" s="38" t="s">
        <v>2486</v>
      </c>
      <c r="M1327" s="38"/>
    </row>
    <row r="1328" spans="1:13" x14ac:dyDescent="0.3">
      <c r="A1328" s="89">
        <v>46044</v>
      </c>
      <c r="B1328" s="89">
        <v>46044</v>
      </c>
      <c r="C1328" s="90">
        <v>30</v>
      </c>
      <c r="D1328" s="90">
        <v>0</v>
      </c>
      <c r="E1328" s="90" t="s">
        <v>1446</v>
      </c>
      <c r="F1328" s="90" t="s">
        <v>975</v>
      </c>
      <c r="G1328" s="39">
        <v>0.55000000000000004</v>
      </c>
      <c r="H1328" s="90" t="s">
        <v>91</v>
      </c>
      <c r="I1328" s="90" t="s">
        <v>1680</v>
      </c>
      <c r="J1328" s="90"/>
      <c r="K1328" s="90" t="s">
        <v>1526</v>
      </c>
      <c r="L1328" s="90" t="s">
        <v>2484</v>
      </c>
      <c r="M1328" s="90"/>
    </row>
    <row r="1329" spans="1:13" x14ac:dyDescent="0.3">
      <c r="A1329" s="27">
        <v>46044</v>
      </c>
      <c r="B1329" s="27">
        <v>46044</v>
      </c>
      <c r="C1329" s="28">
        <v>61.06</v>
      </c>
      <c r="D1329" s="28">
        <v>0</v>
      </c>
      <c r="E1329" s="28"/>
      <c r="F1329" s="28" t="s">
        <v>4</v>
      </c>
      <c r="G1329" s="24">
        <v>0.97</v>
      </c>
      <c r="H1329" s="28" t="s">
        <v>49</v>
      </c>
      <c r="I1329" s="28" t="s">
        <v>1779</v>
      </c>
      <c r="J1329" s="28"/>
      <c r="K1329" s="28" t="s">
        <v>50</v>
      </c>
      <c r="L1329" s="28" t="s">
        <v>2482</v>
      </c>
      <c r="M1329" s="28"/>
    </row>
    <row r="1330" spans="1:13" x14ac:dyDescent="0.3">
      <c r="A1330" s="89">
        <v>46044</v>
      </c>
      <c r="B1330" s="89">
        <v>46044</v>
      </c>
      <c r="C1330" s="90">
        <v>20</v>
      </c>
      <c r="D1330" s="90">
        <v>0</v>
      </c>
      <c r="E1330" s="90" t="s">
        <v>1435</v>
      </c>
      <c r="F1330" s="90" t="s">
        <v>975</v>
      </c>
      <c r="G1330" s="39">
        <v>0.55000000000000004</v>
      </c>
      <c r="H1330" s="90" t="s">
        <v>91</v>
      </c>
      <c r="I1330" s="90" t="s">
        <v>1680</v>
      </c>
      <c r="J1330" s="90"/>
      <c r="K1330" s="90" t="s">
        <v>1527</v>
      </c>
      <c r="L1330" s="90" t="s">
        <v>2484</v>
      </c>
      <c r="M1330" s="90"/>
    </row>
    <row r="1331" spans="1:13" x14ac:dyDescent="0.3">
      <c r="A1331" s="25">
        <v>46045</v>
      </c>
      <c r="B1331" s="25">
        <v>46045</v>
      </c>
      <c r="C1331" s="26">
        <v>0</v>
      </c>
      <c r="D1331" s="26">
        <v>1929.96</v>
      </c>
      <c r="E1331" s="26"/>
      <c r="F1331" s="26" t="s">
        <v>3</v>
      </c>
      <c r="G1331" s="24">
        <v>0.93</v>
      </c>
      <c r="H1331" s="26" t="s">
        <v>49</v>
      </c>
      <c r="I1331" s="26" t="s">
        <v>1779</v>
      </c>
      <c r="J1331" s="26"/>
      <c r="K1331" s="26" t="s">
        <v>817</v>
      </c>
      <c r="L1331" s="26" t="s">
        <v>2482</v>
      </c>
      <c r="M1331" s="26"/>
    </row>
    <row r="1332" spans="1:13" x14ac:dyDescent="0.3">
      <c r="A1332" s="27">
        <v>46045</v>
      </c>
      <c r="B1332" s="27">
        <v>46045</v>
      </c>
      <c r="C1332" s="28">
        <v>61.06</v>
      </c>
      <c r="D1332" s="28">
        <v>0</v>
      </c>
      <c r="E1332" s="28"/>
      <c r="F1332" s="28" t="s">
        <v>4</v>
      </c>
      <c r="G1332" s="24">
        <v>0.97</v>
      </c>
      <c r="H1332" s="28" t="s">
        <v>49</v>
      </c>
      <c r="I1332" s="28" t="s">
        <v>1779</v>
      </c>
      <c r="J1332" s="28"/>
      <c r="K1332" s="28" t="s">
        <v>50</v>
      </c>
      <c r="L1332" s="28" t="s">
        <v>2482</v>
      </c>
      <c r="M1332" s="28"/>
    </row>
    <row r="1333" spans="1:13" x14ac:dyDescent="0.3">
      <c r="A1333" s="27">
        <v>46045</v>
      </c>
      <c r="B1333" s="27">
        <v>46045</v>
      </c>
      <c r="C1333" s="28">
        <v>1838.94</v>
      </c>
      <c r="D1333" s="28">
        <v>0</v>
      </c>
      <c r="E1333" s="28"/>
      <c r="F1333" s="28" t="s">
        <v>4</v>
      </c>
      <c r="G1333" s="24">
        <v>0.97</v>
      </c>
      <c r="H1333" s="28" t="s">
        <v>49</v>
      </c>
      <c r="I1333" s="28" t="s">
        <v>1779</v>
      </c>
      <c r="J1333" s="28"/>
      <c r="K1333" s="28" t="s">
        <v>50</v>
      </c>
      <c r="L1333" s="28" t="s">
        <v>2482</v>
      </c>
      <c r="M1333" s="28"/>
    </row>
    <row r="1334" spans="1:13" x14ac:dyDescent="0.3">
      <c r="A1334" s="89">
        <v>46046</v>
      </c>
      <c r="B1334" s="89">
        <v>46046</v>
      </c>
      <c r="C1334" s="90">
        <v>1100</v>
      </c>
      <c r="D1334" s="90">
        <v>0</v>
      </c>
      <c r="E1334" s="90" t="s">
        <v>1531</v>
      </c>
      <c r="F1334" s="90" t="s">
        <v>975</v>
      </c>
      <c r="G1334" s="39">
        <v>0.55000000000000004</v>
      </c>
      <c r="H1334" s="90" t="s">
        <v>91</v>
      </c>
      <c r="I1334" s="90" t="s">
        <v>1680</v>
      </c>
      <c r="J1334" s="90"/>
      <c r="K1334" s="90" t="s">
        <v>1530</v>
      </c>
      <c r="L1334" s="90" t="s">
        <v>2484</v>
      </c>
      <c r="M1334" s="90"/>
    </row>
    <row r="1335" spans="1:13" x14ac:dyDescent="0.3">
      <c r="A1335" s="89">
        <v>46046</v>
      </c>
      <c r="B1335" s="89">
        <v>46046</v>
      </c>
      <c r="C1335" s="90">
        <v>260</v>
      </c>
      <c r="D1335" s="90">
        <v>0</v>
      </c>
      <c r="E1335" s="90" t="s">
        <v>1529</v>
      </c>
      <c r="F1335" s="90" t="s">
        <v>975</v>
      </c>
      <c r="G1335" s="39">
        <v>0.55000000000000004</v>
      </c>
      <c r="H1335" s="90" t="s">
        <v>91</v>
      </c>
      <c r="I1335" s="90" t="s">
        <v>1680</v>
      </c>
      <c r="J1335" s="90"/>
      <c r="K1335" s="90" t="s">
        <v>1528</v>
      </c>
      <c r="L1335" s="90" t="s">
        <v>2484</v>
      </c>
      <c r="M1335" s="90"/>
    </row>
    <row r="1336" spans="1:13" x14ac:dyDescent="0.3">
      <c r="A1336" s="89">
        <v>46047</v>
      </c>
      <c r="B1336" s="89">
        <v>46047</v>
      </c>
      <c r="C1336" s="90">
        <v>250</v>
      </c>
      <c r="D1336" s="90">
        <v>0</v>
      </c>
      <c r="E1336" s="90" t="s">
        <v>1535</v>
      </c>
      <c r="F1336" s="90" t="s">
        <v>975</v>
      </c>
      <c r="G1336" s="39">
        <v>0.55000000000000004</v>
      </c>
      <c r="H1336" s="90" t="s">
        <v>91</v>
      </c>
      <c r="I1336" s="90" t="s">
        <v>1680</v>
      </c>
      <c r="J1336" s="90"/>
      <c r="K1336" s="90" t="s">
        <v>1534</v>
      </c>
      <c r="L1336" s="90" t="s">
        <v>2484</v>
      </c>
      <c r="M1336" s="90"/>
    </row>
    <row r="1337" spans="1:13" x14ac:dyDescent="0.3">
      <c r="A1337" s="89">
        <v>46047</v>
      </c>
      <c r="B1337" s="89">
        <v>46047</v>
      </c>
      <c r="C1337" s="90">
        <v>120</v>
      </c>
      <c r="D1337" s="90">
        <v>0</v>
      </c>
      <c r="E1337" s="90" t="s">
        <v>1476</v>
      </c>
      <c r="F1337" s="90" t="s">
        <v>975</v>
      </c>
      <c r="G1337" s="39">
        <v>0.55000000000000004</v>
      </c>
      <c r="H1337" s="90" t="s">
        <v>91</v>
      </c>
      <c r="I1337" s="90" t="s">
        <v>1680</v>
      </c>
      <c r="J1337" s="90"/>
      <c r="K1337" s="90" t="s">
        <v>1536</v>
      </c>
      <c r="L1337" s="90" t="s">
        <v>2484</v>
      </c>
      <c r="M1337" s="90"/>
    </row>
    <row r="1338" spans="1:13" x14ac:dyDescent="0.3">
      <c r="A1338" s="89">
        <v>46047</v>
      </c>
      <c r="B1338" s="89">
        <v>46047</v>
      </c>
      <c r="C1338" s="90">
        <v>30</v>
      </c>
      <c r="D1338" s="90">
        <v>0</v>
      </c>
      <c r="E1338" s="90" t="s">
        <v>1533</v>
      </c>
      <c r="F1338" s="90" t="s">
        <v>975</v>
      </c>
      <c r="G1338" s="39">
        <v>0.55000000000000004</v>
      </c>
      <c r="H1338" s="90" t="s">
        <v>91</v>
      </c>
      <c r="I1338" s="90" t="s">
        <v>1680</v>
      </c>
      <c r="J1338" s="90"/>
      <c r="K1338" s="90" t="s">
        <v>1532</v>
      </c>
      <c r="L1338" s="90" t="s">
        <v>2484</v>
      </c>
      <c r="M1338" s="90"/>
    </row>
    <row r="1339" spans="1:13" x14ac:dyDescent="0.3">
      <c r="A1339" s="89">
        <v>46047.564502314817</v>
      </c>
      <c r="B1339" s="89">
        <v>46047</v>
      </c>
      <c r="C1339" s="90">
        <v>120</v>
      </c>
      <c r="D1339" s="90">
        <v>0</v>
      </c>
      <c r="E1339" s="90" t="s">
        <v>2430</v>
      </c>
      <c r="F1339" s="90" t="s">
        <v>975</v>
      </c>
      <c r="G1339" s="39">
        <v>0.55000000000000004</v>
      </c>
      <c r="H1339" s="90" t="s">
        <v>91</v>
      </c>
      <c r="I1339" s="90" t="s">
        <v>1019</v>
      </c>
      <c r="J1339" s="90"/>
      <c r="K1339" s="90" t="s">
        <v>2428</v>
      </c>
      <c r="L1339" s="90" t="s">
        <v>2483</v>
      </c>
      <c r="M1339" s="90"/>
    </row>
    <row r="1340" spans="1:13" x14ac:dyDescent="0.3">
      <c r="A1340" s="37">
        <v>46048</v>
      </c>
      <c r="B1340" s="37">
        <v>46048</v>
      </c>
      <c r="C1340" s="38">
        <v>0</v>
      </c>
      <c r="D1340" s="38">
        <v>1100</v>
      </c>
      <c r="E1340" s="38"/>
      <c r="F1340" s="38" t="s">
        <v>1001</v>
      </c>
      <c r="G1340" s="39">
        <v>0.55000000000000004</v>
      </c>
      <c r="H1340" s="38" t="s">
        <v>91</v>
      </c>
      <c r="I1340" s="38" t="s">
        <v>1680</v>
      </c>
      <c r="J1340" s="38"/>
      <c r="K1340" s="38" t="s">
        <v>1537</v>
      </c>
      <c r="L1340" s="38" t="s">
        <v>2484</v>
      </c>
      <c r="M1340" s="38"/>
    </row>
    <row r="1341" spans="1:13" x14ac:dyDescent="0.3">
      <c r="A1341" s="27">
        <v>46049</v>
      </c>
      <c r="B1341" s="27">
        <v>46049</v>
      </c>
      <c r="C1341" s="28">
        <v>3472.79</v>
      </c>
      <c r="D1341" s="28">
        <v>0</v>
      </c>
      <c r="E1341" s="28"/>
      <c r="F1341" s="28" t="s">
        <v>4</v>
      </c>
      <c r="G1341" s="24">
        <v>0.97</v>
      </c>
      <c r="H1341" s="28" t="s">
        <v>49</v>
      </c>
      <c r="I1341" s="28" t="s">
        <v>1779</v>
      </c>
      <c r="J1341" s="28"/>
      <c r="K1341" s="28" t="s">
        <v>50</v>
      </c>
      <c r="L1341" s="28" t="s">
        <v>2482</v>
      </c>
      <c r="M1341" s="28"/>
    </row>
    <row r="1342" spans="1:13" x14ac:dyDescent="0.3">
      <c r="A1342" s="27">
        <v>46049</v>
      </c>
      <c r="B1342" s="27">
        <v>46049</v>
      </c>
      <c r="C1342" s="28">
        <v>244.36</v>
      </c>
      <c r="D1342" s="28">
        <v>0</v>
      </c>
      <c r="E1342" s="28"/>
      <c r="F1342" s="28" t="s">
        <v>4</v>
      </c>
      <c r="G1342" s="24">
        <v>0.97</v>
      </c>
      <c r="H1342" s="28" t="s">
        <v>49</v>
      </c>
      <c r="I1342" s="28" t="s">
        <v>1779</v>
      </c>
      <c r="J1342" s="28"/>
      <c r="K1342" s="28" t="s">
        <v>50</v>
      </c>
      <c r="L1342" s="28" t="s">
        <v>2482</v>
      </c>
      <c r="M1342" s="28"/>
    </row>
    <row r="1343" spans="1:13" x14ac:dyDescent="0.3">
      <c r="A1343" s="27">
        <v>46050</v>
      </c>
      <c r="B1343" s="27">
        <v>46050</v>
      </c>
      <c r="C1343" s="28">
        <v>59.85</v>
      </c>
      <c r="D1343" s="28">
        <v>0</v>
      </c>
      <c r="E1343" s="28"/>
      <c r="F1343" s="28" t="s">
        <v>4</v>
      </c>
      <c r="G1343" s="24">
        <v>0.97</v>
      </c>
      <c r="H1343" s="28" t="s">
        <v>49</v>
      </c>
      <c r="I1343" s="28" t="s">
        <v>1779</v>
      </c>
      <c r="J1343" s="28"/>
      <c r="K1343" s="28" t="s">
        <v>50</v>
      </c>
      <c r="L1343" s="28" t="s">
        <v>2482</v>
      </c>
      <c r="M1343" s="28"/>
    </row>
    <row r="1344" spans="1:13" x14ac:dyDescent="0.3">
      <c r="A1344" s="22">
        <v>46050</v>
      </c>
      <c r="B1344" s="22">
        <v>46050</v>
      </c>
      <c r="C1344" s="23">
        <v>5000</v>
      </c>
      <c r="D1344" s="23">
        <v>0</v>
      </c>
      <c r="E1344" s="23"/>
      <c r="F1344" s="23" t="s">
        <v>2</v>
      </c>
      <c r="G1344" s="24">
        <v>0.95</v>
      </c>
      <c r="H1344" s="23" t="s">
        <v>2</v>
      </c>
      <c r="I1344" s="23" t="s">
        <v>1779</v>
      </c>
      <c r="J1344" s="23"/>
      <c r="K1344" s="23" t="s">
        <v>823</v>
      </c>
      <c r="L1344" s="23" t="s">
        <v>2482</v>
      </c>
      <c r="M1344" s="23"/>
    </row>
    <row r="1345" spans="1:13" x14ac:dyDescent="0.3">
      <c r="A1345" s="97">
        <v>46050</v>
      </c>
      <c r="B1345" s="97">
        <v>46050</v>
      </c>
      <c r="C1345" s="98">
        <v>1100</v>
      </c>
      <c r="D1345" s="98">
        <v>0</v>
      </c>
      <c r="E1345" s="98"/>
      <c r="F1345" s="98" t="s">
        <v>978</v>
      </c>
      <c r="G1345" s="24">
        <v>0.85</v>
      </c>
      <c r="H1345" s="98" t="s">
        <v>1031</v>
      </c>
      <c r="I1345" s="98" t="s">
        <v>1680</v>
      </c>
      <c r="J1345" s="98"/>
      <c r="K1345" s="98" t="s">
        <v>1538</v>
      </c>
      <c r="L1345" s="98" t="s">
        <v>2484</v>
      </c>
      <c r="M1345" s="98"/>
    </row>
    <row r="1346" spans="1:13" x14ac:dyDescent="0.3">
      <c r="A1346" s="83">
        <v>46050</v>
      </c>
      <c r="B1346" s="83">
        <v>46050</v>
      </c>
      <c r="C1346" s="84">
        <v>4413.6000000000004</v>
      </c>
      <c r="D1346" s="84">
        <v>0</v>
      </c>
      <c r="E1346" s="84"/>
      <c r="F1346" s="84" t="s">
        <v>973</v>
      </c>
      <c r="G1346" s="40">
        <v>0.68</v>
      </c>
      <c r="H1346" s="84" t="s">
        <v>1014</v>
      </c>
      <c r="I1346" s="84" t="s">
        <v>837</v>
      </c>
      <c r="J1346" s="84"/>
      <c r="K1346" s="84" t="s">
        <v>1776</v>
      </c>
      <c r="L1346" s="84" t="s">
        <v>2486</v>
      </c>
      <c r="M1346" s="84"/>
    </row>
    <row r="1347" spans="1:13" x14ac:dyDescent="0.3">
      <c r="A1347" s="22">
        <v>46050.303854166668</v>
      </c>
      <c r="B1347" s="22">
        <v>46050</v>
      </c>
      <c r="C1347" s="23">
        <v>8050</v>
      </c>
      <c r="D1347" s="23">
        <v>0</v>
      </c>
      <c r="E1347" s="23"/>
      <c r="F1347" s="23" t="s">
        <v>2</v>
      </c>
      <c r="G1347" s="24">
        <v>0.96</v>
      </c>
      <c r="H1347" s="23" t="s">
        <v>2</v>
      </c>
      <c r="I1347" s="23" t="s">
        <v>1019</v>
      </c>
      <c r="J1347" s="23"/>
      <c r="K1347" s="23" t="s">
        <v>2431</v>
      </c>
      <c r="L1347" s="23" t="s">
        <v>2483</v>
      </c>
      <c r="M1347" s="23"/>
    </row>
    <row r="1348" spans="1:13" x14ac:dyDescent="0.3">
      <c r="A1348" s="25">
        <v>46051</v>
      </c>
      <c r="B1348" s="25">
        <v>46051</v>
      </c>
      <c r="C1348" s="26">
        <v>0</v>
      </c>
      <c r="D1348" s="26">
        <v>2885.09</v>
      </c>
      <c r="E1348" s="26"/>
      <c r="F1348" s="26" t="s">
        <v>3</v>
      </c>
      <c r="G1348" s="24">
        <v>0.93</v>
      </c>
      <c r="H1348" s="26" t="s">
        <v>49</v>
      </c>
      <c r="I1348" s="26" t="s">
        <v>1779</v>
      </c>
      <c r="J1348" s="26"/>
      <c r="K1348" s="26" t="s">
        <v>826</v>
      </c>
      <c r="L1348" s="26" t="s">
        <v>2482</v>
      </c>
      <c r="M1348" s="26"/>
    </row>
    <row r="1349" spans="1:13" x14ac:dyDescent="0.3">
      <c r="A1349" s="27">
        <v>46051</v>
      </c>
      <c r="B1349" s="27">
        <v>46051</v>
      </c>
      <c r="C1349" s="28">
        <v>715.29</v>
      </c>
      <c r="D1349" s="28">
        <v>0</v>
      </c>
      <c r="E1349" s="28"/>
      <c r="F1349" s="28" t="s">
        <v>4</v>
      </c>
      <c r="G1349" s="24">
        <v>0.97</v>
      </c>
      <c r="H1349" s="28" t="s">
        <v>49</v>
      </c>
      <c r="I1349" s="28" t="s">
        <v>1779</v>
      </c>
      <c r="J1349" s="28"/>
      <c r="K1349" s="28" t="s">
        <v>50</v>
      </c>
      <c r="L1349" s="28" t="s">
        <v>2482</v>
      </c>
      <c r="M1349" s="28"/>
    </row>
    <row r="1350" spans="1:13" x14ac:dyDescent="0.3">
      <c r="A1350" s="27">
        <v>46051</v>
      </c>
      <c r="B1350" s="27">
        <v>46051</v>
      </c>
      <c r="C1350" s="28">
        <v>65.92</v>
      </c>
      <c r="D1350" s="28">
        <v>0</v>
      </c>
      <c r="E1350" s="28"/>
      <c r="F1350" s="28" t="s">
        <v>4</v>
      </c>
      <c r="G1350" s="24">
        <v>0.97</v>
      </c>
      <c r="H1350" s="28" t="s">
        <v>49</v>
      </c>
      <c r="I1350" s="28" t="s">
        <v>1779</v>
      </c>
      <c r="J1350" s="28"/>
      <c r="K1350" s="28" t="s">
        <v>50</v>
      </c>
      <c r="L1350" s="28" t="s">
        <v>2482</v>
      </c>
      <c r="M1350" s="28"/>
    </row>
    <row r="1351" spans="1:13" x14ac:dyDescent="0.3">
      <c r="A1351" s="85">
        <v>46051</v>
      </c>
      <c r="B1351" s="85">
        <v>46051</v>
      </c>
      <c r="C1351" s="86">
        <v>4000</v>
      </c>
      <c r="D1351" s="86">
        <v>0</v>
      </c>
      <c r="E1351" s="86"/>
      <c r="F1351" s="86" t="s">
        <v>974</v>
      </c>
      <c r="G1351" s="24">
        <v>0.88</v>
      </c>
      <c r="H1351" s="86" t="s">
        <v>1019</v>
      </c>
      <c r="I1351" s="86" t="s">
        <v>837</v>
      </c>
      <c r="J1351" s="86"/>
      <c r="K1351" s="86" t="s">
        <v>1777</v>
      </c>
      <c r="L1351" s="86" t="s">
        <v>2486</v>
      </c>
      <c r="M1351" s="86"/>
    </row>
    <row r="1352" spans="1:13" x14ac:dyDescent="0.3">
      <c r="A1352" s="27">
        <v>46051.509293981479</v>
      </c>
      <c r="B1352" s="27">
        <v>46051</v>
      </c>
      <c r="C1352" s="28">
        <v>0</v>
      </c>
      <c r="D1352" s="28">
        <v>4000</v>
      </c>
      <c r="E1352" s="28"/>
      <c r="F1352" s="28" t="s">
        <v>30</v>
      </c>
      <c r="G1352" s="24">
        <v>0.95</v>
      </c>
      <c r="H1352" s="28" t="s">
        <v>837</v>
      </c>
      <c r="I1352" s="28" t="s">
        <v>1019</v>
      </c>
      <c r="J1352" s="28"/>
      <c r="K1352" s="28" t="s">
        <v>2433</v>
      </c>
      <c r="L1352" s="28" t="s">
        <v>2483</v>
      </c>
      <c r="M1352" s="28"/>
    </row>
    <row r="1353" spans="1:13" x14ac:dyDescent="0.3">
      <c r="A1353" s="22">
        <v>46051.510451388887</v>
      </c>
      <c r="B1353" s="22">
        <v>46051</v>
      </c>
      <c r="C1353" s="23">
        <v>13000</v>
      </c>
      <c r="D1353" s="23">
        <v>0</v>
      </c>
      <c r="E1353" s="23"/>
      <c r="F1353" s="23" t="s">
        <v>1667</v>
      </c>
      <c r="G1353" s="24">
        <v>0.92</v>
      </c>
      <c r="H1353" s="23" t="s">
        <v>1735</v>
      </c>
      <c r="I1353" s="23" t="s">
        <v>1019</v>
      </c>
      <c r="J1353" s="23"/>
      <c r="K1353" s="23" t="s">
        <v>2435</v>
      </c>
      <c r="L1353" s="23" t="s">
        <v>2483</v>
      </c>
      <c r="M1353" s="23"/>
    </row>
    <row r="1354" spans="1:13" x14ac:dyDescent="0.3">
      <c r="A1354" s="27">
        <v>46052</v>
      </c>
      <c r="B1354" s="27">
        <v>46052</v>
      </c>
      <c r="C1354" s="28">
        <v>39674</v>
      </c>
      <c r="D1354" s="28">
        <v>0</v>
      </c>
      <c r="E1354" s="28"/>
      <c r="F1354" s="28" t="s">
        <v>1672</v>
      </c>
      <c r="G1354" s="40">
        <v>0.8</v>
      </c>
      <c r="H1354" s="28" t="s">
        <v>1046</v>
      </c>
      <c r="I1354" s="28" t="s">
        <v>837</v>
      </c>
      <c r="J1354" s="28"/>
      <c r="K1354" s="28" t="s">
        <v>1780</v>
      </c>
      <c r="L1354" s="28" t="s">
        <v>2486</v>
      </c>
      <c r="M1354" s="28"/>
    </row>
    <row r="1355" spans="1:13" x14ac:dyDescent="0.3">
      <c r="A1355" s="144">
        <v>46052</v>
      </c>
      <c r="B1355" s="144">
        <v>46052</v>
      </c>
      <c r="C1355" s="145">
        <v>0</v>
      </c>
      <c r="D1355" s="145">
        <v>50000</v>
      </c>
      <c r="E1355" s="145"/>
      <c r="F1355" s="145" t="s">
        <v>1671</v>
      </c>
      <c r="G1355" s="24">
        <v>0.9</v>
      </c>
      <c r="H1355" s="145" t="s">
        <v>1779</v>
      </c>
      <c r="I1355" s="145" t="s">
        <v>837</v>
      </c>
      <c r="J1355" s="145"/>
      <c r="K1355" s="145" t="s">
        <v>1778</v>
      </c>
      <c r="L1355" s="145" t="s">
        <v>2486</v>
      </c>
      <c r="M1355" s="145"/>
    </row>
    <row r="1356" spans="1:13" x14ac:dyDescent="0.3">
      <c r="A1356" s="22">
        <v>46052</v>
      </c>
      <c r="B1356" s="22">
        <v>46052</v>
      </c>
      <c r="C1356" s="23">
        <v>5000</v>
      </c>
      <c r="D1356" s="23">
        <v>0</v>
      </c>
      <c r="E1356" s="23"/>
      <c r="F1356" s="23" t="s">
        <v>2</v>
      </c>
      <c r="G1356" s="24">
        <v>0.95</v>
      </c>
      <c r="H1356" s="23" t="s">
        <v>2</v>
      </c>
      <c r="I1356" s="23" t="s">
        <v>1779</v>
      </c>
      <c r="J1356" s="23"/>
      <c r="K1356" s="23" t="s">
        <v>830</v>
      </c>
      <c r="L1356" s="23" t="s">
        <v>2482</v>
      </c>
      <c r="M1356" s="23"/>
    </row>
    <row r="1357" spans="1:13" x14ac:dyDescent="0.3">
      <c r="A1357" s="27">
        <v>46052</v>
      </c>
      <c r="B1357" s="27">
        <v>46052</v>
      </c>
      <c r="C1357" s="28">
        <v>66.7</v>
      </c>
      <c r="D1357" s="28">
        <v>0</v>
      </c>
      <c r="E1357" s="28"/>
      <c r="F1357" s="28" t="s">
        <v>4</v>
      </c>
      <c r="G1357" s="24">
        <v>0.97</v>
      </c>
      <c r="H1357" s="28" t="s">
        <v>49</v>
      </c>
      <c r="I1357" s="28" t="s">
        <v>1779</v>
      </c>
      <c r="J1357" s="28"/>
      <c r="K1357" s="28" t="s">
        <v>50</v>
      </c>
      <c r="L1357" s="28" t="s">
        <v>2482</v>
      </c>
      <c r="M1357" s="28"/>
    </row>
    <row r="1358" spans="1:13" x14ac:dyDescent="0.3">
      <c r="A1358" s="45">
        <v>46052</v>
      </c>
      <c r="B1358" s="45">
        <v>46052</v>
      </c>
      <c r="C1358" s="46">
        <v>0</v>
      </c>
      <c r="D1358" s="46">
        <v>75000</v>
      </c>
      <c r="E1358" s="46"/>
      <c r="F1358" s="46" t="s">
        <v>19</v>
      </c>
      <c r="G1358" s="24">
        <v>0.88</v>
      </c>
      <c r="H1358" s="46" t="s">
        <v>149</v>
      </c>
      <c r="I1358" s="46" t="s">
        <v>1779</v>
      </c>
      <c r="J1358" s="46"/>
      <c r="K1358" s="46" t="s">
        <v>833</v>
      </c>
      <c r="L1358" s="46" t="s">
        <v>2482</v>
      </c>
      <c r="M1358" s="46"/>
    </row>
    <row r="1359" spans="1:13" x14ac:dyDescent="0.3">
      <c r="A1359" s="27">
        <v>46052</v>
      </c>
      <c r="B1359" s="27">
        <v>46052</v>
      </c>
      <c r="C1359" s="28">
        <v>50000</v>
      </c>
      <c r="D1359" s="28">
        <v>0</v>
      </c>
      <c r="E1359" s="28"/>
      <c r="F1359" s="28" t="s">
        <v>30</v>
      </c>
      <c r="G1359" s="24">
        <v>0.9</v>
      </c>
      <c r="H1359" s="28" t="s">
        <v>837</v>
      </c>
      <c r="I1359" s="28" t="s">
        <v>1779</v>
      </c>
      <c r="J1359" s="28"/>
      <c r="K1359" s="28" t="s">
        <v>835</v>
      </c>
      <c r="L1359" s="28" t="s">
        <v>2482</v>
      </c>
      <c r="M1359" s="28"/>
    </row>
    <row r="1360" spans="1:13" x14ac:dyDescent="0.3">
      <c r="A1360" s="27">
        <v>46052</v>
      </c>
      <c r="B1360" s="27">
        <v>46052</v>
      </c>
      <c r="C1360" s="28">
        <v>238.74</v>
      </c>
      <c r="D1360" s="28">
        <v>0</v>
      </c>
      <c r="E1360" s="28"/>
      <c r="F1360" s="28" t="s">
        <v>4</v>
      </c>
      <c r="G1360" s="24">
        <v>0.97</v>
      </c>
      <c r="H1360" s="28" t="s">
        <v>49</v>
      </c>
      <c r="I1360" s="28" t="s">
        <v>1779</v>
      </c>
      <c r="J1360" s="28"/>
      <c r="K1360" s="28" t="s">
        <v>50</v>
      </c>
      <c r="L1360" s="28" t="s">
        <v>2482</v>
      </c>
      <c r="M1360" s="28"/>
    </row>
    <row r="1361" spans="1:13" x14ac:dyDescent="0.3">
      <c r="A1361" s="89">
        <v>46052</v>
      </c>
      <c r="B1361" s="89">
        <v>46052</v>
      </c>
      <c r="C1361" s="90">
        <v>50</v>
      </c>
      <c r="D1361" s="90">
        <v>0</v>
      </c>
      <c r="E1361" s="90" t="s">
        <v>1451</v>
      </c>
      <c r="F1361" s="90" t="s">
        <v>975</v>
      </c>
      <c r="G1361" s="39">
        <v>0.55000000000000004</v>
      </c>
      <c r="H1361" s="90" t="s">
        <v>91</v>
      </c>
      <c r="I1361" s="90" t="s">
        <v>1680</v>
      </c>
      <c r="J1361" s="90"/>
      <c r="K1361" s="90" t="s">
        <v>1539</v>
      </c>
      <c r="L1361" s="90" t="s">
        <v>2484</v>
      </c>
      <c r="M1361" s="90"/>
    </row>
    <row r="1362" spans="1:13" x14ac:dyDescent="0.3">
      <c r="A1362" s="89">
        <v>46053</v>
      </c>
      <c r="B1362" s="89">
        <v>46053</v>
      </c>
      <c r="C1362" s="90">
        <v>30</v>
      </c>
      <c r="D1362" s="90">
        <v>0</v>
      </c>
      <c r="E1362" s="90" t="s">
        <v>1109</v>
      </c>
      <c r="F1362" s="90" t="s">
        <v>975</v>
      </c>
      <c r="G1362" s="39">
        <v>0.55000000000000004</v>
      </c>
      <c r="H1362" s="90" t="s">
        <v>91</v>
      </c>
      <c r="I1362" s="90" t="s">
        <v>1680</v>
      </c>
      <c r="J1362" s="90"/>
      <c r="K1362" s="90" t="s">
        <v>1540</v>
      </c>
      <c r="L1362" s="90" t="s">
        <v>2484</v>
      </c>
      <c r="M1362" s="90"/>
    </row>
    <row r="1363" spans="1:13" x14ac:dyDescent="0.3">
      <c r="A1363" s="27">
        <v>46054</v>
      </c>
      <c r="B1363" s="27">
        <v>46054</v>
      </c>
      <c r="C1363" s="28">
        <v>3355.83</v>
      </c>
      <c r="D1363" s="28">
        <v>0</v>
      </c>
      <c r="E1363" s="28"/>
      <c r="F1363" s="28" t="s">
        <v>4</v>
      </c>
      <c r="G1363" s="24">
        <v>0.97</v>
      </c>
      <c r="H1363" s="28" t="s">
        <v>49</v>
      </c>
      <c r="I1363" s="28" t="s">
        <v>1779</v>
      </c>
      <c r="J1363" s="28"/>
      <c r="K1363" s="28" t="s">
        <v>50</v>
      </c>
      <c r="L1363" s="28" t="s">
        <v>2482</v>
      </c>
      <c r="M1363" s="28"/>
    </row>
    <row r="1364" spans="1:13" x14ac:dyDescent="0.3">
      <c r="A1364" s="27">
        <v>46054</v>
      </c>
      <c r="B1364" s="27">
        <v>46054</v>
      </c>
      <c r="C1364" s="28">
        <v>133.22</v>
      </c>
      <c r="D1364" s="28">
        <v>0</v>
      </c>
      <c r="E1364" s="28"/>
      <c r="F1364" s="28" t="s">
        <v>4</v>
      </c>
      <c r="G1364" s="24">
        <v>0.97</v>
      </c>
      <c r="H1364" s="28" t="s">
        <v>49</v>
      </c>
      <c r="I1364" s="28" t="s">
        <v>1779</v>
      </c>
      <c r="J1364" s="28"/>
      <c r="K1364" s="28" t="s">
        <v>50</v>
      </c>
      <c r="L1364" s="28" t="s">
        <v>2482</v>
      </c>
      <c r="M1364" s="28"/>
    </row>
    <row r="1365" spans="1:13" x14ac:dyDescent="0.3">
      <c r="A1365" s="37">
        <v>46054</v>
      </c>
      <c r="B1365" s="37">
        <v>46054</v>
      </c>
      <c r="C1365" s="38">
        <v>0</v>
      </c>
      <c r="D1365" s="38">
        <v>1000</v>
      </c>
      <c r="E1365" s="38"/>
      <c r="F1365" s="38" t="s">
        <v>1673</v>
      </c>
      <c r="G1365" s="39">
        <v>0.55000000000000004</v>
      </c>
      <c r="H1365" s="38" t="s">
        <v>91</v>
      </c>
      <c r="I1365" s="38" t="s">
        <v>837</v>
      </c>
      <c r="J1365" s="38"/>
      <c r="K1365" s="38" t="s">
        <v>1781</v>
      </c>
      <c r="L1365" s="38" t="s">
        <v>2486</v>
      </c>
      <c r="M1365" s="38"/>
    </row>
    <row r="1366" spans="1:13" x14ac:dyDescent="0.3">
      <c r="A1366" s="89">
        <v>46054</v>
      </c>
      <c r="B1366" s="89">
        <v>46054</v>
      </c>
      <c r="C1366" s="90">
        <v>700</v>
      </c>
      <c r="D1366" s="90">
        <v>0</v>
      </c>
      <c r="E1366" s="90" t="s">
        <v>1542</v>
      </c>
      <c r="F1366" s="90" t="s">
        <v>975</v>
      </c>
      <c r="G1366" s="40">
        <v>0.75</v>
      </c>
      <c r="H1366" s="90" t="s">
        <v>91</v>
      </c>
      <c r="I1366" s="90" t="s">
        <v>837</v>
      </c>
      <c r="J1366" s="90"/>
      <c r="K1366" s="90" t="s">
        <v>1782</v>
      </c>
      <c r="L1366" s="90" t="s">
        <v>2486</v>
      </c>
      <c r="M1366" s="90" t="s">
        <v>2485</v>
      </c>
    </row>
    <row r="1367" spans="1:13" x14ac:dyDescent="0.3">
      <c r="A1367" s="89">
        <v>46054</v>
      </c>
      <c r="B1367" s="89">
        <v>46054</v>
      </c>
      <c r="C1367" s="90">
        <v>1000</v>
      </c>
      <c r="D1367" s="90">
        <v>0</v>
      </c>
      <c r="E1367" s="90" t="s">
        <v>1784</v>
      </c>
      <c r="F1367" s="90" t="s">
        <v>975</v>
      </c>
      <c r="G1367" s="39">
        <v>0.55000000000000004</v>
      </c>
      <c r="H1367" s="90" t="s">
        <v>91</v>
      </c>
      <c r="I1367" s="90" t="s">
        <v>837</v>
      </c>
      <c r="J1367" s="90"/>
      <c r="K1367" s="90" t="s">
        <v>1783</v>
      </c>
      <c r="L1367" s="90" t="s">
        <v>2486</v>
      </c>
      <c r="M1367" s="90"/>
    </row>
    <row r="1368" spans="1:13" x14ac:dyDescent="0.3">
      <c r="A1368" s="37">
        <v>46054</v>
      </c>
      <c r="B1368" s="37">
        <v>46054</v>
      </c>
      <c r="C1368" s="38">
        <v>0</v>
      </c>
      <c r="D1368" s="38">
        <v>700</v>
      </c>
      <c r="E1368" s="38"/>
      <c r="F1368" s="38" t="s">
        <v>1674</v>
      </c>
      <c r="G1368" s="39">
        <v>0.55000000000000004</v>
      </c>
      <c r="H1368" s="38" t="s">
        <v>91</v>
      </c>
      <c r="I1368" s="38" t="s">
        <v>837</v>
      </c>
      <c r="J1368" s="38"/>
      <c r="K1368" s="38" t="s">
        <v>1785</v>
      </c>
      <c r="L1368" s="38" t="s">
        <v>2486</v>
      </c>
      <c r="M1368" s="38"/>
    </row>
    <row r="1369" spans="1:13" x14ac:dyDescent="0.3">
      <c r="A1369" s="89">
        <v>46054</v>
      </c>
      <c r="B1369" s="89">
        <v>46054</v>
      </c>
      <c r="C1369" s="90">
        <v>700</v>
      </c>
      <c r="D1369" s="90">
        <v>0</v>
      </c>
      <c r="E1369" s="90" t="s">
        <v>1542</v>
      </c>
      <c r="F1369" s="90" t="s">
        <v>975</v>
      </c>
      <c r="G1369" s="40">
        <v>0.75</v>
      </c>
      <c r="H1369" s="90" t="s">
        <v>91</v>
      </c>
      <c r="I1369" s="90" t="s">
        <v>837</v>
      </c>
      <c r="J1369" s="90"/>
      <c r="K1369" s="90" t="s">
        <v>1786</v>
      </c>
      <c r="L1369" s="90" t="s">
        <v>2486</v>
      </c>
      <c r="M1369" s="90" t="s">
        <v>2485</v>
      </c>
    </row>
    <row r="1370" spans="1:13" x14ac:dyDescent="0.3">
      <c r="A1370" s="89">
        <v>46054</v>
      </c>
      <c r="B1370" s="89">
        <v>46054</v>
      </c>
      <c r="C1370" s="90">
        <v>3000</v>
      </c>
      <c r="D1370" s="90">
        <v>0</v>
      </c>
      <c r="E1370" s="90" t="s">
        <v>1542</v>
      </c>
      <c r="F1370" s="90" t="s">
        <v>975</v>
      </c>
      <c r="G1370" s="40">
        <v>0.75</v>
      </c>
      <c r="H1370" s="90" t="s">
        <v>91</v>
      </c>
      <c r="I1370" s="90" t="s">
        <v>1680</v>
      </c>
      <c r="J1370" s="90"/>
      <c r="K1370" s="90" t="s">
        <v>1541</v>
      </c>
      <c r="L1370" s="90" t="s">
        <v>2484</v>
      </c>
      <c r="M1370" s="90"/>
    </row>
    <row r="1371" spans="1:13" x14ac:dyDescent="0.3">
      <c r="A1371" s="95">
        <v>46055</v>
      </c>
      <c r="B1371" s="95">
        <v>46055</v>
      </c>
      <c r="C1371" s="96">
        <v>26500</v>
      </c>
      <c r="D1371" s="96">
        <v>0</v>
      </c>
      <c r="E1371" s="96"/>
      <c r="F1371" s="96" t="s">
        <v>990</v>
      </c>
      <c r="G1371" s="24">
        <v>0.9</v>
      </c>
      <c r="H1371" s="96" t="s">
        <v>990</v>
      </c>
      <c r="I1371" s="96" t="s">
        <v>1680</v>
      </c>
      <c r="J1371" s="96"/>
      <c r="K1371" s="96" t="s">
        <v>1547</v>
      </c>
      <c r="L1371" s="96" t="s">
        <v>2484</v>
      </c>
      <c r="M1371" s="96"/>
    </row>
    <row r="1372" spans="1:13" x14ac:dyDescent="0.3">
      <c r="A1372" s="101">
        <v>46055</v>
      </c>
      <c r="B1372" s="101">
        <v>46055</v>
      </c>
      <c r="C1372" s="102">
        <v>3000</v>
      </c>
      <c r="D1372" s="102">
        <v>0</v>
      </c>
      <c r="E1372" s="102"/>
      <c r="F1372" s="102" t="s">
        <v>976</v>
      </c>
      <c r="G1372" s="24">
        <v>0.85</v>
      </c>
      <c r="H1372" s="102" t="s">
        <v>1028</v>
      </c>
      <c r="I1372" s="102" t="s">
        <v>1680</v>
      </c>
      <c r="J1372" s="102"/>
      <c r="K1372" s="102" t="s">
        <v>1546</v>
      </c>
      <c r="L1372" s="102" t="s">
        <v>2484</v>
      </c>
      <c r="M1372" s="102"/>
    </row>
    <row r="1373" spans="1:13" x14ac:dyDescent="0.3">
      <c r="A1373" s="85">
        <v>46055</v>
      </c>
      <c r="B1373" s="85">
        <v>46055</v>
      </c>
      <c r="C1373" s="86">
        <v>9169.3700000000008</v>
      </c>
      <c r="D1373" s="86">
        <v>0</v>
      </c>
      <c r="E1373" s="86"/>
      <c r="F1373" s="86" t="s">
        <v>974</v>
      </c>
      <c r="G1373" s="24">
        <v>0.9</v>
      </c>
      <c r="H1373" s="86" t="s">
        <v>1019</v>
      </c>
      <c r="I1373" s="86" t="s">
        <v>1680</v>
      </c>
      <c r="J1373" s="86"/>
      <c r="K1373" s="86" t="s">
        <v>1545</v>
      </c>
      <c r="L1373" s="86" t="s">
        <v>2484</v>
      </c>
      <c r="M1373" s="86"/>
    </row>
    <row r="1374" spans="1:13" x14ac:dyDescent="0.3">
      <c r="A1374" s="27">
        <v>46055</v>
      </c>
      <c r="B1374" s="27">
        <v>46055</v>
      </c>
      <c r="C1374" s="28">
        <v>6469.6</v>
      </c>
      <c r="D1374" s="28">
        <v>0</v>
      </c>
      <c r="E1374" s="28"/>
      <c r="F1374" s="28" t="s">
        <v>30</v>
      </c>
      <c r="G1374" s="24">
        <v>0.9</v>
      </c>
      <c r="H1374" s="28" t="s">
        <v>837</v>
      </c>
      <c r="I1374" s="28" t="s">
        <v>1680</v>
      </c>
      <c r="J1374" s="28"/>
      <c r="K1374" s="28" t="s">
        <v>1544</v>
      </c>
      <c r="L1374" s="28" t="s">
        <v>2484</v>
      </c>
      <c r="M1374" s="28"/>
    </row>
    <row r="1375" spans="1:13" x14ac:dyDescent="0.3">
      <c r="A1375" s="27">
        <v>46055</v>
      </c>
      <c r="B1375" s="27">
        <v>46055</v>
      </c>
      <c r="C1375" s="28">
        <v>0</v>
      </c>
      <c r="D1375" s="28">
        <v>6469.6</v>
      </c>
      <c r="E1375" s="28"/>
      <c r="F1375" s="28" t="s">
        <v>1656</v>
      </c>
      <c r="G1375" s="24">
        <v>0.9</v>
      </c>
      <c r="H1375" s="28" t="s">
        <v>1680</v>
      </c>
      <c r="I1375" s="28" t="s">
        <v>837</v>
      </c>
      <c r="J1375" s="28"/>
      <c r="K1375" s="28" t="s">
        <v>1787</v>
      </c>
      <c r="L1375" s="28" t="s">
        <v>2486</v>
      </c>
      <c r="M1375" s="28"/>
    </row>
    <row r="1376" spans="1:13" x14ac:dyDescent="0.3">
      <c r="A1376" s="27">
        <v>46055</v>
      </c>
      <c r="B1376" s="27">
        <v>46055</v>
      </c>
      <c r="C1376" s="28">
        <v>65.42</v>
      </c>
      <c r="D1376" s="28">
        <v>0</v>
      </c>
      <c r="E1376" s="28"/>
      <c r="F1376" s="28" t="s">
        <v>4</v>
      </c>
      <c r="G1376" s="24">
        <v>0.97</v>
      </c>
      <c r="H1376" s="28" t="s">
        <v>49</v>
      </c>
      <c r="I1376" s="28" t="s">
        <v>1779</v>
      </c>
      <c r="J1376" s="28"/>
      <c r="K1376" s="28" t="s">
        <v>50</v>
      </c>
      <c r="L1376" s="28" t="s">
        <v>2482</v>
      </c>
      <c r="M1376" s="28"/>
    </row>
    <row r="1377" spans="1:13" x14ac:dyDescent="0.3">
      <c r="A1377" s="78">
        <v>46055</v>
      </c>
      <c r="B1377" s="78">
        <v>46055</v>
      </c>
      <c r="C1377" s="79">
        <v>0</v>
      </c>
      <c r="D1377" s="79">
        <v>96231</v>
      </c>
      <c r="E1377" s="79"/>
      <c r="F1377" s="79" t="s">
        <v>972</v>
      </c>
      <c r="G1377" s="24">
        <v>0.97</v>
      </c>
      <c r="H1377" s="79" t="s">
        <v>972</v>
      </c>
      <c r="I1377" s="79" t="s">
        <v>1680</v>
      </c>
      <c r="J1377" s="79"/>
      <c r="K1377" s="79" t="s">
        <v>1543</v>
      </c>
      <c r="L1377" s="79" t="s">
        <v>2484</v>
      </c>
      <c r="M1377" s="79"/>
    </row>
    <row r="1378" spans="1:13" x14ac:dyDescent="0.3">
      <c r="A1378" s="27">
        <v>46055.526805555557</v>
      </c>
      <c r="B1378" s="27">
        <v>46055</v>
      </c>
      <c r="C1378" s="28">
        <v>0</v>
      </c>
      <c r="D1378" s="28">
        <v>9169.3700000000008</v>
      </c>
      <c r="E1378" s="28"/>
      <c r="F1378" s="28" t="s">
        <v>1656</v>
      </c>
      <c r="G1378" s="24">
        <v>0.95</v>
      </c>
      <c r="H1378" s="28" t="s">
        <v>1680</v>
      </c>
      <c r="I1378" s="28" t="s">
        <v>1019</v>
      </c>
      <c r="J1378" s="28"/>
      <c r="K1378" s="28" t="s">
        <v>2437</v>
      </c>
      <c r="L1378" s="28" t="s">
        <v>2483</v>
      </c>
      <c r="M1378" s="28"/>
    </row>
    <row r="1379" spans="1:13" x14ac:dyDescent="0.3">
      <c r="A1379" s="27">
        <v>46056</v>
      </c>
      <c r="B1379" s="27">
        <v>46056</v>
      </c>
      <c r="C1379" s="28">
        <v>65.42</v>
      </c>
      <c r="D1379" s="28">
        <v>0</v>
      </c>
      <c r="E1379" s="28"/>
      <c r="F1379" s="28" t="s">
        <v>4</v>
      </c>
      <c r="G1379" s="24">
        <v>0.97</v>
      </c>
      <c r="H1379" s="28" t="s">
        <v>49</v>
      </c>
      <c r="I1379" s="28" t="s">
        <v>1779</v>
      </c>
      <c r="J1379" s="28"/>
      <c r="K1379" s="28" t="s">
        <v>50</v>
      </c>
      <c r="L1379" s="28" t="s">
        <v>2482</v>
      </c>
      <c r="M1379" s="28"/>
    </row>
    <row r="1380" spans="1:13" x14ac:dyDescent="0.3">
      <c r="A1380" s="49">
        <v>46056</v>
      </c>
      <c r="B1380" s="49">
        <v>46056</v>
      </c>
      <c r="C1380" s="50">
        <v>0</v>
      </c>
      <c r="D1380" s="50">
        <v>855</v>
      </c>
      <c r="E1380" s="50"/>
      <c r="F1380" s="50" t="s">
        <v>17</v>
      </c>
      <c r="G1380" s="24">
        <v>0.88</v>
      </c>
      <c r="H1380" s="50" t="s">
        <v>17</v>
      </c>
      <c r="I1380" s="50" t="s">
        <v>1779</v>
      </c>
      <c r="J1380" s="50"/>
      <c r="K1380" s="50" t="s">
        <v>845</v>
      </c>
      <c r="L1380" s="50" t="s">
        <v>2482</v>
      </c>
      <c r="M1380" s="50"/>
    </row>
    <row r="1381" spans="1:13" x14ac:dyDescent="0.3">
      <c r="A1381" s="27">
        <v>46056</v>
      </c>
      <c r="B1381" s="27">
        <v>46056</v>
      </c>
      <c r="C1381" s="28">
        <v>10385.17</v>
      </c>
      <c r="D1381" s="28">
        <v>0</v>
      </c>
      <c r="E1381" s="28"/>
      <c r="F1381" s="28" t="s">
        <v>4</v>
      </c>
      <c r="G1381" s="24">
        <v>0.97</v>
      </c>
      <c r="H1381" s="28" t="s">
        <v>49</v>
      </c>
      <c r="I1381" s="28" t="s">
        <v>1779</v>
      </c>
      <c r="J1381" s="28"/>
      <c r="K1381" s="28" t="s">
        <v>50</v>
      </c>
      <c r="L1381" s="28" t="s">
        <v>2482</v>
      </c>
      <c r="M1381" s="28"/>
    </row>
    <row r="1382" spans="1:13" x14ac:dyDescent="0.3">
      <c r="A1382" s="25">
        <v>46056</v>
      </c>
      <c r="B1382" s="25">
        <v>46056</v>
      </c>
      <c r="C1382" s="26">
        <v>0</v>
      </c>
      <c r="D1382" s="26">
        <v>89.48</v>
      </c>
      <c r="E1382" s="26"/>
      <c r="F1382" s="26" t="s">
        <v>3</v>
      </c>
      <c r="G1382" s="24">
        <v>0.93</v>
      </c>
      <c r="H1382" s="26" t="s">
        <v>49</v>
      </c>
      <c r="I1382" s="26" t="s">
        <v>1779</v>
      </c>
      <c r="J1382" s="26"/>
      <c r="K1382" s="26" t="s">
        <v>842</v>
      </c>
      <c r="L1382" s="26" t="s">
        <v>2482</v>
      </c>
      <c r="M1382" s="26"/>
    </row>
    <row r="1383" spans="1:13" x14ac:dyDescent="0.3">
      <c r="A1383" s="89">
        <v>46056</v>
      </c>
      <c r="B1383" s="89">
        <v>46056</v>
      </c>
      <c r="C1383" s="90">
        <v>260</v>
      </c>
      <c r="D1383" s="90">
        <v>0</v>
      </c>
      <c r="E1383" s="90" t="s">
        <v>1551</v>
      </c>
      <c r="F1383" s="90" t="s">
        <v>975</v>
      </c>
      <c r="G1383" s="39">
        <v>0.55000000000000004</v>
      </c>
      <c r="H1383" s="90" t="s">
        <v>91</v>
      </c>
      <c r="I1383" s="90" t="s">
        <v>1680</v>
      </c>
      <c r="J1383" s="90"/>
      <c r="K1383" s="90" t="s">
        <v>1550</v>
      </c>
      <c r="L1383" s="90" t="s">
        <v>2484</v>
      </c>
      <c r="M1383" s="90"/>
    </row>
    <row r="1384" spans="1:13" x14ac:dyDescent="0.3">
      <c r="A1384" s="83">
        <v>46056</v>
      </c>
      <c r="B1384" s="83">
        <v>46056</v>
      </c>
      <c r="C1384" s="84">
        <v>137.25</v>
      </c>
      <c r="D1384" s="84">
        <v>0</v>
      </c>
      <c r="E1384" s="84"/>
      <c r="F1384" s="84" t="s">
        <v>973</v>
      </c>
      <c r="G1384" s="40">
        <v>0.68</v>
      </c>
      <c r="H1384" s="84" t="s">
        <v>1014</v>
      </c>
      <c r="I1384" s="84" t="s">
        <v>1680</v>
      </c>
      <c r="J1384" s="84"/>
      <c r="K1384" s="84" t="s">
        <v>1549</v>
      </c>
      <c r="L1384" s="84" t="s">
        <v>2484</v>
      </c>
      <c r="M1384" s="84"/>
    </row>
    <row r="1385" spans="1:13" x14ac:dyDescent="0.3">
      <c r="A1385" s="51">
        <v>46056</v>
      </c>
      <c r="B1385" s="51">
        <v>46056</v>
      </c>
      <c r="C1385" s="52">
        <v>0</v>
      </c>
      <c r="D1385" s="52">
        <v>101</v>
      </c>
      <c r="E1385" s="52"/>
      <c r="F1385" s="52" t="s">
        <v>20</v>
      </c>
      <c r="G1385" s="24">
        <v>0.85</v>
      </c>
      <c r="H1385" s="52" t="s">
        <v>181</v>
      </c>
      <c r="I1385" s="52" t="s">
        <v>1680</v>
      </c>
      <c r="J1385" s="52"/>
      <c r="K1385" s="52" t="s">
        <v>1552</v>
      </c>
      <c r="L1385" s="52" t="s">
        <v>2484</v>
      </c>
      <c r="M1385" s="52"/>
    </row>
    <row r="1386" spans="1:13" x14ac:dyDescent="0.3">
      <c r="A1386" s="101">
        <v>46056</v>
      </c>
      <c r="B1386" s="101">
        <v>46056</v>
      </c>
      <c r="C1386" s="102">
        <v>3000</v>
      </c>
      <c r="D1386" s="102">
        <v>0</v>
      </c>
      <c r="E1386" s="102"/>
      <c r="F1386" s="102" t="s">
        <v>976</v>
      </c>
      <c r="G1386" s="24">
        <v>0.85</v>
      </c>
      <c r="H1386" s="102" t="s">
        <v>1028</v>
      </c>
      <c r="I1386" s="102" t="s">
        <v>1680</v>
      </c>
      <c r="J1386" s="102"/>
      <c r="K1386" s="102" t="s">
        <v>1548</v>
      </c>
      <c r="L1386" s="102" t="s">
        <v>2484</v>
      </c>
      <c r="M1386" s="102"/>
    </row>
    <row r="1387" spans="1:13" x14ac:dyDescent="0.3">
      <c r="A1387" s="37">
        <v>46056</v>
      </c>
      <c r="B1387" s="37">
        <v>46056</v>
      </c>
      <c r="C1387" s="38">
        <v>0</v>
      </c>
      <c r="D1387" s="38">
        <v>1000</v>
      </c>
      <c r="E1387" s="38"/>
      <c r="F1387" s="38" t="s">
        <v>1673</v>
      </c>
      <c r="G1387" s="39">
        <v>0.55000000000000004</v>
      </c>
      <c r="H1387" s="38" t="s">
        <v>91</v>
      </c>
      <c r="I1387" s="38" t="s">
        <v>837</v>
      </c>
      <c r="J1387" s="38"/>
      <c r="K1387" s="38" t="s">
        <v>1788</v>
      </c>
      <c r="L1387" s="38" t="s">
        <v>2486</v>
      </c>
      <c r="M1387" s="38"/>
    </row>
    <row r="1388" spans="1:13" x14ac:dyDescent="0.3">
      <c r="A1388" s="27">
        <v>46057</v>
      </c>
      <c r="B1388" s="27">
        <v>46057</v>
      </c>
      <c r="C1388" s="28">
        <v>61.75</v>
      </c>
      <c r="D1388" s="28">
        <v>0</v>
      </c>
      <c r="E1388" s="28"/>
      <c r="F1388" s="28" t="s">
        <v>4</v>
      </c>
      <c r="G1388" s="24">
        <v>0.97</v>
      </c>
      <c r="H1388" s="28" t="s">
        <v>49</v>
      </c>
      <c r="I1388" s="28" t="s">
        <v>1779</v>
      </c>
      <c r="J1388" s="28"/>
      <c r="K1388" s="28" t="s">
        <v>50</v>
      </c>
      <c r="L1388" s="28" t="s">
        <v>2482</v>
      </c>
      <c r="M1388" s="28"/>
    </row>
    <row r="1389" spans="1:13" x14ac:dyDescent="0.3">
      <c r="A1389" s="101">
        <v>46057</v>
      </c>
      <c r="B1389" s="101">
        <v>46057</v>
      </c>
      <c r="C1389" s="102">
        <v>3000</v>
      </c>
      <c r="D1389" s="102">
        <v>0</v>
      </c>
      <c r="E1389" s="102"/>
      <c r="F1389" s="102" t="s">
        <v>976</v>
      </c>
      <c r="G1389" s="24">
        <v>0.85</v>
      </c>
      <c r="H1389" s="102" t="s">
        <v>1028</v>
      </c>
      <c r="I1389" s="102" t="s">
        <v>1680</v>
      </c>
      <c r="J1389" s="102"/>
      <c r="K1389" s="102" t="s">
        <v>1553</v>
      </c>
      <c r="L1389" s="102" t="s">
        <v>2484</v>
      </c>
      <c r="M1389" s="102"/>
    </row>
    <row r="1390" spans="1:13" x14ac:dyDescent="0.3">
      <c r="A1390" s="89">
        <v>46057</v>
      </c>
      <c r="B1390" s="89">
        <v>46057</v>
      </c>
      <c r="C1390" s="90">
        <v>40</v>
      </c>
      <c r="D1390" s="90">
        <v>0</v>
      </c>
      <c r="E1390" s="90" t="s">
        <v>1555</v>
      </c>
      <c r="F1390" s="90" t="s">
        <v>975</v>
      </c>
      <c r="G1390" s="39">
        <v>0.55000000000000004</v>
      </c>
      <c r="H1390" s="90" t="s">
        <v>91</v>
      </c>
      <c r="I1390" s="90" t="s">
        <v>1680</v>
      </c>
      <c r="J1390" s="90"/>
      <c r="K1390" s="90" t="s">
        <v>1554</v>
      </c>
      <c r="L1390" s="90" t="s">
        <v>2484</v>
      </c>
      <c r="M1390" s="90"/>
    </row>
    <row r="1391" spans="1:13" x14ac:dyDescent="0.3">
      <c r="A1391" s="89">
        <v>46058</v>
      </c>
      <c r="B1391" s="89">
        <v>46058</v>
      </c>
      <c r="C1391" s="90">
        <v>20</v>
      </c>
      <c r="D1391" s="90">
        <v>0</v>
      </c>
      <c r="E1391" s="90" t="s">
        <v>1555</v>
      </c>
      <c r="F1391" s="90" t="s">
        <v>975</v>
      </c>
      <c r="G1391" s="39">
        <v>0.55000000000000004</v>
      </c>
      <c r="H1391" s="90" t="s">
        <v>91</v>
      </c>
      <c r="I1391" s="90" t="s">
        <v>1680</v>
      </c>
      <c r="J1391" s="90"/>
      <c r="K1391" s="90" t="s">
        <v>1557</v>
      </c>
      <c r="L1391" s="90" t="s">
        <v>2484</v>
      </c>
      <c r="M1391" s="90"/>
    </row>
    <row r="1392" spans="1:13" x14ac:dyDescent="0.3">
      <c r="A1392" s="101">
        <v>46058</v>
      </c>
      <c r="B1392" s="101">
        <v>46058</v>
      </c>
      <c r="C1392" s="102">
        <v>3000</v>
      </c>
      <c r="D1392" s="102">
        <v>0</v>
      </c>
      <c r="E1392" s="102"/>
      <c r="F1392" s="102" t="s">
        <v>976</v>
      </c>
      <c r="G1392" s="24">
        <v>0.85</v>
      </c>
      <c r="H1392" s="102" t="s">
        <v>1028</v>
      </c>
      <c r="I1392" s="102" t="s">
        <v>1680</v>
      </c>
      <c r="J1392" s="102"/>
      <c r="K1392" s="102" t="s">
        <v>1556</v>
      </c>
      <c r="L1392" s="102" t="s">
        <v>2484</v>
      </c>
      <c r="M1392" s="102"/>
    </row>
    <row r="1393" spans="1:13" x14ac:dyDescent="0.3">
      <c r="A1393" s="27">
        <v>46058</v>
      </c>
      <c r="B1393" s="27">
        <v>46058</v>
      </c>
      <c r="C1393" s="28">
        <v>76.05</v>
      </c>
      <c r="D1393" s="28">
        <v>0</v>
      </c>
      <c r="E1393" s="28"/>
      <c r="F1393" s="28" t="s">
        <v>4</v>
      </c>
      <c r="G1393" s="24">
        <v>0.97</v>
      </c>
      <c r="H1393" s="28" t="s">
        <v>49</v>
      </c>
      <c r="I1393" s="28" t="s">
        <v>1779</v>
      </c>
      <c r="J1393" s="28"/>
      <c r="K1393" s="28" t="s">
        <v>50</v>
      </c>
      <c r="L1393" s="28" t="s">
        <v>2482</v>
      </c>
      <c r="M1393" s="28"/>
    </row>
    <row r="1394" spans="1:13" x14ac:dyDescent="0.3">
      <c r="A1394" s="25">
        <v>46058</v>
      </c>
      <c r="B1394" s="25">
        <v>46058</v>
      </c>
      <c r="C1394" s="26">
        <v>0</v>
      </c>
      <c r="D1394" s="26">
        <v>2712.08</v>
      </c>
      <c r="E1394" s="26"/>
      <c r="F1394" s="26" t="s">
        <v>3</v>
      </c>
      <c r="G1394" s="24">
        <v>0.93</v>
      </c>
      <c r="H1394" s="26" t="s">
        <v>49</v>
      </c>
      <c r="I1394" s="26" t="s">
        <v>1779</v>
      </c>
      <c r="J1394" s="26"/>
      <c r="K1394" s="26" t="s">
        <v>849</v>
      </c>
      <c r="L1394" s="26" t="s">
        <v>2482</v>
      </c>
      <c r="M1394" s="26"/>
    </row>
    <row r="1395" spans="1:13" x14ac:dyDescent="0.3">
      <c r="A1395" s="27">
        <v>46059</v>
      </c>
      <c r="B1395" s="27">
        <v>46059</v>
      </c>
      <c r="C1395" s="28">
        <v>77.02</v>
      </c>
      <c r="D1395" s="28">
        <v>0</v>
      </c>
      <c r="E1395" s="28"/>
      <c r="F1395" s="28" t="s">
        <v>4</v>
      </c>
      <c r="G1395" s="24">
        <v>0.97</v>
      </c>
      <c r="H1395" s="28" t="s">
        <v>49</v>
      </c>
      <c r="I1395" s="28" t="s">
        <v>1779</v>
      </c>
      <c r="J1395" s="28"/>
      <c r="K1395" s="28" t="s">
        <v>50</v>
      </c>
      <c r="L1395" s="28" t="s">
        <v>2482</v>
      </c>
      <c r="M1395" s="28"/>
    </row>
    <row r="1396" spans="1:13" x14ac:dyDescent="0.3">
      <c r="A1396" s="25">
        <v>46059</v>
      </c>
      <c r="B1396" s="25">
        <v>46059</v>
      </c>
      <c r="C1396" s="26">
        <v>0</v>
      </c>
      <c r="D1396" s="26">
        <v>1683.88</v>
      </c>
      <c r="E1396" s="26"/>
      <c r="F1396" s="26" t="s">
        <v>3</v>
      </c>
      <c r="G1396" s="24">
        <v>0.93</v>
      </c>
      <c r="H1396" s="26" t="s">
        <v>49</v>
      </c>
      <c r="I1396" s="26" t="s">
        <v>1779</v>
      </c>
      <c r="J1396" s="26"/>
      <c r="K1396" s="26" t="s">
        <v>852</v>
      </c>
      <c r="L1396" s="26" t="s">
        <v>2482</v>
      </c>
      <c r="M1396" s="26"/>
    </row>
    <row r="1397" spans="1:13" x14ac:dyDescent="0.3">
      <c r="A1397" s="101">
        <v>46059</v>
      </c>
      <c r="B1397" s="101">
        <v>46059</v>
      </c>
      <c r="C1397" s="102">
        <v>2096.85</v>
      </c>
      <c r="D1397" s="102">
        <v>0</v>
      </c>
      <c r="E1397" s="102"/>
      <c r="F1397" s="102" t="s">
        <v>976</v>
      </c>
      <c r="G1397" s="24">
        <v>0.85</v>
      </c>
      <c r="H1397" s="102" t="s">
        <v>1028</v>
      </c>
      <c r="I1397" s="102" t="s">
        <v>1680</v>
      </c>
      <c r="J1397" s="102"/>
      <c r="K1397" s="102" t="s">
        <v>1558</v>
      </c>
      <c r="L1397" s="102" t="s">
        <v>2484</v>
      </c>
      <c r="M1397" s="102"/>
    </row>
    <row r="1398" spans="1:13" x14ac:dyDescent="0.3">
      <c r="A1398" s="27">
        <v>46059</v>
      </c>
      <c r="B1398" s="27">
        <v>46059</v>
      </c>
      <c r="C1398" s="28">
        <v>499.58</v>
      </c>
      <c r="D1398" s="28">
        <v>0</v>
      </c>
      <c r="E1398" s="28"/>
      <c r="F1398" s="28" t="s">
        <v>4</v>
      </c>
      <c r="G1398" s="24">
        <v>0.97</v>
      </c>
      <c r="H1398" s="28" t="s">
        <v>49</v>
      </c>
      <c r="I1398" s="28" t="s">
        <v>1779</v>
      </c>
      <c r="J1398" s="28"/>
      <c r="K1398" s="28" t="s">
        <v>50</v>
      </c>
      <c r="L1398" s="28" t="s">
        <v>2482</v>
      </c>
      <c r="M1398" s="28"/>
    </row>
    <row r="1399" spans="1:13" x14ac:dyDescent="0.3">
      <c r="A1399" s="31">
        <v>46060</v>
      </c>
      <c r="B1399" s="31">
        <v>46060</v>
      </c>
      <c r="C1399" s="32">
        <v>0</v>
      </c>
      <c r="D1399" s="32">
        <v>1880</v>
      </c>
      <c r="E1399" s="32"/>
      <c r="F1399" s="32" t="s">
        <v>6</v>
      </c>
      <c r="G1399" s="24">
        <v>0.95</v>
      </c>
      <c r="H1399" s="32" t="s">
        <v>63</v>
      </c>
      <c r="I1399" s="32" t="s">
        <v>1779</v>
      </c>
      <c r="J1399" s="32"/>
      <c r="K1399" s="32" t="s">
        <v>856</v>
      </c>
      <c r="L1399" s="32" t="s">
        <v>2482</v>
      </c>
      <c r="M1399" s="32"/>
    </row>
    <row r="1400" spans="1:13" x14ac:dyDescent="0.3">
      <c r="A1400" s="89">
        <v>46060</v>
      </c>
      <c r="B1400" s="89">
        <v>46060</v>
      </c>
      <c r="C1400" s="90">
        <v>20</v>
      </c>
      <c r="D1400" s="90">
        <v>0</v>
      </c>
      <c r="E1400" s="90" t="s">
        <v>1555</v>
      </c>
      <c r="F1400" s="90" t="s">
        <v>975</v>
      </c>
      <c r="G1400" s="39">
        <v>0.55000000000000004</v>
      </c>
      <c r="H1400" s="90" t="s">
        <v>91</v>
      </c>
      <c r="I1400" s="90" t="s">
        <v>1680</v>
      </c>
      <c r="J1400" s="90"/>
      <c r="K1400" s="90" t="s">
        <v>1559</v>
      </c>
      <c r="L1400" s="90" t="s">
        <v>2484</v>
      </c>
      <c r="M1400" s="90"/>
    </row>
    <row r="1401" spans="1:13" x14ac:dyDescent="0.3">
      <c r="A1401" s="27">
        <v>46062</v>
      </c>
      <c r="B1401" s="27">
        <v>46062</v>
      </c>
      <c r="C1401" s="28">
        <v>232.32</v>
      </c>
      <c r="D1401" s="28">
        <v>0</v>
      </c>
      <c r="E1401" s="28"/>
      <c r="F1401" s="28" t="s">
        <v>4</v>
      </c>
      <c r="G1401" s="24">
        <v>0.97</v>
      </c>
      <c r="H1401" s="28" t="s">
        <v>49</v>
      </c>
      <c r="I1401" s="28" t="s">
        <v>1779</v>
      </c>
      <c r="J1401" s="28"/>
      <c r="K1401" s="28" t="s">
        <v>50</v>
      </c>
      <c r="L1401" s="28" t="s">
        <v>2482</v>
      </c>
      <c r="M1401" s="28"/>
    </row>
    <row r="1402" spans="1:13" x14ac:dyDescent="0.3">
      <c r="A1402" s="25">
        <v>46063</v>
      </c>
      <c r="B1402" s="25">
        <v>46063</v>
      </c>
      <c r="C1402" s="26">
        <v>0</v>
      </c>
      <c r="D1402" s="26">
        <v>1175.77</v>
      </c>
      <c r="E1402" s="26"/>
      <c r="F1402" s="26" t="s">
        <v>3</v>
      </c>
      <c r="G1402" s="24">
        <v>0.93</v>
      </c>
      <c r="H1402" s="26" t="s">
        <v>49</v>
      </c>
      <c r="I1402" s="26" t="s">
        <v>1779</v>
      </c>
      <c r="J1402" s="26"/>
      <c r="K1402" s="26" t="s">
        <v>859</v>
      </c>
      <c r="L1402" s="26" t="s">
        <v>2482</v>
      </c>
      <c r="M1402" s="26"/>
    </row>
    <row r="1403" spans="1:13" x14ac:dyDescent="0.3">
      <c r="A1403" s="27">
        <v>46063</v>
      </c>
      <c r="B1403" s="27">
        <v>46063</v>
      </c>
      <c r="C1403" s="28">
        <v>77.44</v>
      </c>
      <c r="D1403" s="28">
        <v>0</v>
      </c>
      <c r="E1403" s="28"/>
      <c r="F1403" s="28" t="s">
        <v>4</v>
      </c>
      <c r="G1403" s="24">
        <v>0.97</v>
      </c>
      <c r="H1403" s="28" t="s">
        <v>49</v>
      </c>
      <c r="I1403" s="28" t="s">
        <v>1779</v>
      </c>
      <c r="J1403" s="28"/>
      <c r="K1403" s="28" t="s">
        <v>50</v>
      </c>
      <c r="L1403" s="28" t="s">
        <v>2482</v>
      </c>
      <c r="M1403" s="28"/>
    </row>
    <row r="1404" spans="1:13" x14ac:dyDescent="0.3">
      <c r="A1404" s="27">
        <v>46064</v>
      </c>
      <c r="B1404" s="27">
        <v>46064</v>
      </c>
      <c r="C1404" s="28">
        <v>77.86</v>
      </c>
      <c r="D1404" s="28">
        <v>0</v>
      </c>
      <c r="E1404" s="28"/>
      <c r="F1404" s="28" t="s">
        <v>4</v>
      </c>
      <c r="G1404" s="24">
        <v>0.97</v>
      </c>
      <c r="H1404" s="28" t="s">
        <v>49</v>
      </c>
      <c r="I1404" s="28" t="s">
        <v>1779</v>
      </c>
      <c r="J1404" s="28"/>
      <c r="K1404" s="28" t="s">
        <v>50</v>
      </c>
      <c r="L1404" s="28" t="s">
        <v>2482</v>
      </c>
      <c r="M1404" s="28"/>
    </row>
    <row r="1405" spans="1:13" x14ac:dyDescent="0.3">
      <c r="A1405" s="25">
        <v>46064</v>
      </c>
      <c r="B1405" s="25">
        <v>46064</v>
      </c>
      <c r="C1405" s="26">
        <v>0</v>
      </c>
      <c r="D1405" s="26">
        <v>582.47</v>
      </c>
      <c r="E1405" s="26"/>
      <c r="F1405" s="26" t="s">
        <v>3</v>
      </c>
      <c r="G1405" s="24">
        <v>0.93</v>
      </c>
      <c r="H1405" s="26" t="s">
        <v>49</v>
      </c>
      <c r="I1405" s="26" t="s">
        <v>1779</v>
      </c>
      <c r="J1405" s="26"/>
      <c r="K1405" s="26" t="s">
        <v>862</v>
      </c>
      <c r="L1405" s="26" t="s">
        <v>2482</v>
      </c>
      <c r="M1405" s="26"/>
    </row>
    <row r="1406" spans="1:13" x14ac:dyDescent="0.3">
      <c r="A1406" s="59">
        <v>46064.378009259257</v>
      </c>
      <c r="B1406" s="59">
        <v>46064</v>
      </c>
      <c r="C1406" s="60">
        <v>0</v>
      </c>
      <c r="D1406" s="60">
        <v>477.82</v>
      </c>
      <c r="E1406" s="60"/>
      <c r="F1406" s="60" t="s">
        <v>29</v>
      </c>
      <c r="G1406" s="24">
        <v>0.85</v>
      </c>
      <c r="H1406" s="60" t="s">
        <v>606</v>
      </c>
      <c r="I1406" s="60" t="s">
        <v>1019</v>
      </c>
      <c r="J1406" s="60"/>
      <c r="K1406" s="60" t="s">
        <v>2439</v>
      </c>
      <c r="L1406" s="60" t="s">
        <v>2483</v>
      </c>
      <c r="M1406" s="60"/>
    </row>
    <row r="1407" spans="1:13" x14ac:dyDescent="0.3">
      <c r="A1407" s="27">
        <v>46065</v>
      </c>
      <c r="B1407" s="27">
        <v>46065</v>
      </c>
      <c r="C1407" s="28">
        <v>78.06</v>
      </c>
      <c r="D1407" s="28">
        <v>0</v>
      </c>
      <c r="E1407" s="28"/>
      <c r="F1407" s="28" t="s">
        <v>4</v>
      </c>
      <c r="G1407" s="24">
        <v>0.97</v>
      </c>
      <c r="H1407" s="28" t="s">
        <v>49</v>
      </c>
      <c r="I1407" s="28" t="s">
        <v>1779</v>
      </c>
      <c r="J1407" s="28"/>
      <c r="K1407" s="28" t="s">
        <v>50</v>
      </c>
      <c r="L1407" s="28" t="s">
        <v>2482</v>
      </c>
      <c r="M1407" s="28"/>
    </row>
    <row r="1408" spans="1:13" x14ac:dyDescent="0.3">
      <c r="A1408" s="25">
        <v>46065</v>
      </c>
      <c r="B1408" s="25">
        <v>46065</v>
      </c>
      <c r="C1408" s="26">
        <v>0</v>
      </c>
      <c r="D1408" s="26">
        <v>204.57</v>
      </c>
      <c r="E1408" s="26"/>
      <c r="F1408" s="26" t="s">
        <v>3</v>
      </c>
      <c r="G1408" s="24">
        <v>0.93</v>
      </c>
      <c r="H1408" s="26" t="s">
        <v>49</v>
      </c>
      <c r="I1408" s="26" t="s">
        <v>1779</v>
      </c>
      <c r="J1408" s="26"/>
      <c r="K1408" s="26" t="s">
        <v>865</v>
      </c>
      <c r="L1408" s="26" t="s">
        <v>2482</v>
      </c>
      <c r="M1408" s="26"/>
    </row>
    <row r="1409" spans="1:13" x14ac:dyDescent="0.3">
      <c r="A1409" s="49">
        <v>46065</v>
      </c>
      <c r="B1409" s="49">
        <v>46065</v>
      </c>
      <c r="C1409" s="50">
        <v>0</v>
      </c>
      <c r="D1409" s="50">
        <v>112</v>
      </c>
      <c r="E1409" s="50"/>
      <c r="F1409" s="50" t="s">
        <v>17</v>
      </c>
      <c r="G1409" s="24">
        <v>0.88</v>
      </c>
      <c r="H1409" s="50" t="s">
        <v>17</v>
      </c>
      <c r="I1409" s="50" t="s">
        <v>1779</v>
      </c>
      <c r="J1409" s="50"/>
      <c r="K1409" s="50" t="s">
        <v>868</v>
      </c>
      <c r="L1409" s="50" t="s">
        <v>2482</v>
      </c>
      <c r="M1409" s="50"/>
    </row>
    <row r="1410" spans="1:13" x14ac:dyDescent="0.3">
      <c r="A1410" s="89">
        <v>46065</v>
      </c>
      <c r="B1410" s="89">
        <v>46065</v>
      </c>
      <c r="C1410" s="90">
        <v>297</v>
      </c>
      <c r="D1410" s="90">
        <v>0</v>
      </c>
      <c r="E1410" s="90"/>
      <c r="F1410" s="90" t="s">
        <v>992</v>
      </c>
      <c r="G1410" s="40">
        <v>0.75</v>
      </c>
      <c r="H1410" s="90" t="s">
        <v>91</v>
      </c>
      <c r="I1410" s="90" t="s">
        <v>1680</v>
      </c>
      <c r="J1410" s="90"/>
      <c r="K1410" s="90" t="s">
        <v>1561</v>
      </c>
      <c r="L1410" s="90" t="s">
        <v>2484</v>
      </c>
      <c r="M1410" s="90"/>
    </row>
    <row r="1411" spans="1:13" x14ac:dyDescent="0.3">
      <c r="A1411" s="89">
        <v>46065</v>
      </c>
      <c r="B1411" s="89">
        <v>46065</v>
      </c>
      <c r="C1411" s="90">
        <v>40</v>
      </c>
      <c r="D1411" s="90">
        <v>0</v>
      </c>
      <c r="E1411" s="90" t="s">
        <v>1555</v>
      </c>
      <c r="F1411" s="90" t="s">
        <v>975</v>
      </c>
      <c r="G1411" s="39">
        <v>0.55000000000000004</v>
      </c>
      <c r="H1411" s="90" t="s">
        <v>91</v>
      </c>
      <c r="I1411" s="90" t="s">
        <v>1680</v>
      </c>
      <c r="J1411" s="90"/>
      <c r="K1411" s="90" t="s">
        <v>1560</v>
      </c>
      <c r="L1411" s="90" t="s">
        <v>2484</v>
      </c>
      <c r="M1411" s="90"/>
    </row>
    <row r="1412" spans="1:13" x14ac:dyDescent="0.3">
      <c r="A1412" s="49">
        <v>46065.294872685183</v>
      </c>
      <c r="B1412" s="49">
        <v>46065</v>
      </c>
      <c r="C1412" s="50">
        <v>0</v>
      </c>
      <c r="D1412" s="50">
        <v>245</v>
      </c>
      <c r="E1412" s="50"/>
      <c r="F1412" s="50" t="s">
        <v>17</v>
      </c>
      <c r="G1412" s="24">
        <v>0.93</v>
      </c>
      <c r="H1412" s="50" t="s">
        <v>17</v>
      </c>
      <c r="I1412" s="50" t="s">
        <v>1019</v>
      </c>
      <c r="J1412" s="50"/>
      <c r="K1412" s="50" t="s">
        <v>2441</v>
      </c>
      <c r="L1412" s="50" t="s">
        <v>2483</v>
      </c>
      <c r="M1412" s="50"/>
    </row>
    <row r="1413" spans="1:13" x14ac:dyDescent="0.3">
      <c r="A1413" s="27">
        <v>46066</v>
      </c>
      <c r="B1413" s="27">
        <v>46066</v>
      </c>
      <c r="C1413" s="28">
        <v>792.51</v>
      </c>
      <c r="D1413" s="28">
        <v>0</v>
      </c>
      <c r="E1413" s="28"/>
      <c r="F1413" s="28" t="s">
        <v>4</v>
      </c>
      <c r="G1413" s="24">
        <v>0.97</v>
      </c>
      <c r="H1413" s="28" t="s">
        <v>49</v>
      </c>
      <c r="I1413" s="28" t="s">
        <v>1779</v>
      </c>
      <c r="J1413" s="28"/>
      <c r="K1413" s="28" t="s">
        <v>50</v>
      </c>
      <c r="L1413" s="28" t="s">
        <v>2482</v>
      </c>
      <c r="M1413" s="28"/>
    </row>
    <row r="1414" spans="1:13" x14ac:dyDescent="0.3">
      <c r="A1414" s="27">
        <v>46066</v>
      </c>
      <c r="B1414" s="27">
        <v>46066</v>
      </c>
      <c r="C1414" s="28">
        <v>78.14</v>
      </c>
      <c r="D1414" s="28">
        <v>0</v>
      </c>
      <c r="E1414" s="28"/>
      <c r="F1414" s="28" t="s">
        <v>4</v>
      </c>
      <c r="G1414" s="24">
        <v>0.97</v>
      </c>
      <c r="H1414" s="28" t="s">
        <v>49</v>
      </c>
      <c r="I1414" s="28" t="s">
        <v>1779</v>
      </c>
      <c r="J1414" s="28"/>
      <c r="K1414" s="28" t="s">
        <v>50</v>
      </c>
      <c r="L1414" s="28" t="s">
        <v>2482</v>
      </c>
      <c r="M1414" s="28"/>
    </row>
    <row r="1415" spans="1:13" x14ac:dyDescent="0.3">
      <c r="A1415" s="25">
        <v>46066</v>
      </c>
      <c r="B1415" s="25">
        <v>46066</v>
      </c>
      <c r="C1415" s="26">
        <v>0</v>
      </c>
      <c r="D1415" s="26">
        <v>368.17</v>
      </c>
      <c r="E1415" s="26"/>
      <c r="F1415" s="26" t="s">
        <v>3</v>
      </c>
      <c r="G1415" s="24">
        <v>0.93</v>
      </c>
      <c r="H1415" s="26" t="s">
        <v>49</v>
      </c>
      <c r="I1415" s="26" t="s">
        <v>1779</v>
      </c>
      <c r="J1415" s="26"/>
      <c r="K1415" s="26" t="s">
        <v>870</v>
      </c>
      <c r="L1415" s="26" t="s">
        <v>2482</v>
      </c>
      <c r="M1415" s="26"/>
    </row>
    <row r="1416" spans="1:13" x14ac:dyDescent="0.3">
      <c r="A1416" s="89">
        <v>46067</v>
      </c>
      <c r="B1416" s="89">
        <v>46067</v>
      </c>
      <c r="C1416" s="90">
        <v>105</v>
      </c>
      <c r="D1416" s="90">
        <v>0</v>
      </c>
      <c r="E1416" s="90" t="s">
        <v>1563</v>
      </c>
      <c r="F1416" s="90" t="s">
        <v>975</v>
      </c>
      <c r="G1416" s="39">
        <v>0.55000000000000004</v>
      </c>
      <c r="H1416" s="90" t="s">
        <v>91</v>
      </c>
      <c r="I1416" s="90" t="s">
        <v>1680</v>
      </c>
      <c r="J1416" s="90"/>
      <c r="K1416" s="90" t="s">
        <v>1562</v>
      </c>
      <c r="L1416" s="90" t="s">
        <v>2484</v>
      </c>
      <c r="M1416" s="90"/>
    </row>
    <row r="1417" spans="1:13" x14ac:dyDescent="0.3">
      <c r="A1417" s="89">
        <v>46068</v>
      </c>
      <c r="B1417" s="89">
        <v>46068</v>
      </c>
      <c r="C1417" s="90">
        <v>90</v>
      </c>
      <c r="D1417" s="90">
        <v>0</v>
      </c>
      <c r="E1417" s="90" t="s">
        <v>1565</v>
      </c>
      <c r="F1417" s="90" t="s">
        <v>975</v>
      </c>
      <c r="G1417" s="39">
        <v>0.55000000000000004</v>
      </c>
      <c r="H1417" s="90" t="s">
        <v>91</v>
      </c>
      <c r="I1417" s="90" t="s">
        <v>1680</v>
      </c>
      <c r="J1417" s="90"/>
      <c r="K1417" s="90" t="s">
        <v>1564</v>
      </c>
      <c r="L1417" s="90" t="s">
        <v>2484</v>
      </c>
      <c r="M1417" s="90"/>
    </row>
    <row r="1418" spans="1:13" x14ac:dyDescent="0.3">
      <c r="A1418" s="27">
        <v>46069</v>
      </c>
      <c r="B1418" s="27">
        <v>46070</v>
      </c>
      <c r="C1418" s="28">
        <v>298.45</v>
      </c>
      <c r="D1418" s="28">
        <v>0</v>
      </c>
      <c r="E1418" s="28"/>
      <c r="F1418" s="28" t="s">
        <v>4</v>
      </c>
      <c r="G1418" s="24">
        <v>0.97</v>
      </c>
      <c r="H1418" s="28" t="s">
        <v>49</v>
      </c>
      <c r="I1418" s="28" t="s">
        <v>1779</v>
      </c>
      <c r="J1418" s="28"/>
      <c r="K1418" s="28" t="s">
        <v>50</v>
      </c>
      <c r="L1418" s="28" t="s">
        <v>2482</v>
      </c>
      <c r="M1418" s="28"/>
    </row>
    <row r="1419" spans="1:13" x14ac:dyDescent="0.3">
      <c r="A1419" s="27">
        <v>46069</v>
      </c>
      <c r="B1419" s="27">
        <v>46069</v>
      </c>
      <c r="C1419" s="28">
        <v>233.97</v>
      </c>
      <c r="D1419" s="28">
        <v>0</v>
      </c>
      <c r="E1419" s="28"/>
      <c r="F1419" s="28" t="s">
        <v>4</v>
      </c>
      <c r="G1419" s="24">
        <v>0.97</v>
      </c>
      <c r="H1419" s="28" t="s">
        <v>49</v>
      </c>
      <c r="I1419" s="28" t="s">
        <v>1779</v>
      </c>
      <c r="J1419" s="28"/>
      <c r="K1419" s="28" t="s">
        <v>50</v>
      </c>
      <c r="L1419" s="28" t="s">
        <v>2482</v>
      </c>
      <c r="M1419" s="28"/>
    </row>
    <row r="1420" spans="1:13" x14ac:dyDescent="0.3">
      <c r="A1420" s="89">
        <v>46070</v>
      </c>
      <c r="B1420" s="89">
        <v>46070</v>
      </c>
      <c r="C1420" s="90">
        <v>130</v>
      </c>
      <c r="D1420" s="90">
        <v>0</v>
      </c>
      <c r="E1420" s="90" t="s">
        <v>1567</v>
      </c>
      <c r="F1420" s="90" t="s">
        <v>975</v>
      </c>
      <c r="G1420" s="39">
        <v>0.55000000000000004</v>
      </c>
      <c r="H1420" s="90" t="s">
        <v>91</v>
      </c>
      <c r="I1420" s="90" t="s">
        <v>1680</v>
      </c>
      <c r="J1420" s="90"/>
      <c r="K1420" s="90" t="s">
        <v>1566</v>
      </c>
      <c r="L1420" s="90" t="s">
        <v>2484</v>
      </c>
      <c r="M1420" s="90"/>
    </row>
    <row r="1421" spans="1:13" x14ac:dyDescent="0.3">
      <c r="A1421" s="27">
        <v>46070</v>
      </c>
      <c r="B1421" s="27">
        <v>46070</v>
      </c>
      <c r="C1421" s="28">
        <v>960.21</v>
      </c>
      <c r="D1421" s="28">
        <v>0</v>
      </c>
      <c r="E1421" s="28"/>
      <c r="F1421" s="28" t="s">
        <v>4</v>
      </c>
      <c r="G1421" s="24">
        <v>0.97</v>
      </c>
      <c r="H1421" s="28" t="s">
        <v>49</v>
      </c>
      <c r="I1421" s="28" t="s">
        <v>1779</v>
      </c>
      <c r="J1421" s="28"/>
      <c r="K1421" s="28" t="s">
        <v>50</v>
      </c>
      <c r="L1421" s="28" t="s">
        <v>2482</v>
      </c>
      <c r="M1421" s="28"/>
    </row>
    <row r="1422" spans="1:13" x14ac:dyDescent="0.3">
      <c r="A1422" s="27">
        <v>46070</v>
      </c>
      <c r="B1422" s="27">
        <v>46070</v>
      </c>
      <c r="C1422" s="28">
        <v>77.88</v>
      </c>
      <c r="D1422" s="28">
        <v>0</v>
      </c>
      <c r="E1422" s="28"/>
      <c r="F1422" s="28" t="s">
        <v>4</v>
      </c>
      <c r="G1422" s="24">
        <v>0.97</v>
      </c>
      <c r="H1422" s="28" t="s">
        <v>49</v>
      </c>
      <c r="I1422" s="28" t="s">
        <v>1779</v>
      </c>
      <c r="J1422" s="28"/>
      <c r="K1422" s="28" t="s">
        <v>50</v>
      </c>
      <c r="L1422" s="28" t="s">
        <v>2482</v>
      </c>
      <c r="M1422" s="28"/>
    </row>
    <row r="1423" spans="1:13" x14ac:dyDescent="0.3">
      <c r="A1423" s="89">
        <v>46071</v>
      </c>
      <c r="B1423" s="89">
        <v>46071</v>
      </c>
      <c r="C1423" s="90">
        <v>5</v>
      </c>
      <c r="D1423" s="90">
        <v>0</v>
      </c>
      <c r="E1423" s="90" t="s">
        <v>1569</v>
      </c>
      <c r="F1423" s="90" t="s">
        <v>975</v>
      </c>
      <c r="G1423" s="39">
        <v>0.55000000000000004</v>
      </c>
      <c r="H1423" s="90" t="s">
        <v>91</v>
      </c>
      <c r="I1423" s="90" t="s">
        <v>1680</v>
      </c>
      <c r="J1423" s="90"/>
      <c r="K1423" s="90" t="s">
        <v>1568</v>
      </c>
      <c r="L1423" s="90" t="s">
        <v>2484</v>
      </c>
      <c r="M1423" s="90"/>
    </row>
    <row r="1424" spans="1:13" x14ac:dyDescent="0.3">
      <c r="A1424" s="27">
        <v>46071</v>
      </c>
      <c r="B1424" s="27">
        <v>46071</v>
      </c>
      <c r="C1424" s="28">
        <v>77.540000000000006</v>
      </c>
      <c r="D1424" s="28">
        <v>0</v>
      </c>
      <c r="E1424" s="28"/>
      <c r="F1424" s="28" t="s">
        <v>4</v>
      </c>
      <c r="G1424" s="24">
        <v>0.97</v>
      </c>
      <c r="H1424" s="28" t="s">
        <v>49</v>
      </c>
      <c r="I1424" s="28" t="s">
        <v>1779</v>
      </c>
      <c r="J1424" s="28"/>
      <c r="K1424" s="28" t="s">
        <v>50</v>
      </c>
      <c r="L1424" s="28" t="s">
        <v>2482</v>
      </c>
      <c r="M1424" s="28"/>
    </row>
    <row r="1425" spans="1:13" x14ac:dyDescent="0.3">
      <c r="A1425" s="49">
        <v>46071</v>
      </c>
      <c r="B1425" s="49">
        <v>46071</v>
      </c>
      <c r="C1425" s="50">
        <v>0</v>
      </c>
      <c r="D1425" s="50">
        <v>78.75</v>
      </c>
      <c r="E1425" s="50"/>
      <c r="F1425" s="50" t="s">
        <v>17</v>
      </c>
      <c r="G1425" s="24">
        <v>0.88</v>
      </c>
      <c r="H1425" s="50" t="s">
        <v>17</v>
      </c>
      <c r="I1425" s="50" t="s">
        <v>1779</v>
      </c>
      <c r="J1425" s="50"/>
      <c r="K1425" s="50" t="s">
        <v>879</v>
      </c>
      <c r="L1425" s="50" t="s">
        <v>2482</v>
      </c>
      <c r="M1425" s="50"/>
    </row>
    <row r="1426" spans="1:13" x14ac:dyDescent="0.3">
      <c r="A1426" s="27">
        <v>46072</v>
      </c>
      <c r="B1426" s="27">
        <v>46072</v>
      </c>
      <c r="C1426" s="28">
        <v>1963.95</v>
      </c>
      <c r="D1426" s="28">
        <v>0</v>
      </c>
      <c r="E1426" s="28"/>
      <c r="F1426" s="28" t="s">
        <v>4</v>
      </c>
      <c r="G1426" s="24">
        <v>0.97</v>
      </c>
      <c r="H1426" s="28" t="s">
        <v>49</v>
      </c>
      <c r="I1426" s="28" t="s">
        <v>1779</v>
      </c>
      <c r="J1426" s="28"/>
      <c r="K1426" s="28" t="s">
        <v>50</v>
      </c>
      <c r="L1426" s="28" t="s">
        <v>2482</v>
      </c>
      <c r="M1426" s="28"/>
    </row>
    <row r="1427" spans="1:13" x14ac:dyDescent="0.3">
      <c r="A1427" s="49">
        <v>46073</v>
      </c>
      <c r="B1427" s="49">
        <v>46073</v>
      </c>
      <c r="C1427" s="50">
        <v>0</v>
      </c>
      <c r="D1427" s="50">
        <v>32.5</v>
      </c>
      <c r="E1427" s="50"/>
      <c r="F1427" s="50" t="s">
        <v>17</v>
      </c>
      <c r="G1427" s="24">
        <v>0.88</v>
      </c>
      <c r="H1427" s="50" t="s">
        <v>17</v>
      </c>
      <c r="I1427" s="50" t="s">
        <v>1779</v>
      </c>
      <c r="J1427" s="50"/>
      <c r="K1427" s="50" t="s">
        <v>883</v>
      </c>
      <c r="L1427" s="50" t="s">
        <v>2482</v>
      </c>
      <c r="M1427" s="50"/>
    </row>
    <row r="1428" spans="1:13" x14ac:dyDescent="0.3">
      <c r="A1428" s="27">
        <v>46073</v>
      </c>
      <c r="B1428" s="27">
        <v>46073</v>
      </c>
      <c r="C1428" s="28">
        <v>76.87</v>
      </c>
      <c r="D1428" s="28">
        <v>0</v>
      </c>
      <c r="E1428" s="28"/>
      <c r="F1428" s="28" t="s">
        <v>4</v>
      </c>
      <c r="G1428" s="24">
        <v>0.97</v>
      </c>
      <c r="H1428" s="28" t="s">
        <v>49</v>
      </c>
      <c r="I1428" s="28" t="s">
        <v>1779</v>
      </c>
      <c r="J1428" s="28"/>
      <c r="K1428" s="28" t="s">
        <v>50</v>
      </c>
      <c r="L1428" s="28" t="s">
        <v>2482</v>
      </c>
      <c r="M1428" s="28"/>
    </row>
    <row r="1429" spans="1:13" x14ac:dyDescent="0.3">
      <c r="A1429" s="101">
        <v>46074</v>
      </c>
      <c r="B1429" s="101">
        <v>46074</v>
      </c>
      <c r="C1429" s="102">
        <v>1000</v>
      </c>
      <c r="D1429" s="102">
        <v>0</v>
      </c>
      <c r="E1429" s="102"/>
      <c r="F1429" s="102" t="s">
        <v>976</v>
      </c>
      <c r="G1429" s="24">
        <v>0.85</v>
      </c>
      <c r="H1429" s="102" t="s">
        <v>1028</v>
      </c>
      <c r="I1429" s="102" t="s">
        <v>1680</v>
      </c>
      <c r="J1429" s="102"/>
      <c r="K1429" s="102" t="s">
        <v>1570</v>
      </c>
      <c r="L1429" s="102" t="s">
        <v>2484</v>
      </c>
      <c r="M1429" s="102"/>
    </row>
    <row r="1430" spans="1:13" x14ac:dyDescent="0.3">
      <c r="A1430" s="33">
        <v>46074</v>
      </c>
      <c r="B1430" s="33">
        <v>46074</v>
      </c>
      <c r="C1430" s="34">
        <v>295</v>
      </c>
      <c r="D1430" s="34">
        <v>0</v>
      </c>
      <c r="E1430" s="34"/>
      <c r="F1430" s="34" t="s">
        <v>7</v>
      </c>
      <c r="G1430" s="24">
        <v>0.9</v>
      </c>
      <c r="H1430" s="34" t="s">
        <v>7</v>
      </c>
      <c r="I1430" s="34" t="s">
        <v>1779</v>
      </c>
      <c r="J1430" s="34"/>
      <c r="K1430" s="34" t="s">
        <v>885</v>
      </c>
      <c r="L1430" s="34" t="s">
        <v>2482</v>
      </c>
      <c r="M1430" s="34"/>
    </row>
    <row r="1431" spans="1:13" x14ac:dyDescent="0.3">
      <c r="A1431" s="101">
        <v>46075</v>
      </c>
      <c r="B1431" s="101">
        <v>46075</v>
      </c>
      <c r="C1431" s="102">
        <v>1010</v>
      </c>
      <c r="D1431" s="102">
        <v>0</v>
      </c>
      <c r="E1431" s="102"/>
      <c r="F1431" s="102" t="s">
        <v>976</v>
      </c>
      <c r="G1431" s="24">
        <v>0.85</v>
      </c>
      <c r="H1431" s="102" t="s">
        <v>1028</v>
      </c>
      <c r="I1431" s="102" t="s">
        <v>1680</v>
      </c>
      <c r="J1431" s="102"/>
      <c r="K1431" s="102" t="s">
        <v>1571</v>
      </c>
      <c r="L1431" s="102" t="s">
        <v>2484</v>
      </c>
      <c r="M1431" s="102"/>
    </row>
    <row r="1432" spans="1:13" x14ac:dyDescent="0.3">
      <c r="A1432" s="89">
        <v>46075</v>
      </c>
      <c r="B1432" s="89">
        <v>46075</v>
      </c>
      <c r="C1432" s="90">
        <v>400</v>
      </c>
      <c r="D1432" s="90">
        <v>0</v>
      </c>
      <c r="E1432" s="90" t="s">
        <v>1573</v>
      </c>
      <c r="F1432" s="90" t="s">
        <v>975</v>
      </c>
      <c r="G1432" s="39">
        <v>0.55000000000000004</v>
      </c>
      <c r="H1432" s="90" t="s">
        <v>91</v>
      </c>
      <c r="I1432" s="90" t="s">
        <v>1680</v>
      </c>
      <c r="J1432" s="90"/>
      <c r="K1432" s="90" t="s">
        <v>1572</v>
      </c>
      <c r="L1432" s="90" t="s">
        <v>2484</v>
      </c>
      <c r="M1432" s="90"/>
    </row>
    <row r="1433" spans="1:13" x14ac:dyDescent="0.3">
      <c r="A1433" s="89">
        <v>46075</v>
      </c>
      <c r="B1433" s="89">
        <v>46075</v>
      </c>
      <c r="C1433" s="90">
        <v>35</v>
      </c>
      <c r="D1433" s="90">
        <v>0</v>
      </c>
      <c r="E1433" s="90" t="s">
        <v>1575</v>
      </c>
      <c r="F1433" s="90" t="s">
        <v>975</v>
      </c>
      <c r="G1433" s="39">
        <v>0.55000000000000004</v>
      </c>
      <c r="H1433" s="90" t="s">
        <v>91</v>
      </c>
      <c r="I1433" s="90" t="s">
        <v>1680</v>
      </c>
      <c r="J1433" s="90"/>
      <c r="K1433" s="90" t="s">
        <v>1574</v>
      </c>
      <c r="L1433" s="90" t="s">
        <v>2484</v>
      </c>
      <c r="M1433" s="90"/>
    </row>
    <row r="1434" spans="1:13" x14ac:dyDescent="0.3">
      <c r="A1434" s="132">
        <v>46075.536840277768</v>
      </c>
      <c r="B1434" s="132">
        <v>46075</v>
      </c>
      <c r="C1434" s="133">
        <v>0</v>
      </c>
      <c r="D1434" s="133">
        <v>1420</v>
      </c>
      <c r="E1434" s="133"/>
      <c r="F1434" s="133" t="s">
        <v>1658</v>
      </c>
      <c r="G1434" s="40">
        <v>0.7</v>
      </c>
      <c r="H1434" s="133" t="s">
        <v>1658</v>
      </c>
      <c r="I1434" s="133" t="s">
        <v>1019</v>
      </c>
      <c r="J1434" s="133"/>
      <c r="K1434" s="133" t="s">
        <v>2443</v>
      </c>
      <c r="L1434" s="133" t="s">
        <v>2483</v>
      </c>
      <c r="M1434" s="133"/>
    </row>
    <row r="1435" spans="1:13" x14ac:dyDescent="0.3">
      <c r="A1435" s="25">
        <v>46076</v>
      </c>
      <c r="B1435" s="25">
        <v>46076</v>
      </c>
      <c r="C1435" s="26">
        <v>0</v>
      </c>
      <c r="D1435" s="26">
        <v>586.51</v>
      </c>
      <c r="E1435" s="26"/>
      <c r="F1435" s="26" t="s">
        <v>3</v>
      </c>
      <c r="G1435" s="24">
        <v>0.93</v>
      </c>
      <c r="H1435" s="26" t="s">
        <v>49</v>
      </c>
      <c r="I1435" s="26" t="s">
        <v>1779</v>
      </c>
      <c r="J1435" s="26"/>
      <c r="K1435" s="26" t="s">
        <v>887</v>
      </c>
      <c r="L1435" s="26" t="s">
        <v>2482</v>
      </c>
      <c r="M1435" s="26"/>
    </row>
    <row r="1436" spans="1:13" x14ac:dyDescent="0.3">
      <c r="A1436" s="27">
        <v>46076</v>
      </c>
      <c r="B1436" s="27">
        <v>46076</v>
      </c>
      <c r="C1436" s="28">
        <v>230.61</v>
      </c>
      <c r="D1436" s="28">
        <v>0</v>
      </c>
      <c r="E1436" s="28"/>
      <c r="F1436" s="28" t="s">
        <v>4</v>
      </c>
      <c r="G1436" s="24">
        <v>0.97</v>
      </c>
      <c r="H1436" s="28" t="s">
        <v>49</v>
      </c>
      <c r="I1436" s="28" t="s">
        <v>1779</v>
      </c>
      <c r="J1436" s="28"/>
      <c r="K1436" s="28" t="s">
        <v>50</v>
      </c>
      <c r="L1436" s="28" t="s">
        <v>2482</v>
      </c>
      <c r="M1436" s="28"/>
    </row>
    <row r="1437" spans="1:13" x14ac:dyDescent="0.3">
      <c r="A1437" s="27">
        <v>46076</v>
      </c>
      <c r="B1437" s="27">
        <v>46076</v>
      </c>
      <c r="C1437" s="28">
        <v>6248.84</v>
      </c>
      <c r="D1437" s="28">
        <v>0</v>
      </c>
      <c r="E1437" s="28"/>
      <c r="F1437" s="28" t="s">
        <v>4</v>
      </c>
      <c r="G1437" s="24">
        <v>0.97</v>
      </c>
      <c r="H1437" s="28" t="s">
        <v>49</v>
      </c>
      <c r="I1437" s="28" t="s">
        <v>1779</v>
      </c>
      <c r="J1437" s="28"/>
      <c r="K1437" s="28" t="s">
        <v>50</v>
      </c>
      <c r="L1437" s="28" t="s">
        <v>2482</v>
      </c>
      <c r="M1437" s="28"/>
    </row>
    <row r="1438" spans="1:13" x14ac:dyDescent="0.3">
      <c r="A1438" s="89">
        <v>46076</v>
      </c>
      <c r="B1438" s="89">
        <v>46076</v>
      </c>
      <c r="C1438" s="90">
        <v>192</v>
      </c>
      <c r="D1438" s="90">
        <v>0</v>
      </c>
      <c r="E1438" s="90" t="s">
        <v>1577</v>
      </c>
      <c r="F1438" s="90" t="s">
        <v>975</v>
      </c>
      <c r="G1438" s="39">
        <v>0.55000000000000004</v>
      </c>
      <c r="H1438" s="90" t="s">
        <v>91</v>
      </c>
      <c r="I1438" s="90" t="s">
        <v>1680</v>
      </c>
      <c r="J1438" s="90"/>
      <c r="K1438" s="90" t="s">
        <v>1576</v>
      </c>
      <c r="L1438" s="90" t="s">
        <v>2484</v>
      </c>
      <c r="M1438" s="90"/>
    </row>
    <row r="1439" spans="1:13" x14ac:dyDescent="0.3">
      <c r="A1439" s="89">
        <v>46076</v>
      </c>
      <c r="B1439" s="89">
        <v>46076</v>
      </c>
      <c r="C1439" s="90">
        <v>181</v>
      </c>
      <c r="D1439" s="90">
        <v>0</v>
      </c>
      <c r="E1439" s="90" t="s">
        <v>1580</v>
      </c>
      <c r="F1439" s="90" t="s">
        <v>975</v>
      </c>
      <c r="G1439" s="39">
        <v>0.55000000000000004</v>
      </c>
      <c r="H1439" s="90" t="s">
        <v>91</v>
      </c>
      <c r="I1439" s="90" t="s">
        <v>1680</v>
      </c>
      <c r="J1439" s="90"/>
      <c r="K1439" s="90" t="s">
        <v>1579</v>
      </c>
      <c r="L1439" s="90" t="s">
        <v>2484</v>
      </c>
      <c r="M1439" s="90"/>
    </row>
    <row r="1440" spans="1:13" x14ac:dyDescent="0.3">
      <c r="A1440" s="41">
        <v>46076</v>
      </c>
      <c r="B1440" s="41">
        <v>46076</v>
      </c>
      <c r="C1440" s="42">
        <v>158</v>
      </c>
      <c r="D1440" s="42">
        <v>0</v>
      </c>
      <c r="E1440" s="42"/>
      <c r="F1440" s="42" t="s">
        <v>997</v>
      </c>
      <c r="G1440" s="40">
        <v>0.68</v>
      </c>
      <c r="H1440" s="42" t="s">
        <v>131</v>
      </c>
      <c r="I1440" s="42" t="s">
        <v>1680</v>
      </c>
      <c r="J1440" s="42"/>
      <c r="K1440" s="42" t="s">
        <v>1581</v>
      </c>
      <c r="L1440" s="42" t="s">
        <v>2484</v>
      </c>
      <c r="M1440" s="42"/>
    </row>
    <row r="1441" spans="1:13" x14ac:dyDescent="0.3">
      <c r="A1441" s="89">
        <v>46076</v>
      </c>
      <c r="B1441" s="89">
        <v>46076</v>
      </c>
      <c r="C1441" s="90">
        <v>103</v>
      </c>
      <c r="D1441" s="90">
        <v>0</v>
      </c>
      <c r="E1441" s="90" t="s">
        <v>1583</v>
      </c>
      <c r="F1441" s="90" t="s">
        <v>975</v>
      </c>
      <c r="G1441" s="39">
        <v>0.55000000000000004</v>
      </c>
      <c r="H1441" s="90" t="s">
        <v>91</v>
      </c>
      <c r="I1441" s="90" t="s">
        <v>1680</v>
      </c>
      <c r="J1441" s="90"/>
      <c r="K1441" s="90" t="s">
        <v>1582</v>
      </c>
      <c r="L1441" s="90" t="s">
        <v>2484</v>
      </c>
      <c r="M1441" s="90"/>
    </row>
    <row r="1442" spans="1:13" x14ac:dyDescent="0.3">
      <c r="A1442" s="101">
        <v>46076</v>
      </c>
      <c r="B1442" s="101">
        <v>46076</v>
      </c>
      <c r="C1442" s="102">
        <v>1000</v>
      </c>
      <c r="D1442" s="102">
        <v>0</v>
      </c>
      <c r="E1442" s="102"/>
      <c r="F1442" s="102" t="s">
        <v>976</v>
      </c>
      <c r="G1442" s="24">
        <v>0.85</v>
      </c>
      <c r="H1442" s="102" t="s">
        <v>1028</v>
      </c>
      <c r="I1442" s="102" t="s">
        <v>1680</v>
      </c>
      <c r="J1442" s="102"/>
      <c r="K1442" s="102" t="s">
        <v>1578</v>
      </c>
      <c r="L1442" s="102" t="s">
        <v>2484</v>
      </c>
      <c r="M1442" s="102"/>
    </row>
    <row r="1443" spans="1:13" x14ac:dyDescent="0.3">
      <c r="A1443" s="89">
        <v>46077</v>
      </c>
      <c r="B1443" s="89">
        <v>46077</v>
      </c>
      <c r="C1443" s="90">
        <v>64</v>
      </c>
      <c r="D1443" s="90">
        <v>0</v>
      </c>
      <c r="E1443" s="90" t="s">
        <v>1590</v>
      </c>
      <c r="F1443" s="90" t="s">
        <v>975</v>
      </c>
      <c r="G1443" s="39">
        <v>0.55000000000000004</v>
      </c>
      <c r="H1443" s="90" t="s">
        <v>91</v>
      </c>
      <c r="I1443" s="90" t="s">
        <v>1680</v>
      </c>
      <c r="J1443" s="90"/>
      <c r="K1443" s="90" t="s">
        <v>1589</v>
      </c>
      <c r="L1443" s="90" t="s">
        <v>2484</v>
      </c>
      <c r="M1443" s="90"/>
    </row>
    <row r="1444" spans="1:13" x14ac:dyDescent="0.3">
      <c r="A1444" s="89">
        <v>46077</v>
      </c>
      <c r="B1444" s="89">
        <v>46077</v>
      </c>
      <c r="C1444" s="90">
        <v>49</v>
      </c>
      <c r="D1444" s="90">
        <v>0</v>
      </c>
      <c r="E1444" s="90" t="s">
        <v>1588</v>
      </c>
      <c r="F1444" s="90" t="s">
        <v>975</v>
      </c>
      <c r="G1444" s="39">
        <v>0.55000000000000004</v>
      </c>
      <c r="H1444" s="90" t="s">
        <v>91</v>
      </c>
      <c r="I1444" s="90" t="s">
        <v>1680</v>
      </c>
      <c r="J1444" s="90"/>
      <c r="K1444" s="90" t="s">
        <v>1587</v>
      </c>
      <c r="L1444" s="90" t="s">
        <v>2484</v>
      </c>
      <c r="M1444" s="90"/>
    </row>
    <row r="1445" spans="1:13" x14ac:dyDescent="0.3">
      <c r="A1445" s="89">
        <v>46077</v>
      </c>
      <c r="B1445" s="89">
        <v>46077</v>
      </c>
      <c r="C1445" s="90">
        <v>106</v>
      </c>
      <c r="D1445" s="90">
        <v>0</v>
      </c>
      <c r="E1445" s="90" t="s">
        <v>1586</v>
      </c>
      <c r="F1445" s="90" t="s">
        <v>975</v>
      </c>
      <c r="G1445" s="39">
        <v>0.55000000000000004</v>
      </c>
      <c r="H1445" s="90" t="s">
        <v>91</v>
      </c>
      <c r="I1445" s="90" t="s">
        <v>1680</v>
      </c>
      <c r="J1445" s="90"/>
      <c r="K1445" s="90" t="s">
        <v>1585</v>
      </c>
      <c r="L1445" s="90" t="s">
        <v>2484</v>
      </c>
      <c r="M1445" s="90"/>
    </row>
    <row r="1446" spans="1:13" x14ac:dyDescent="0.3">
      <c r="A1446" s="101">
        <v>46077</v>
      </c>
      <c r="B1446" s="101">
        <v>46077</v>
      </c>
      <c r="C1446" s="102">
        <v>1000</v>
      </c>
      <c r="D1446" s="102">
        <v>0</v>
      </c>
      <c r="E1446" s="102"/>
      <c r="F1446" s="102" t="s">
        <v>976</v>
      </c>
      <c r="G1446" s="24">
        <v>0.85</v>
      </c>
      <c r="H1446" s="102" t="s">
        <v>1028</v>
      </c>
      <c r="I1446" s="102" t="s">
        <v>1680</v>
      </c>
      <c r="J1446" s="102"/>
      <c r="K1446" s="102" t="s">
        <v>1584</v>
      </c>
      <c r="L1446" s="102" t="s">
        <v>2484</v>
      </c>
      <c r="M1446" s="102"/>
    </row>
    <row r="1447" spans="1:13" x14ac:dyDescent="0.3">
      <c r="A1447" s="25">
        <v>46077</v>
      </c>
      <c r="B1447" s="25">
        <v>46077</v>
      </c>
      <c r="C1447" s="26">
        <v>0</v>
      </c>
      <c r="D1447" s="26">
        <v>12701.92</v>
      </c>
      <c r="E1447" s="26"/>
      <c r="F1447" s="26" t="s">
        <v>3</v>
      </c>
      <c r="G1447" s="24">
        <v>0.93</v>
      </c>
      <c r="H1447" s="26" t="s">
        <v>49</v>
      </c>
      <c r="I1447" s="26" t="s">
        <v>1779</v>
      </c>
      <c r="J1447" s="26"/>
      <c r="K1447" s="26" t="s">
        <v>891</v>
      </c>
      <c r="L1447" s="26" t="s">
        <v>2482</v>
      </c>
      <c r="M1447" s="26"/>
    </row>
    <row r="1448" spans="1:13" x14ac:dyDescent="0.3">
      <c r="A1448" s="27">
        <v>46077</v>
      </c>
      <c r="B1448" s="27">
        <v>46077</v>
      </c>
      <c r="C1448" s="28">
        <v>74.849999999999994</v>
      </c>
      <c r="D1448" s="28">
        <v>0</v>
      </c>
      <c r="E1448" s="28"/>
      <c r="F1448" s="28" t="s">
        <v>4</v>
      </c>
      <c r="G1448" s="24">
        <v>0.97</v>
      </c>
      <c r="H1448" s="28" t="s">
        <v>49</v>
      </c>
      <c r="I1448" s="28" t="s">
        <v>1779</v>
      </c>
      <c r="J1448" s="28"/>
      <c r="K1448" s="28" t="s">
        <v>50</v>
      </c>
      <c r="L1448" s="28" t="s">
        <v>2482</v>
      </c>
      <c r="M1448" s="28"/>
    </row>
    <row r="1449" spans="1:13" x14ac:dyDescent="0.3">
      <c r="A1449" s="27">
        <v>46077</v>
      </c>
      <c r="B1449" s="27">
        <v>46077</v>
      </c>
      <c r="C1449" s="28">
        <v>1577.81</v>
      </c>
      <c r="D1449" s="28">
        <v>0</v>
      </c>
      <c r="E1449" s="28"/>
      <c r="F1449" s="28" t="s">
        <v>4</v>
      </c>
      <c r="G1449" s="24">
        <v>0.97</v>
      </c>
      <c r="H1449" s="28" t="s">
        <v>49</v>
      </c>
      <c r="I1449" s="28" t="s">
        <v>1779</v>
      </c>
      <c r="J1449" s="28"/>
      <c r="K1449" s="28" t="s">
        <v>50</v>
      </c>
      <c r="L1449" s="28" t="s">
        <v>2482</v>
      </c>
      <c r="M1449" s="28"/>
    </row>
    <row r="1450" spans="1:13" x14ac:dyDescent="0.3">
      <c r="A1450" s="49">
        <v>46077</v>
      </c>
      <c r="B1450" s="49">
        <v>46077</v>
      </c>
      <c r="C1450" s="50">
        <v>0</v>
      </c>
      <c r="D1450" s="50">
        <v>562.5</v>
      </c>
      <c r="E1450" s="50"/>
      <c r="F1450" s="50" t="s">
        <v>17</v>
      </c>
      <c r="G1450" s="24">
        <v>0.88</v>
      </c>
      <c r="H1450" s="50" t="s">
        <v>17</v>
      </c>
      <c r="I1450" s="50" t="s">
        <v>1779</v>
      </c>
      <c r="J1450" s="50"/>
      <c r="K1450" s="50" t="s">
        <v>715</v>
      </c>
      <c r="L1450" s="50" t="s">
        <v>2482</v>
      </c>
      <c r="M1450" s="50"/>
    </row>
    <row r="1451" spans="1:13" x14ac:dyDescent="0.3">
      <c r="A1451" s="27">
        <v>46078</v>
      </c>
      <c r="B1451" s="27">
        <v>46078</v>
      </c>
      <c r="C1451" s="28">
        <v>74.290000000000006</v>
      </c>
      <c r="D1451" s="28">
        <v>0</v>
      </c>
      <c r="E1451" s="28"/>
      <c r="F1451" s="28" t="s">
        <v>4</v>
      </c>
      <c r="G1451" s="24">
        <v>0.97</v>
      </c>
      <c r="H1451" s="28" t="s">
        <v>49</v>
      </c>
      <c r="I1451" s="28" t="s">
        <v>1779</v>
      </c>
      <c r="J1451" s="28"/>
      <c r="K1451" s="28" t="s">
        <v>50</v>
      </c>
      <c r="L1451" s="28" t="s">
        <v>2482</v>
      </c>
      <c r="M1451" s="28"/>
    </row>
    <row r="1452" spans="1:13" x14ac:dyDescent="0.3">
      <c r="A1452" s="101">
        <v>46078</v>
      </c>
      <c r="B1452" s="101">
        <v>46078</v>
      </c>
      <c r="C1452" s="102">
        <v>1000</v>
      </c>
      <c r="D1452" s="102">
        <v>0</v>
      </c>
      <c r="E1452" s="102"/>
      <c r="F1452" s="102" t="s">
        <v>976</v>
      </c>
      <c r="G1452" s="24">
        <v>0.85</v>
      </c>
      <c r="H1452" s="102" t="s">
        <v>1028</v>
      </c>
      <c r="I1452" s="102" t="s">
        <v>1680</v>
      </c>
      <c r="J1452" s="102"/>
      <c r="K1452" s="102" t="s">
        <v>1591</v>
      </c>
      <c r="L1452" s="102" t="s">
        <v>2484</v>
      </c>
      <c r="M1452" s="102"/>
    </row>
    <row r="1453" spans="1:13" x14ac:dyDescent="0.3">
      <c r="A1453" s="49">
        <v>46078</v>
      </c>
      <c r="B1453" s="49">
        <v>46078</v>
      </c>
      <c r="C1453" s="50">
        <v>0</v>
      </c>
      <c r="D1453" s="50">
        <v>1320</v>
      </c>
      <c r="E1453" s="50"/>
      <c r="F1453" s="50" t="s">
        <v>17</v>
      </c>
      <c r="G1453" s="24">
        <v>0.88</v>
      </c>
      <c r="H1453" s="50" t="s">
        <v>17</v>
      </c>
      <c r="I1453" s="50" t="s">
        <v>1779</v>
      </c>
      <c r="J1453" s="50"/>
      <c r="K1453" s="50" t="s">
        <v>899</v>
      </c>
      <c r="L1453" s="50" t="s">
        <v>2482</v>
      </c>
      <c r="M1453" s="50"/>
    </row>
    <row r="1454" spans="1:13" x14ac:dyDescent="0.3">
      <c r="A1454" s="27">
        <v>46078</v>
      </c>
      <c r="B1454" s="27">
        <v>46078</v>
      </c>
      <c r="C1454" s="28">
        <v>312.77</v>
      </c>
      <c r="D1454" s="28">
        <v>0</v>
      </c>
      <c r="E1454" s="28"/>
      <c r="F1454" s="28" t="s">
        <v>4</v>
      </c>
      <c r="G1454" s="24">
        <v>0.97</v>
      </c>
      <c r="H1454" s="28" t="s">
        <v>49</v>
      </c>
      <c r="I1454" s="28" t="s">
        <v>1779</v>
      </c>
      <c r="J1454" s="28"/>
      <c r="K1454" s="28" t="s">
        <v>50</v>
      </c>
      <c r="L1454" s="28" t="s">
        <v>2482</v>
      </c>
      <c r="M1454" s="28"/>
    </row>
    <row r="1455" spans="1:13" x14ac:dyDescent="0.3">
      <c r="A1455" s="49">
        <v>46078</v>
      </c>
      <c r="B1455" s="49">
        <v>46078</v>
      </c>
      <c r="C1455" s="50">
        <v>0</v>
      </c>
      <c r="D1455" s="50">
        <v>480</v>
      </c>
      <c r="E1455" s="50"/>
      <c r="F1455" s="50" t="s">
        <v>17</v>
      </c>
      <c r="G1455" s="24">
        <v>0.88</v>
      </c>
      <c r="H1455" s="50" t="s">
        <v>17</v>
      </c>
      <c r="I1455" s="50" t="s">
        <v>1779</v>
      </c>
      <c r="J1455" s="50"/>
      <c r="K1455" s="50" t="s">
        <v>897</v>
      </c>
      <c r="L1455" s="50" t="s">
        <v>2482</v>
      </c>
      <c r="M1455" s="50"/>
    </row>
    <row r="1456" spans="1:13" x14ac:dyDescent="0.3">
      <c r="A1456" s="27">
        <v>46079</v>
      </c>
      <c r="B1456" s="27">
        <v>46079</v>
      </c>
      <c r="C1456" s="28">
        <v>74.180000000000007</v>
      </c>
      <c r="D1456" s="28">
        <v>0</v>
      </c>
      <c r="E1456" s="28"/>
      <c r="F1456" s="28" t="s">
        <v>4</v>
      </c>
      <c r="G1456" s="24">
        <v>0.97</v>
      </c>
      <c r="H1456" s="28" t="s">
        <v>49</v>
      </c>
      <c r="I1456" s="28" t="s">
        <v>1779</v>
      </c>
      <c r="J1456" s="28"/>
      <c r="K1456" s="28" t="s">
        <v>50</v>
      </c>
      <c r="L1456" s="28" t="s">
        <v>2482</v>
      </c>
      <c r="M1456" s="28"/>
    </row>
    <row r="1457" spans="1:13" x14ac:dyDescent="0.3">
      <c r="A1457" s="27">
        <v>46079</v>
      </c>
      <c r="B1457" s="27">
        <v>46079</v>
      </c>
      <c r="C1457" s="28">
        <v>1036.44</v>
      </c>
      <c r="D1457" s="28">
        <v>0</v>
      </c>
      <c r="E1457" s="28"/>
      <c r="F1457" s="28" t="s">
        <v>4</v>
      </c>
      <c r="G1457" s="24">
        <v>0.97</v>
      </c>
      <c r="H1457" s="28" t="s">
        <v>49</v>
      </c>
      <c r="I1457" s="28" t="s">
        <v>1779</v>
      </c>
      <c r="J1457" s="28"/>
      <c r="K1457" s="28" t="s">
        <v>50</v>
      </c>
      <c r="L1457" s="28" t="s">
        <v>2482</v>
      </c>
      <c r="M1457" s="28"/>
    </row>
    <row r="1458" spans="1:13" x14ac:dyDescent="0.3">
      <c r="A1458" s="101">
        <v>46079</v>
      </c>
      <c r="B1458" s="101">
        <v>46079</v>
      </c>
      <c r="C1458" s="102">
        <v>1000</v>
      </c>
      <c r="D1458" s="102">
        <v>0</v>
      </c>
      <c r="E1458" s="102"/>
      <c r="F1458" s="102" t="s">
        <v>976</v>
      </c>
      <c r="G1458" s="24">
        <v>0.85</v>
      </c>
      <c r="H1458" s="102" t="s">
        <v>1028</v>
      </c>
      <c r="I1458" s="102" t="s">
        <v>1680</v>
      </c>
      <c r="J1458" s="102"/>
      <c r="K1458" s="102" t="s">
        <v>1592</v>
      </c>
      <c r="L1458" s="102" t="s">
        <v>2484</v>
      </c>
      <c r="M1458" s="102"/>
    </row>
    <row r="1459" spans="1:13" x14ac:dyDescent="0.3">
      <c r="A1459" s="85">
        <v>46079</v>
      </c>
      <c r="B1459" s="85">
        <v>46079</v>
      </c>
      <c r="C1459" s="86">
        <v>1000</v>
      </c>
      <c r="D1459" s="86">
        <v>0</v>
      </c>
      <c r="E1459" s="86"/>
      <c r="F1459" s="86" t="s">
        <v>974</v>
      </c>
      <c r="G1459" s="24">
        <v>0.9</v>
      </c>
      <c r="H1459" s="86" t="s">
        <v>1019</v>
      </c>
      <c r="I1459" s="86" t="s">
        <v>837</v>
      </c>
      <c r="J1459" s="86"/>
      <c r="K1459" s="86" t="s">
        <v>1789</v>
      </c>
      <c r="L1459" s="86" t="s">
        <v>2486</v>
      </c>
      <c r="M1459" s="86"/>
    </row>
    <row r="1460" spans="1:13" x14ac:dyDescent="0.3">
      <c r="A1460" s="27">
        <v>46079.325543981482</v>
      </c>
      <c r="B1460" s="27">
        <v>46079</v>
      </c>
      <c r="C1460" s="28">
        <v>0</v>
      </c>
      <c r="D1460" s="28">
        <v>1000</v>
      </c>
      <c r="E1460" s="28"/>
      <c r="F1460" s="28" t="s">
        <v>30</v>
      </c>
      <c r="G1460" s="24">
        <v>0.95</v>
      </c>
      <c r="H1460" s="28" t="s">
        <v>837</v>
      </c>
      <c r="I1460" s="28" t="s">
        <v>1019</v>
      </c>
      <c r="J1460" s="28"/>
      <c r="K1460" s="28" t="s">
        <v>2445</v>
      </c>
      <c r="L1460" s="28" t="s">
        <v>2483</v>
      </c>
      <c r="M1460" s="28"/>
    </row>
    <row r="1461" spans="1:13" x14ac:dyDescent="0.3">
      <c r="A1461" s="35">
        <v>46080</v>
      </c>
      <c r="B1461" s="35">
        <v>46080</v>
      </c>
      <c r="C1461" s="36">
        <v>94.4</v>
      </c>
      <c r="D1461" s="36">
        <v>0</v>
      </c>
      <c r="E1461" s="36"/>
      <c r="F1461" s="36" t="s">
        <v>9</v>
      </c>
      <c r="G1461" s="24">
        <v>0.93</v>
      </c>
      <c r="H1461" s="36" t="s">
        <v>9</v>
      </c>
      <c r="I1461" s="36" t="s">
        <v>1779</v>
      </c>
      <c r="J1461" s="36"/>
      <c r="K1461" s="36" t="s">
        <v>909</v>
      </c>
      <c r="L1461" s="36" t="s">
        <v>2482</v>
      </c>
      <c r="M1461" s="36"/>
    </row>
    <row r="1462" spans="1:13" x14ac:dyDescent="0.3">
      <c r="A1462" s="22">
        <v>46080</v>
      </c>
      <c r="B1462" s="22">
        <v>46080</v>
      </c>
      <c r="C1462" s="23">
        <v>5000</v>
      </c>
      <c r="D1462" s="23">
        <v>0</v>
      </c>
      <c r="E1462" s="23"/>
      <c r="F1462" s="23" t="s">
        <v>2</v>
      </c>
      <c r="G1462" s="24">
        <v>0.95</v>
      </c>
      <c r="H1462" s="23" t="s">
        <v>2</v>
      </c>
      <c r="I1462" s="23" t="s">
        <v>1779</v>
      </c>
      <c r="J1462" s="23"/>
      <c r="K1462" s="23" t="s">
        <v>906</v>
      </c>
      <c r="L1462" s="23" t="s">
        <v>2482</v>
      </c>
      <c r="M1462" s="23" t="s">
        <v>2485</v>
      </c>
    </row>
    <row r="1463" spans="1:13" x14ac:dyDescent="0.3">
      <c r="A1463" s="27">
        <v>46080</v>
      </c>
      <c r="B1463" s="27">
        <v>46080</v>
      </c>
      <c r="C1463" s="28">
        <v>73.81</v>
      </c>
      <c r="D1463" s="28">
        <v>0</v>
      </c>
      <c r="E1463" s="28"/>
      <c r="F1463" s="28" t="s">
        <v>4</v>
      </c>
      <c r="G1463" s="24">
        <v>0.97</v>
      </c>
      <c r="H1463" s="28" t="s">
        <v>49</v>
      </c>
      <c r="I1463" s="28" t="s">
        <v>1779</v>
      </c>
      <c r="J1463" s="28"/>
      <c r="K1463" s="28" t="s">
        <v>50</v>
      </c>
      <c r="L1463" s="28" t="s">
        <v>2482</v>
      </c>
      <c r="M1463" s="28"/>
    </row>
    <row r="1464" spans="1:13" x14ac:dyDescent="0.3">
      <c r="A1464" s="49">
        <v>46080</v>
      </c>
      <c r="B1464" s="49">
        <v>46080</v>
      </c>
      <c r="C1464" s="50">
        <v>0</v>
      </c>
      <c r="D1464" s="50">
        <v>170</v>
      </c>
      <c r="E1464" s="50"/>
      <c r="F1464" s="50" t="s">
        <v>17</v>
      </c>
      <c r="G1464" s="24">
        <v>0.88</v>
      </c>
      <c r="H1464" s="50" t="s">
        <v>17</v>
      </c>
      <c r="I1464" s="50" t="s">
        <v>1779</v>
      </c>
      <c r="J1464" s="50"/>
      <c r="K1464" s="50" t="s">
        <v>910</v>
      </c>
      <c r="L1464" s="50" t="s">
        <v>2482</v>
      </c>
      <c r="M1464" s="50"/>
    </row>
    <row r="1465" spans="1:13" x14ac:dyDescent="0.3">
      <c r="A1465" s="101">
        <v>46080</v>
      </c>
      <c r="B1465" s="101">
        <v>46080</v>
      </c>
      <c r="C1465" s="102">
        <v>1000</v>
      </c>
      <c r="D1465" s="102">
        <v>0</v>
      </c>
      <c r="E1465" s="102"/>
      <c r="F1465" s="102" t="s">
        <v>976</v>
      </c>
      <c r="G1465" s="24">
        <v>0.85</v>
      </c>
      <c r="H1465" s="102" t="s">
        <v>1028</v>
      </c>
      <c r="I1465" s="102" t="s">
        <v>1680</v>
      </c>
      <c r="J1465" s="102"/>
      <c r="K1465" s="102" t="s">
        <v>1593</v>
      </c>
      <c r="L1465" s="102" t="s">
        <v>2484</v>
      </c>
      <c r="M1465" s="102"/>
    </row>
    <row r="1466" spans="1:13" x14ac:dyDescent="0.3">
      <c r="A1466" s="22">
        <v>46080</v>
      </c>
      <c r="B1466" s="22">
        <v>46080</v>
      </c>
      <c r="C1466" s="23">
        <v>5000</v>
      </c>
      <c r="D1466" s="23">
        <v>0</v>
      </c>
      <c r="E1466" s="23"/>
      <c r="F1466" s="23" t="s">
        <v>2</v>
      </c>
      <c r="G1466" s="24">
        <v>0.95</v>
      </c>
      <c r="H1466" s="23" t="s">
        <v>2</v>
      </c>
      <c r="I1466" s="23" t="s">
        <v>1779</v>
      </c>
      <c r="J1466" s="23"/>
      <c r="K1466" s="23" t="s">
        <v>904</v>
      </c>
      <c r="L1466" s="23" t="s">
        <v>2482</v>
      </c>
      <c r="M1466" s="23" t="s">
        <v>2485</v>
      </c>
    </row>
    <row r="1467" spans="1:13" x14ac:dyDescent="0.3">
      <c r="A1467" s="146">
        <v>46080.642534722218</v>
      </c>
      <c r="B1467" s="146">
        <v>46080</v>
      </c>
      <c r="C1467" s="147">
        <v>0</v>
      </c>
      <c r="D1467" s="147">
        <v>78.61</v>
      </c>
      <c r="E1467" s="147"/>
      <c r="F1467" s="147" t="s">
        <v>1678</v>
      </c>
      <c r="G1467" s="24">
        <v>0.88</v>
      </c>
      <c r="H1467" s="147" t="s">
        <v>1658</v>
      </c>
      <c r="I1467" s="147" t="s">
        <v>1019</v>
      </c>
      <c r="J1467" s="147"/>
      <c r="K1467" s="147" t="s">
        <v>2447</v>
      </c>
      <c r="L1467" s="147" t="s">
        <v>2483</v>
      </c>
      <c r="M1467" s="147"/>
    </row>
    <row r="1468" spans="1:13" x14ac:dyDescent="0.3">
      <c r="A1468" s="27">
        <v>46081</v>
      </c>
      <c r="B1468" s="27">
        <v>46081</v>
      </c>
      <c r="C1468" s="28">
        <v>144.94</v>
      </c>
      <c r="D1468" s="28">
        <v>0</v>
      </c>
      <c r="E1468" s="28"/>
      <c r="F1468" s="28" t="s">
        <v>4</v>
      </c>
      <c r="G1468" s="24">
        <v>0.97</v>
      </c>
      <c r="H1468" s="28" t="s">
        <v>49</v>
      </c>
      <c r="I1468" s="28" t="s">
        <v>1779</v>
      </c>
      <c r="J1468" s="28"/>
      <c r="K1468" s="28" t="s">
        <v>50</v>
      </c>
      <c r="L1468" s="28" t="s">
        <v>2482</v>
      </c>
      <c r="M1468" s="28"/>
    </row>
    <row r="1469" spans="1:13" x14ac:dyDescent="0.3">
      <c r="A1469" s="101">
        <v>46081</v>
      </c>
      <c r="B1469" s="101">
        <v>46081</v>
      </c>
      <c r="C1469" s="102">
        <v>1000</v>
      </c>
      <c r="D1469" s="102">
        <v>0</v>
      </c>
      <c r="E1469" s="102"/>
      <c r="F1469" s="102" t="s">
        <v>976</v>
      </c>
      <c r="G1469" s="24">
        <v>0.85</v>
      </c>
      <c r="H1469" s="102" t="s">
        <v>1028</v>
      </c>
      <c r="I1469" s="102" t="s">
        <v>1680</v>
      </c>
      <c r="J1469" s="102"/>
      <c r="K1469" s="102" t="s">
        <v>1594</v>
      </c>
      <c r="L1469" s="102" t="s">
        <v>2484</v>
      </c>
      <c r="M1469" s="102"/>
    </row>
    <row r="1470" spans="1:13" x14ac:dyDescent="0.3">
      <c r="A1470" s="97">
        <v>46081</v>
      </c>
      <c r="B1470" s="97">
        <v>46081</v>
      </c>
      <c r="C1470" s="98">
        <v>10000</v>
      </c>
      <c r="D1470" s="98">
        <v>0</v>
      </c>
      <c r="E1470" s="98"/>
      <c r="F1470" s="98" t="s">
        <v>978</v>
      </c>
      <c r="G1470" s="24">
        <v>0.85</v>
      </c>
      <c r="H1470" s="98" t="s">
        <v>1031</v>
      </c>
      <c r="I1470" s="98" t="s">
        <v>1680</v>
      </c>
      <c r="J1470" s="98"/>
      <c r="K1470" s="98" t="s">
        <v>1595</v>
      </c>
      <c r="L1470" s="98" t="s">
        <v>2484</v>
      </c>
      <c r="M1470" s="98"/>
    </row>
    <row r="1471" spans="1:13" x14ac:dyDescent="0.3">
      <c r="A1471" s="22">
        <v>46081.312418981477</v>
      </c>
      <c r="B1471" s="22">
        <v>46081</v>
      </c>
      <c r="C1471" s="23">
        <v>8050</v>
      </c>
      <c r="D1471" s="23">
        <v>0</v>
      </c>
      <c r="E1471" s="23"/>
      <c r="F1471" s="23" t="s">
        <v>2</v>
      </c>
      <c r="G1471" s="24">
        <v>0.96</v>
      </c>
      <c r="H1471" s="23" t="s">
        <v>2</v>
      </c>
      <c r="I1471" s="23" t="s">
        <v>1019</v>
      </c>
      <c r="J1471" s="23"/>
      <c r="K1471" s="23" t="s">
        <v>2449</v>
      </c>
      <c r="L1471" s="23" t="s">
        <v>2483</v>
      </c>
      <c r="M1471" s="23"/>
    </row>
    <row r="1472" spans="1:13" x14ac:dyDescent="0.3">
      <c r="A1472" s="37">
        <v>46081.91951388889</v>
      </c>
      <c r="B1472" s="37">
        <v>46081</v>
      </c>
      <c r="C1472" s="38">
        <v>0</v>
      </c>
      <c r="D1472" s="38">
        <v>648.65</v>
      </c>
      <c r="E1472" s="38"/>
      <c r="F1472" s="38" t="s">
        <v>1809</v>
      </c>
      <c r="G1472" s="40">
        <v>0.72</v>
      </c>
      <c r="H1472" s="38" t="s">
        <v>91</v>
      </c>
      <c r="I1472" s="38" t="s">
        <v>1019</v>
      </c>
      <c r="J1472" s="38"/>
      <c r="K1472" s="38" t="s">
        <v>2451</v>
      </c>
      <c r="L1472" s="38" t="s">
        <v>2483</v>
      </c>
      <c r="M1472" s="38"/>
    </row>
    <row r="1473" spans="1:13" x14ac:dyDescent="0.3">
      <c r="A1473" s="101">
        <v>46082</v>
      </c>
      <c r="B1473" s="101">
        <v>46082</v>
      </c>
      <c r="C1473" s="102">
        <v>1000</v>
      </c>
      <c r="D1473" s="102">
        <v>0</v>
      </c>
      <c r="E1473" s="102"/>
      <c r="F1473" s="102" t="s">
        <v>976</v>
      </c>
      <c r="G1473" s="24">
        <v>0.85</v>
      </c>
      <c r="H1473" s="102" t="s">
        <v>1028</v>
      </c>
      <c r="I1473" s="102" t="s">
        <v>1680</v>
      </c>
      <c r="J1473" s="102"/>
      <c r="K1473" s="102" t="s">
        <v>1596</v>
      </c>
      <c r="L1473" s="102" t="s">
        <v>2484</v>
      </c>
      <c r="M1473" s="102"/>
    </row>
    <row r="1474" spans="1:13" x14ac:dyDescent="0.3">
      <c r="A1474" s="85">
        <v>46082</v>
      </c>
      <c r="B1474" s="85">
        <v>46082</v>
      </c>
      <c r="C1474" s="86">
        <v>5000</v>
      </c>
      <c r="D1474" s="86">
        <v>0</v>
      </c>
      <c r="E1474" s="86"/>
      <c r="F1474" s="86" t="s">
        <v>974</v>
      </c>
      <c r="G1474" s="24">
        <v>0.9</v>
      </c>
      <c r="H1474" s="86" t="s">
        <v>1019</v>
      </c>
      <c r="I1474" s="86" t="s">
        <v>1680</v>
      </c>
      <c r="J1474" s="86"/>
      <c r="K1474" s="86" t="s">
        <v>1597</v>
      </c>
      <c r="L1474" s="86" t="s">
        <v>2484</v>
      </c>
      <c r="M1474" s="86"/>
    </row>
    <row r="1475" spans="1:13" x14ac:dyDescent="0.3">
      <c r="A1475" s="27">
        <v>46082.847361111111</v>
      </c>
      <c r="B1475" s="27">
        <v>46082</v>
      </c>
      <c r="C1475" s="28">
        <v>0</v>
      </c>
      <c r="D1475" s="28">
        <v>5000</v>
      </c>
      <c r="E1475" s="28"/>
      <c r="F1475" s="28" t="s">
        <v>1656</v>
      </c>
      <c r="G1475" s="24">
        <v>0.95</v>
      </c>
      <c r="H1475" s="28" t="s">
        <v>1680</v>
      </c>
      <c r="I1475" s="28" t="s">
        <v>1019</v>
      </c>
      <c r="J1475" s="28"/>
      <c r="K1475" s="28" t="s">
        <v>2453</v>
      </c>
      <c r="L1475" s="28" t="s">
        <v>2483</v>
      </c>
      <c r="M1475" s="28"/>
    </row>
    <row r="1476" spans="1:13" x14ac:dyDescent="0.3">
      <c r="A1476" s="27">
        <v>46083</v>
      </c>
      <c r="B1476" s="27">
        <v>46083</v>
      </c>
      <c r="C1476" s="28">
        <v>221.28</v>
      </c>
      <c r="D1476" s="28">
        <v>0</v>
      </c>
      <c r="E1476" s="28"/>
      <c r="F1476" s="28" t="s">
        <v>4</v>
      </c>
      <c r="G1476" s="24">
        <v>0.97</v>
      </c>
      <c r="H1476" s="28" t="s">
        <v>49</v>
      </c>
      <c r="I1476" s="28" t="s">
        <v>1779</v>
      </c>
      <c r="J1476" s="28"/>
      <c r="K1476" s="28" t="s">
        <v>50</v>
      </c>
      <c r="L1476" s="28" t="s">
        <v>2482</v>
      </c>
      <c r="M1476" s="28"/>
    </row>
    <row r="1477" spans="1:13" x14ac:dyDescent="0.3">
      <c r="A1477" s="101">
        <v>46083</v>
      </c>
      <c r="B1477" s="101">
        <v>46083</v>
      </c>
      <c r="C1477" s="102">
        <v>1000</v>
      </c>
      <c r="D1477" s="102">
        <v>0</v>
      </c>
      <c r="E1477" s="102"/>
      <c r="F1477" s="102" t="s">
        <v>976</v>
      </c>
      <c r="G1477" s="24">
        <v>0.85</v>
      </c>
      <c r="H1477" s="102" t="s">
        <v>1028</v>
      </c>
      <c r="I1477" s="102" t="s">
        <v>1680</v>
      </c>
      <c r="J1477" s="102"/>
      <c r="K1477" s="102" t="s">
        <v>1598</v>
      </c>
      <c r="L1477" s="102" t="s">
        <v>2484</v>
      </c>
      <c r="M1477" s="102"/>
    </row>
    <row r="1478" spans="1:13" x14ac:dyDescent="0.3">
      <c r="A1478" s="78">
        <v>46083</v>
      </c>
      <c r="B1478" s="78">
        <v>46083</v>
      </c>
      <c r="C1478" s="79">
        <v>0</v>
      </c>
      <c r="D1478" s="79">
        <v>101580</v>
      </c>
      <c r="E1478" s="79"/>
      <c r="F1478" s="79" t="s">
        <v>972</v>
      </c>
      <c r="G1478" s="24">
        <v>0.97</v>
      </c>
      <c r="H1478" s="79" t="s">
        <v>972</v>
      </c>
      <c r="I1478" s="79" t="s">
        <v>1680</v>
      </c>
      <c r="J1478" s="79"/>
      <c r="K1478" s="79" t="s">
        <v>1599</v>
      </c>
      <c r="L1478" s="79" t="s">
        <v>2484</v>
      </c>
      <c r="M1478" s="79"/>
    </row>
    <row r="1479" spans="1:13" x14ac:dyDescent="0.3">
      <c r="A1479" s="89">
        <v>46083</v>
      </c>
      <c r="B1479" s="89">
        <v>46083</v>
      </c>
      <c r="C1479" s="90">
        <v>22053</v>
      </c>
      <c r="D1479" s="90">
        <v>0</v>
      </c>
      <c r="E1479" s="90"/>
      <c r="F1479" s="90" t="s">
        <v>992</v>
      </c>
      <c r="G1479" s="40">
        <v>0.75</v>
      </c>
      <c r="H1479" s="90" t="s">
        <v>91</v>
      </c>
      <c r="I1479" s="90" t="s">
        <v>1680</v>
      </c>
      <c r="J1479" s="90"/>
      <c r="K1479" s="90" t="s">
        <v>1600</v>
      </c>
      <c r="L1479" s="90" t="s">
        <v>2484</v>
      </c>
      <c r="M1479" s="90"/>
    </row>
    <row r="1480" spans="1:13" x14ac:dyDescent="0.3">
      <c r="A1480" s="101">
        <v>46084</v>
      </c>
      <c r="B1480" s="101">
        <v>46084</v>
      </c>
      <c r="C1480" s="102">
        <v>1534.59</v>
      </c>
      <c r="D1480" s="102">
        <v>0</v>
      </c>
      <c r="E1480" s="102"/>
      <c r="F1480" s="102" t="s">
        <v>976</v>
      </c>
      <c r="G1480" s="24">
        <v>0.85</v>
      </c>
      <c r="H1480" s="102" t="s">
        <v>1028</v>
      </c>
      <c r="I1480" s="102" t="s">
        <v>1680</v>
      </c>
      <c r="J1480" s="102"/>
      <c r="K1480" s="102" t="s">
        <v>1601</v>
      </c>
      <c r="L1480" s="102" t="s">
        <v>2484</v>
      </c>
      <c r="M1480" s="102"/>
    </row>
    <row r="1481" spans="1:13" x14ac:dyDescent="0.3">
      <c r="A1481" s="22">
        <v>46084</v>
      </c>
      <c r="B1481" s="22">
        <v>46084</v>
      </c>
      <c r="C1481" s="23">
        <v>26000</v>
      </c>
      <c r="D1481" s="23">
        <v>0</v>
      </c>
      <c r="E1481" s="23"/>
      <c r="F1481" s="23" t="s">
        <v>1667</v>
      </c>
      <c r="G1481" s="24">
        <v>0.88</v>
      </c>
      <c r="H1481" s="23" t="s">
        <v>1735</v>
      </c>
      <c r="I1481" s="23" t="s">
        <v>837</v>
      </c>
      <c r="J1481" s="23"/>
      <c r="K1481" s="23" t="s">
        <v>1790</v>
      </c>
      <c r="L1481" s="23" t="s">
        <v>2486</v>
      </c>
      <c r="M1481" s="23"/>
    </row>
    <row r="1482" spans="1:13" x14ac:dyDescent="0.3">
      <c r="A1482" s="27">
        <v>46084</v>
      </c>
      <c r="B1482" s="27">
        <v>46084</v>
      </c>
      <c r="C1482" s="28">
        <v>2116.73</v>
      </c>
      <c r="D1482" s="28">
        <v>0</v>
      </c>
      <c r="E1482" s="28"/>
      <c r="F1482" s="28" t="s">
        <v>4</v>
      </c>
      <c r="G1482" s="24">
        <v>0.97</v>
      </c>
      <c r="H1482" s="28" t="s">
        <v>49</v>
      </c>
      <c r="I1482" s="28" t="s">
        <v>1779</v>
      </c>
      <c r="J1482" s="28"/>
      <c r="K1482" s="28" t="s">
        <v>50</v>
      </c>
      <c r="L1482" s="28" t="s">
        <v>2482</v>
      </c>
      <c r="M1482" s="28"/>
    </row>
    <row r="1483" spans="1:13" x14ac:dyDescent="0.3">
      <c r="A1483" s="95">
        <v>46084</v>
      </c>
      <c r="B1483" s="95">
        <v>46084</v>
      </c>
      <c r="C1483" s="96">
        <v>26500</v>
      </c>
      <c r="D1483" s="96">
        <v>0</v>
      </c>
      <c r="E1483" s="96"/>
      <c r="F1483" s="96" t="s">
        <v>990</v>
      </c>
      <c r="G1483" s="24">
        <v>0.9</v>
      </c>
      <c r="H1483" s="96" t="s">
        <v>990</v>
      </c>
      <c r="I1483" s="96" t="s">
        <v>1680</v>
      </c>
      <c r="J1483" s="96"/>
      <c r="K1483" s="96" t="s">
        <v>1602</v>
      </c>
      <c r="L1483" s="96" t="s">
        <v>2484</v>
      </c>
      <c r="M1483" s="96"/>
    </row>
    <row r="1484" spans="1:13" x14ac:dyDescent="0.3">
      <c r="A1484" s="22">
        <v>46084.310810185183</v>
      </c>
      <c r="B1484" s="22">
        <v>46084</v>
      </c>
      <c r="C1484" s="23">
        <v>9257</v>
      </c>
      <c r="D1484" s="23">
        <v>0</v>
      </c>
      <c r="E1484" s="23"/>
      <c r="F1484" s="23" t="s">
        <v>2</v>
      </c>
      <c r="G1484" s="24">
        <v>0.96</v>
      </c>
      <c r="H1484" s="23" t="s">
        <v>2</v>
      </c>
      <c r="I1484" s="23" t="s">
        <v>1019</v>
      </c>
      <c r="J1484" s="23"/>
      <c r="K1484" s="23" t="s">
        <v>2455</v>
      </c>
      <c r="L1484" s="23" t="s">
        <v>2483</v>
      </c>
      <c r="M1484" s="23"/>
    </row>
    <row r="1485" spans="1:13" x14ac:dyDescent="0.3">
      <c r="A1485" s="22">
        <v>46084.33834490741</v>
      </c>
      <c r="B1485" s="22">
        <v>46084</v>
      </c>
      <c r="C1485" s="23">
        <v>500</v>
      </c>
      <c r="D1485" s="23">
        <v>0</v>
      </c>
      <c r="E1485" s="23"/>
      <c r="F1485" s="23" t="s">
        <v>1659</v>
      </c>
      <c r="G1485" s="24">
        <v>0.9</v>
      </c>
      <c r="H1485" s="23" t="s">
        <v>1701</v>
      </c>
      <c r="I1485" s="23" t="s">
        <v>1019</v>
      </c>
      <c r="J1485" s="23"/>
      <c r="K1485" s="23" t="s">
        <v>2457</v>
      </c>
      <c r="L1485" s="23" t="s">
        <v>2483</v>
      </c>
      <c r="M1485" s="23"/>
    </row>
    <row r="1486" spans="1:13" x14ac:dyDescent="0.3">
      <c r="A1486" s="27">
        <v>46085</v>
      </c>
      <c r="B1486" s="27">
        <v>46085</v>
      </c>
      <c r="C1486" s="28">
        <v>146</v>
      </c>
      <c r="D1486" s="28">
        <v>0</v>
      </c>
      <c r="E1486" s="28"/>
      <c r="F1486" s="28" t="s">
        <v>4</v>
      </c>
      <c r="G1486" s="24">
        <v>0.97</v>
      </c>
      <c r="H1486" s="28" t="s">
        <v>49</v>
      </c>
      <c r="I1486" s="28" t="s">
        <v>1779</v>
      </c>
      <c r="J1486" s="28"/>
      <c r="K1486" s="28" t="s">
        <v>50</v>
      </c>
      <c r="L1486" s="28" t="s">
        <v>2482</v>
      </c>
      <c r="M1486" s="28"/>
    </row>
    <row r="1487" spans="1:13" x14ac:dyDescent="0.3">
      <c r="A1487" s="27">
        <v>46085</v>
      </c>
      <c r="B1487" s="27">
        <v>46085</v>
      </c>
      <c r="C1487" s="28">
        <v>2149.98</v>
      </c>
      <c r="D1487" s="28">
        <v>0</v>
      </c>
      <c r="E1487" s="28"/>
      <c r="F1487" s="28" t="s">
        <v>4</v>
      </c>
      <c r="G1487" s="24">
        <v>0.97</v>
      </c>
      <c r="H1487" s="28" t="s">
        <v>49</v>
      </c>
      <c r="I1487" s="28" t="s">
        <v>1779</v>
      </c>
      <c r="J1487" s="28"/>
      <c r="K1487" s="28" t="s">
        <v>50</v>
      </c>
      <c r="L1487" s="28" t="s">
        <v>2482</v>
      </c>
      <c r="M1487" s="28"/>
    </row>
    <row r="1488" spans="1:13" x14ac:dyDescent="0.3">
      <c r="A1488" s="33">
        <v>46085.029398148137</v>
      </c>
      <c r="B1488" s="33">
        <v>46085</v>
      </c>
      <c r="C1488" s="34">
        <v>590</v>
      </c>
      <c r="D1488" s="34">
        <v>0</v>
      </c>
      <c r="E1488" s="34"/>
      <c r="F1488" s="34" t="s">
        <v>7</v>
      </c>
      <c r="G1488" s="24">
        <v>0.88</v>
      </c>
      <c r="H1488" s="34" t="s">
        <v>7</v>
      </c>
      <c r="I1488" s="34" t="s">
        <v>1019</v>
      </c>
      <c r="J1488" s="34"/>
      <c r="K1488" s="34" t="s">
        <v>2459</v>
      </c>
      <c r="L1488" s="34" t="s">
        <v>2483</v>
      </c>
      <c r="M1488" s="34"/>
    </row>
    <row r="1489" spans="1:13" x14ac:dyDescent="0.3">
      <c r="A1489" s="27">
        <v>46086</v>
      </c>
      <c r="B1489" s="27">
        <v>46086</v>
      </c>
      <c r="C1489" s="28">
        <v>72.239999999999995</v>
      </c>
      <c r="D1489" s="28">
        <v>0</v>
      </c>
      <c r="E1489" s="28"/>
      <c r="F1489" s="28" t="s">
        <v>4</v>
      </c>
      <c r="G1489" s="24">
        <v>0.97</v>
      </c>
      <c r="H1489" s="28" t="s">
        <v>49</v>
      </c>
      <c r="I1489" s="28" t="s">
        <v>1779</v>
      </c>
      <c r="J1489" s="28"/>
      <c r="K1489" s="28" t="s">
        <v>50</v>
      </c>
      <c r="L1489" s="28" t="s">
        <v>2482</v>
      </c>
      <c r="M1489" s="28"/>
    </row>
    <row r="1490" spans="1:13" x14ac:dyDescent="0.3">
      <c r="A1490" s="89">
        <v>46087</v>
      </c>
      <c r="B1490" s="89">
        <v>46087</v>
      </c>
      <c r="C1490" s="90">
        <v>20</v>
      </c>
      <c r="D1490" s="90">
        <v>0</v>
      </c>
      <c r="E1490" s="90" t="s">
        <v>1555</v>
      </c>
      <c r="F1490" s="90" t="s">
        <v>975</v>
      </c>
      <c r="G1490" s="39">
        <v>0.55000000000000004</v>
      </c>
      <c r="H1490" s="90" t="s">
        <v>91</v>
      </c>
      <c r="I1490" s="90" t="s">
        <v>1680</v>
      </c>
      <c r="J1490" s="90"/>
      <c r="K1490" s="90" t="s">
        <v>1603</v>
      </c>
      <c r="L1490" s="90" t="s">
        <v>2484</v>
      </c>
      <c r="M1490" s="90"/>
    </row>
    <row r="1491" spans="1:13" x14ac:dyDescent="0.3">
      <c r="A1491" s="25">
        <v>46087</v>
      </c>
      <c r="B1491" s="25">
        <v>46087</v>
      </c>
      <c r="C1491" s="26">
        <v>0</v>
      </c>
      <c r="D1491" s="26">
        <v>948.7</v>
      </c>
      <c r="E1491" s="26"/>
      <c r="F1491" s="26" t="s">
        <v>3</v>
      </c>
      <c r="G1491" s="24">
        <v>0.93</v>
      </c>
      <c r="H1491" s="26" t="s">
        <v>49</v>
      </c>
      <c r="I1491" s="26" t="s">
        <v>1779</v>
      </c>
      <c r="J1491" s="26"/>
      <c r="K1491" s="26" t="s">
        <v>918</v>
      </c>
      <c r="L1491" s="26" t="s">
        <v>2482</v>
      </c>
      <c r="M1491" s="26"/>
    </row>
    <row r="1492" spans="1:13" x14ac:dyDescent="0.3">
      <c r="A1492" s="27">
        <v>46087</v>
      </c>
      <c r="B1492" s="27">
        <v>46087</v>
      </c>
      <c r="C1492" s="28">
        <v>72.239999999999995</v>
      </c>
      <c r="D1492" s="28">
        <v>0</v>
      </c>
      <c r="E1492" s="28"/>
      <c r="F1492" s="28" t="s">
        <v>4</v>
      </c>
      <c r="G1492" s="24">
        <v>0.97</v>
      </c>
      <c r="H1492" s="28" t="s">
        <v>49</v>
      </c>
      <c r="I1492" s="28" t="s">
        <v>1779</v>
      </c>
      <c r="J1492" s="28"/>
      <c r="K1492" s="28" t="s">
        <v>50</v>
      </c>
      <c r="L1492" s="28" t="s">
        <v>2482</v>
      </c>
      <c r="M1492" s="28"/>
    </row>
    <row r="1493" spans="1:13" x14ac:dyDescent="0.3">
      <c r="A1493" s="47">
        <v>46087</v>
      </c>
      <c r="B1493" s="47">
        <v>46087</v>
      </c>
      <c r="C1493" s="48">
        <v>0</v>
      </c>
      <c r="D1493" s="48">
        <v>85000</v>
      </c>
      <c r="E1493" s="48"/>
      <c r="F1493" s="48" t="s">
        <v>16</v>
      </c>
      <c r="G1493" s="24">
        <v>0.88</v>
      </c>
      <c r="H1493" s="48" t="s">
        <v>157</v>
      </c>
      <c r="I1493" s="48" t="s">
        <v>1779</v>
      </c>
      <c r="J1493" s="48"/>
      <c r="K1493" s="48" t="s">
        <v>921</v>
      </c>
      <c r="L1493" s="48" t="s">
        <v>2482</v>
      </c>
      <c r="M1493" s="48"/>
    </row>
    <row r="1494" spans="1:13" x14ac:dyDescent="0.3">
      <c r="A1494" s="29">
        <v>46087</v>
      </c>
      <c r="B1494" s="29">
        <v>46087</v>
      </c>
      <c r="C1494" s="30">
        <v>0</v>
      </c>
      <c r="D1494" s="30">
        <v>769.5</v>
      </c>
      <c r="E1494" s="30"/>
      <c r="F1494" s="30" t="s">
        <v>5</v>
      </c>
      <c r="G1494" s="24">
        <v>0.97</v>
      </c>
      <c r="H1494" s="30" t="s">
        <v>49</v>
      </c>
      <c r="I1494" s="30" t="s">
        <v>1779</v>
      </c>
      <c r="J1494" s="30"/>
      <c r="K1494" s="30" t="s">
        <v>59</v>
      </c>
      <c r="L1494" s="30" t="s">
        <v>2482</v>
      </c>
      <c r="M1494" s="30"/>
    </row>
    <row r="1495" spans="1:13" x14ac:dyDescent="0.3">
      <c r="A1495" s="146">
        <v>46088</v>
      </c>
      <c r="B1495" s="146">
        <v>46088</v>
      </c>
      <c r="C1495" s="147">
        <v>0</v>
      </c>
      <c r="D1495" s="147">
        <v>20</v>
      </c>
      <c r="E1495" s="147"/>
      <c r="F1495" s="147" t="s">
        <v>1675</v>
      </c>
      <c r="G1495" s="24">
        <v>0.88</v>
      </c>
      <c r="H1495" s="147" t="s">
        <v>1658</v>
      </c>
      <c r="I1495" s="147" t="s">
        <v>837</v>
      </c>
      <c r="J1495" s="147"/>
      <c r="K1495" s="147" t="s">
        <v>1791</v>
      </c>
      <c r="L1495" s="147" t="s">
        <v>2486</v>
      </c>
      <c r="M1495" s="147"/>
    </row>
    <row r="1496" spans="1:13" x14ac:dyDescent="0.3">
      <c r="A1496" s="57">
        <v>46088</v>
      </c>
      <c r="B1496" s="57">
        <v>46088</v>
      </c>
      <c r="C1496" s="58">
        <v>100000</v>
      </c>
      <c r="D1496" s="58">
        <v>0</v>
      </c>
      <c r="E1496" s="58"/>
      <c r="F1496" s="58" t="s">
        <v>25</v>
      </c>
      <c r="G1496" s="24">
        <v>0.9</v>
      </c>
      <c r="H1496" s="58" t="s">
        <v>343</v>
      </c>
      <c r="I1496" s="58" t="s">
        <v>1779</v>
      </c>
      <c r="J1496" s="58"/>
      <c r="K1496" s="58" t="s">
        <v>924</v>
      </c>
      <c r="L1496" s="58" t="s">
        <v>2482</v>
      </c>
      <c r="M1496" s="58"/>
    </row>
    <row r="1497" spans="1:13" x14ac:dyDescent="0.3">
      <c r="A1497" s="31">
        <v>46088</v>
      </c>
      <c r="B1497" s="31">
        <v>46088</v>
      </c>
      <c r="C1497" s="32">
        <v>0</v>
      </c>
      <c r="D1497" s="32">
        <v>1880</v>
      </c>
      <c r="E1497" s="32"/>
      <c r="F1497" s="32" t="s">
        <v>6</v>
      </c>
      <c r="G1497" s="24">
        <v>0.95</v>
      </c>
      <c r="H1497" s="32" t="s">
        <v>63</v>
      </c>
      <c r="I1497" s="32" t="s">
        <v>1779</v>
      </c>
      <c r="J1497" s="32"/>
      <c r="K1497" s="32" t="s">
        <v>925</v>
      </c>
      <c r="L1497" s="32" t="s">
        <v>2482</v>
      </c>
      <c r="M1497" s="32"/>
    </row>
    <row r="1498" spans="1:13" x14ac:dyDescent="0.3">
      <c r="A1498" s="89">
        <v>46088</v>
      </c>
      <c r="B1498" s="89">
        <v>46088</v>
      </c>
      <c r="C1498" s="90">
        <v>30</v>
      </c>
      <c r="D1498" s="90">
        <v>0</v>
      </c>
      <c r="E1498" s="90" t="s">
        <v>1605</v>
      </c>
      <c r="F1498" s="90" t="s">
        <v>975</v>
      </c>
      <c r="G1498" s="39">
        <v>0.55000000000000004</v>
      </c>
      <c r="H1498" s="90" t="s">
        <v>91</v>
      </c>
      <c r="I1498" s="90" t="s">
        <v>1680</v>
      </c>
      <c r="J1498" s="90"/>
      <c r="K1498" s="90" t="s">
        <v>1604</v>
      </c>
      <c r="L1498" s="90" t="s">
        <v>2484</v>
      </c>
      <c r="M1498" s="90"/>
    </row>
    <row r="1499" spans="1:13" x14ac:dyDescent="0.3">
      <c r="A1499" s="37">
        <v>46090</v>
      </c>
      <c r="B1499" s="37">
        <v>46090</v>
      </c>
      <c r="C1499" s="38">
        <v>0</v>
      </c>
      <c r="D1499" s="38">
        <v>2130</v>
      </c>
      <c r="E1499" s="38"/>
      <c r="F1499" s="38" t="s">
        <v>1676</v>
      </c>
      <c r="G1499" s="39">
        <v>0.55000000000000004</v>
      </c>
      <c r="H1499" s="38" t="s">
        <v>91</v>
      </c>
      <c r="I1499" s="38" t="s">
        <v>837</v>
      </c>
      <c r="J1499" s="38"/>
      <c r="K1499" s="38" t="s">
        <v>1792</v>
      </c>
      <c r="L1499" s="38" t="s">
        <v>2486</v>
      </c>
      <c r="M1499" s="38"/>
    </row>
    <row r="1500" spans="1:13" x14ac:dyDescent="0.3">
      <c r="A1500" s="27">
        <v>46090</v>
      </c>
      <c r="B1500" s="27">
        <v>46090</v>
      </c>
      <c r="C1500" s="28">
        <v>2716.8</v>
      </c>
      <c r="D1500" s="28">
        <v>0</v>
      </c>
      <c r="E1500" s="28"/>
      <c r="F1500" s="28" t="s">
        <v>4</v>
      </c>
      <c r="G1500" s="24">
        <v>0.97</v>
      </c>
      <c r="H1500" s="28" t="s">
        <v>49</v>
      </c>
      <c r="I1500" s="28" t="s">
        <v>1779</v>
      </c>
      <c r="J1500" s="28"/>
      <c r="K1500" s="28" t="s">
        <v>50</v>
      </c>
      <c r="L1500" s="28" t="s">
        <v>2482</v>
      </c>
      <c r="M1500" s="28"/>
    </row>
    <row r="1501" spans="1:13" x14ac:dyDescent="0.3">
      <c r="A1501" s="25">
        <v>46090</v>
      </c>
      <c r="B1501" s="25">
        <v>46090</v>
      </c>
      <c r="C1501" s="26">
        <v>0</v>
      </c>
      <c r="D1501" s="26">
        <v>19941.37</v>
      </c>
      <c r="E1501" s="26"/>
      <c r="F1501" s="26" t="s">
        <v>3</v>
      </c>
      <c r="G1501" s="24">
        <v>0.93</v>
      </c>
      <c r="H1501" s="26" t="s">
        <v>49</v>
      </c>
      <c r="I1501" s="26" t="s">
        <v>1779</v>
      </c>
      <c r="J1501" s="26"/>
      <c r="K1501" s="26" t="s">
        <v>927</v>
      </c>
      <c r="L1501" s="26" t="s">
        <v>2482</v>
      </c>
      <c r="M1501" s="26"/>
    </row>
    <row r="1502" spans="1:13" x14ac:dyDescent="0.3">
      <c r="A1502" s="27">
        <v>46090</v>
      </c>
      <c r="B1502" s="27">
        <v>46090</v>
      </c>
      <c r="C1502" s="28">
        <v>218.55</v>
      </c>
      <c r="D1502" s="28">
        <v>0</v>
      </c>
      <c r="E1502" s="28"/>
      <c r="F1502" s="28" t="s">
        <v>4</v>
      </c>
      <c r="G1502" s="24">
        <v>0.97</v>
      </c>
      <c r="H1502" s="28" t="s">
        <v>49</v>
      </c>
      <c r="I1502" s="28" t="s">
        <v>1779</v>
      </c>
      <c r="J1502" s="28"/>
      <c r="K1502" s="28" t="s">
        <v>50</v>
      </c>
      <c r="L1502" s="28" t="s">
        <v>2482</v>
      </c>
      <c r="M1502" s="28"/>
    </row>
    <row r="1503" spans="1:13" x14ac:dyDescent="0.3">
      <c r="A1503" s="85">
        <v>46090</v>
      </c>
      <c r="B1503" s="85">
        <v>46090</v>
      </c>
      <c r="C1503" s="86">
        <v>10000</v>
      </c>
      <c r="D1503" s="86">
        <v>0</v>
      </c>
      <c r="E1503" s="86"/>
      <c r="F1503" s="86" t="s">
        <v>974</v>
      </c>
      <c r="G1503" s="24">
        <v>0.9</v>
      </c>
      <c r="H1503" s="86" t="s">
        <v>1019</v>
      </c>
      <c r="I1503" s="86" t="s">
        <v>1680</v>
      </c>
      <c r="J1503" s="86"/>
      <c r="K1503" s="86" t="s">
        <v>1606</v>
      </c>
      <c r="L1503" s="86" t="s">
        <v>2484</v>
      </c>
      <c r="M1503" s="86"/>
    </row>
    <row r="1504" spans="1:13" x14ac:dyDescent="0.3">
      <c r="A1504" s="27">
        <v>46090.546215277784</v>
      </c>
      <c r="B1504" s="27">
        <v>46090</v>
      </c>
      <c r="C1504" s="28">
        <v>0</v>
      </c>
      <c r="D1504" s="28">
        <v>10000</v>
      </c>
      <c r="E1504" s="28"/>
      <c r="F1504" s="28" t="s">
        <v>1656</v>
      </c>
      <c r="G1504" s="24">
        <v>0.95</v>
      </c>
      <c r="H1504" s="28" t="s">
        <v>1680</v>
      </c>
      <c r="I1504" s="28" t="s">
        <v>1019</v>
      </c>
      <c r="J1504" s="28"/>
      <c r="K1504" s="28" t="s">
        <v>2460</v>
      </c>
      <c r="L1504" s="28" t="s">
        <v>2483</v>
      </c>
      <c r="M1504" s="28"/>
    </row>
    <row r="1505" spans="1:13" x14ac:dyDescent="0.3">
      <c r="A1505" s="22">
        <v>46090.547152777777</v>
      </c>
      <c r="B1505" s="22">
        <v>46090</v>
      </c>
      <c r="C1505" s="23">
        <v>7000</v>
      </c>
      <c r="D1505" s="23">
        <v>0</v>
      </c>
      <c r="E1505" s="23"/>
      <c r="F1505" s="23" t="s">
        <v>1667</v>
      </c>
      <c r="G1505" s="24">
        <v>0.92</v>
      </c>
      <c r="H1505" s="23" t="s">
        <v>1735</v>
      </c>
      <c r="I1505" s="23" t="s">
        <v>1019</v>
      </c>
      <c r="J1505" s="23"/>
      <c r="K1505" s="23" t="s">
        <v>2462</v>
      </c>
      <c r="L1505" s="23" t="s">
        <v>2483</v>
      </c>
      <c r="M1505" s="23"/>
    </row>
    <row r="1506" spans="1:13" x14ac:dyDescent="0.3">
      <c r="A1506" s="89">
        <v>46091</v>
      </c>
      <c r="B1506" s="89">
        <v>46091</v>
      </c>
      <c r="C1506" s="90">
        <v>110</v>
      </c>
      <c r="D1506" s="90">
        <v>0</v>
      </c>
      <c r="E1506" s="90" t="s">
        <v>1551</v>
      </c>
      <c r="F1506" s="90" t="s">
        <v>975</v>
      </c>
      <c r="G1506" s="39">
        <v>0.55000000000000004</v>
      </c>
      <c r="H1506" s="90" t="s">
        <v>91</v>
      </c>
      <c r="I1506" s="90" t="s">
        <v>1680</v>
      </c>
      <c r="J1506" s="90"/>
      <c r="K1506" s="90" t="s">
        <v>1607</v>
      </c>
      <c r="L1506" s="90" t="s">
        <v>2484</v>
      </c>
      <c r="M1506" s="90"/>
    </row>
    <row r="1507" spans="1:13" x14ac:dyDescent="0.3">
      <c r="A1507" s="27">
        <v>46091</v>
      </c>
      <c r="B1507" s="27">
        <v>46091</v>
      </c>
      <c r="C1507" s="28">
        <v>71.88</v>
      </c>
      <c r="D1507" s="28">
        <v>0</v>
      </c>
      <c r="E1507" s="28"/>
      <c r="F1507" s="28" t="s">
        <v>4</v>
      </c>
      <c r="G1507" s="24">
        <v>0.97</v>
      </c>
      <c r="H1507" s="28" t="s">
        <v>49</v>
      </c>
      <c r="I1507" s="28" t="s">
        <v>1779</v>
      </c>
      <c r="J1507" s="28"/>
      <c r="K1507" s="28" t="s">
        <v>50</v>
      </c>
      <c r="L1507" s="28" t="s">
        <v>2482</v>
      </c>
      <c r="M1507" s="28"/>
    </row>
    <row r="1508" spans="1:13" x14ac:dyDescent="0.3">
      <c r="A1508" s="89">
        <v>46091</v>
      </c>
      <c r="B1508" s="89">
        <v>46091</v>
      </c>
      <c r="C1508" s="90">
        <v>35</v>
      </c>
      <c r="D1508" s="90">
        <v>0</v>
      </c>
      <c r="E1508" s="90" t="s">
        <v>1609</v>
      </c>
      <c r="F1508" s="90" t="s">
        <v>975</v>
      </c>
      <c r="G1508" s="39">
        <v>0.55000000000000004</v>
      </c>
      <c r="H1508" s="90" t="s">
        <v>91</v>
      </c>
      <c r="I1508" s="90" t="s">
        <v>1680</v>
      </c>
      <c r="J1508" s="90"/>
      <c r="K1508" s="90" t="s">
        <v>1608</v>
      </c>
      <c r="L1508" s="90" t="s">
        <v>2484</v>
      </c>
      <c r="M1508" s="90"/>
    </row>
    <row r="1509" spans="1:13" x14ac:dyDescent="0.3">
      <c r="A1509" s="89">
        <v>46091</v>
      </c>
      <c r="B1509" s="89">
        <v>46091</v>
      </c>
      <c r="C1509" s="90">
        <v>50</v>
      </c>
      <c r="D1509" s="90">
        <v>0</v>
      </c>
      <c r="E1509" s="90" t="s">
        <v>1611</v>
      </c>
      <c r="F1509" s="90" t="s">
        <v>975</v>
      </c>
      <c r="G1509" s="39">
        <v>0.55000000000000004</v>
      </c>
      <c r="H1509" s="90" t="s">
        <v>91</v>
      </c>
      <c r="I1509" s="90" t="s">
        <v>1680</v>
      </c>
      <c r="J1509" s="90"/>
      <c r="K1509" s="90" t="s">
        <v>1610</v>
      </c>
      <c r="L1509" s="90" t="s">
        <v>2484</v>
      </c>
      <c r="M1509" s="90"/>
    </row>
    <row r="1510" spans="1:13" x14ac:dyDescent="0.3">
      <c r="A1510" s="89">
        <v>46091</v>
      </c>
      <c r="B1510" s="89">
        <v>46091</v>
      </c>
      <c r="C1510" s="90">
        <v>27</v>
      </c>
      <c r="D1510" s="90">
        <v>0</v>
      </c>
      <c r="E1510" s="90" t="s">
        <v>1613</v>
      </c>
      <c r="F1510" s="90" t="s">
        <v>975</v>
      </c>
      <c r="G1510" s="39">
        <v>0.55000000000000004</v>
      </c>
      <c r="H1510" s="90" t="s">
        <v>91</v>
      </c>
      <c r="I1510" s="90" t="s">
        <v>1680</v>
      </c>
      <c r="J1510" s="90"/>
      <c r="K1510" s="90" t="s">
        <v>1612</v>
      </c>
      <c r="L1510" s="90" t="s">
        <v>2484</v>
      </c>
      <c r="M1510" s="90"/>
    </row>
    <row r="1511" spans="1:13" x14ac:dyDescent="0.3">
      <c r="A1511" s="89">
        <v>46091</v>
      </c>
      <c r="B1511" s="89">
        <v>46091</v>
      </c>
      <c r="C1511" s="90">
        <v>20</v>
      </c>
      <c r="D1511" s="90">
        <v>0</v>
      </c>
      <c r="E1511" s="90" t="s">
        <v>1555</v>
      </c>
      <c r="F1511" s="90" t="s">
        <v>975</v>
      </c>
      <c r="G1511" s="39">
        <v>0.55000000000000004</v>
      </c>
      <c r="H1511" s="90" t="s">
        <v>91</v>
      </c>
      <c r="I1511" s="90" t="s">
        <v>1680</v>
      </c>
      <c r="J1511" s="90"/>
      <c r="K1511" s="90" t="s">
        <v>1614</v>
      </c>
      <c r="L1511" s="90" t="s">
        <v>2484</v>
      </c>
      <c r="M1511" s="90"/>
    </row>
    <row r="1512" spans="1:13" x14ac:dyDescent="0.3">
      <c r="A1512" s="27">
        <v>46092</v>
      </c>
      <c r="B1512" s="27">
        <v>46092</v>
      </c>
      <c r="C1512" s="28">
        <v>2382.15</v>
      </c>
      <c r="D1512" s="28">
        <v>0</v>
      </c>
      <c r="E1512" s="28"/>
      <c r="F1512" s="28" t="s">
        <v>4</v>
      </c>
      <c r="G1512" s="24">
        <v>0.97</v>
      </c>
      <c r="H1512" s="28" t="s">
        <v>49</v>
      </c>
      <c r="I1512" s="28" t="s">
        <v>1779</v>
      </c>
      <c r="J1512" s="28"/>
      <c r="K1512" s="28" t="s">
        <v>50</v>
      </c>
      <c r="L1512" s="28" t="s">
        <v>2482</v>
      </c>
      <c r="M1512" s="28"/>
    </row>
    <row r="1513" spans="1:13" x14ac:dyDescent="0.3">
      <c r="A1513" s="27">
        <v>46092</v>
      </c>
      <c r="B1513" s="27">
        <v>46092</v>
      </c>
      <c r="C1513" s="28">
        <v>71.88</v>
      </c>
      <c r="D1513" s="28">
        <v>0</v>
      </c>
      <c r="E1513" s="28"/>
      <c r="F1513" s="28" t="s">
        <v>4</v>
      </c>
      <c r="G1513" s="24">
        <v>0.97</v>
      </c>
      <c r="H1513" s="28" t="s">
        <v>49</v>
      </c>
      <c r="I1513" s="28" t="s">
        <v>1779</v>
      </c>
      <c r="J1513" s="28"/>
      <c r="K1513" s="28" t="s">
        <v>50</v>
      </c>
      <c r="L1513" s="28" t="s">
        <v>2482</v>
      </c>
      <c r="M1513" s="28"/>
    </row>
    <row r="1514" spans="1:13" x14ac:dyDescent="0.3">
      <c r="A1514" s="25">
        <v>46092</v>
      </c>
      <c r="B1514" s="25">
        <v>46092</v>
      </c>
      <c r="C1514" s="26">
        <v>0</v>
      </c>
      <c r="D1514" s="26">
        <v>1447.03</v>
      </c>
      <c r="E1514" s="26"/>
      <c r="F1514" s="26" t="s">
        <v>3</v>
      </c>
      <c r="G1514" s="24">
        <v>0.93</v>
      </c>
      <c r="H1514" s="26" t="s">
        <v>49</v>
      </c>
      <c r="I1514" s="26" t="s">
        <v>1779</v>
      </c>
      <c r="J1514" s="26"/>
      <c r="K1514" s="26" t="s">
        <v>932</v>
      </c>
      <c r="L1514" s="26" t="s">
        <v>2482</v>
      </c>
      <c r="M1514" s="26"/>
    </row>
    <row r="1515" spans="1:13" x14ac:dyDescent="0.3">
      <c r="A1515" s="27">
        <v>46093</v>
      </c>
      <c r="B1515" s="27">
        <v>46093</v>
      </c>
      <c r="C1515" s="28">
        <v>2247.48</v>
      </c>
      <c r="D1515" s="28">
        <v>0</v>
      </c>
      <c r="E1515" s="28"/>
      <c r="F1515" s="28" t="s">
        <v>4</v>
      </c>
      <c r="G1515" s="24">
        <v>0.97</v>
      </c>
      <c r="H1515" s="28" t="s">
        <v>49</v>
      </c>
      <c r="I1515" s="28" t="s">
        <v>1779</v>
      </c>
      <c r="J1515" s="28"/>
      <c r="K1515" s="28" t="s">
        <v>50</v>
      </c>
      <c r="L1515" s="28" t="s">
        <v>2482</v>
      </c>
      <c r="M1515" s="28"/>
    </row>
    <row r="1516" spans="1:13" x14ac:dyDescent="0.3">
      <c r="A1516" s="27">
        <v>46093</v>
      </c>
      <c r="B1516" s="27">
        <v>46093</v>
      </c>
      <c r="C1516" s="28">
        <v>71.55</v>
      </c>
      <c r="D1516" s="28">
        <v>0</v>
      </c>
      <c r="E1516" s="28"/>
      <c r="F1516" s="28" t="s">
        <v>4</v>
      </c>
      <c r="G1516" s="24">
        <v>0.97</v>
      </c>
      <c r="H1516" s="28" t="s">
        <v>49</v>
      </c>
      <c r="I1516" s="28" t="s">
        <v>1779</v>
      </c>
      <c r="J1516" s="28"/>
      <c r="K1516" s="28" t="s">
        <v>50</v>
      </c>
      <c r="L1516" s="28" t="s">
        <v>2482</v>
      </c>
      <c r="M1516" s="28"/>
    </row>
    <row r="1517" spans="1:13" x14ac:dyDescent="0.3">
      <c r="A1517" s="117">
        <v>46094</v>
      </c>
      <c r="B1517" s="117">
        <v>46094</v>
      </c>
      <c r="C1517" s="118">
        <v>15409</v>
      </c>
      <c r="D1517" s="118">
        <v>0</v>
      </c>
      <c r="E1517" s="118"/>
      <c r="F1517" s="118" t="s">
        <v>1002</v>
      </c>
      <c r="G1517" s="40">
        <v>0.68</v>
      </c>
      <c r="H1517" s="118" t="s">
        <v>112</v>
      </c>
      <c r="I1517" s="118" t="s">
        <v>1680</v>
      </c>
      <c r="J1517" s="118"/>
      <c r="K1517" s="118" t="s">
        <v>1615</v>
      </c>
      <c r="L1517" s="118" t="s">
        <v>2484</v>
      </c>
      <c r="M1517" s="118"/>
    </row>
    <row r="1518" spans="1:13" x14ac:dyDescent="0.3">
      <c r="A1518" s="27">
        <v>46094</v>
      </c>
      <c r="B1518" s="27">
        <v>46094</v>
      </c>
      <c r="C1518" s="28">
        <v>3953.98</v>
      </c>
      <c r="D1518" s="28">
        <v>0</v>
      </c>
      <c r="E1518" s="28"/>
      <c r="F1518" s="28" t="s">
        <v>4</v>
      </c>
      <c r="G1518" s="24">
        <v>0.97</v>
      </c>
      <c r="H1518" s="28" t="s">
        <v>49</v>
      </c>
      <c r="I1518" s="28" t="s">
        <v>1779</v>
      </c>
      <c r="J1518" s="28"/>
      <c r="K1518" s="28" t="s">
        <v>50</v>
      </c>
      <c r="L1518" s="28" t="s">
        <v>2482</v>
      </c>
      <c r="M1518" s="28"/>
    </row>
    <row r="1519" spans="1:13" x14ac:dyDescent="0.3">
      <c r="A1519" s="27">
        <v>46094</v>
      </c>
      <c r="B1519" s="27">
        <v>46094</v>
      </c>
      <c r="C1519" s="28">
        <v>70.75</v>
      </c>
      <c r="D1519" s="28">
        <v>0</v>
      </c>
      <c r="E1519" s="28"/>
      <c r="F1519" s="28" t="s">
        <v>4</v>
      </c>
      <c r="G1519" s="24">
        <v>0.97</v>
      </c>
      <c r="H1519" s="28" t="s">
        <v>49</v>
      </c>
      <c r="I1519" s="28" t="s">
        <v>1779</v>
      </c>
      <c r="J1519" s="28"/>
      <c r="K1519" s="28" t="s">
        <v>50</v>
      </c>
      <c r="L1519" s="28" t="s">
        <v>2482</v>
      </c>
      <c r="M1519" s="28"/>
    </row>
    <row r="1520" spans="1:13" x14ac:dyDescent="0.3">
      <c r="A1520" s="57">
        <v>46094</v>
      </c>
      <c r="B1520" s="57">
        <v>46094</v>
      </c>
      <c r="C1520" s="58">
        <v>22000</v>
      </c>
      <c r="D1520" s="58">
        <v>0</v>
      </c>
      <c r="E1520" s="58"/>
      <c r="F1520" s="58" t="s">
        <v>995</v>
      </c>
      <c r="G1520" s="24">
        <v>0.85</v>
      </c>
      <c r="H1520" s="58" t="s">
        <v>1363</v>
      </c>
      <c r="I1520" s="58" t="s">
        <v>1680</v>
      </c>
      <c r="J1520" s="58"/>
      <c r="K1520" s="58" t="s">
        <v>1617</v>
      </c>
      <c r="L1520" s="58" t="s">
        <v>2484</v>
      </c>
      <c r="M1520" s="58"/>
    </row>
    <row r="1521" spans="1:13" x14ac:dyDescent="0.3">
      <c r="A1521" s="89">
        <v>46094</v>
      </c>
      <c r="B1521" s="89">
        <v>46094</v>
      </c>
      <c r="C1521" s="90">
        <v>30</v>
      </c>
      <c r="D1521" s="90">
        <v>0</v>
      </c>
      <c r="E1521" s="90" t="s">
        <v>1605</v>
      </c>
      <c r="F1521" s="90" t="s">
        <v>975</v>
      </c>
      <c r="G1521" s="39">
        <v>0.55000000000000004</v>
      </c>
      <c r="H1521" s="90" t="s">
        <v>91</v>
      </c>
      <c r="I1521" s="90" t="s">
        <v>1680</v>
      </c>
      <c r="J1521" s="90"/>
      <c r="K1521" s="90" t="s">
        <v>1616</v>
      </c>
      <c r="L1521" s="90" t="s">
        <v>2484</v>
      </c>
      <c r="M1521" s="90"/>
    </row>
    <row r="1522" spans="1:13" x14ac:dyDescent="0.3">
      <c r="A1522" s="83">
        <v>46096</v>
      </c>
      <c r="B1522" s="83">
        <v>46096</v>
      </c>
      <c r="C1522" s="84">
        <v>4513.6000000000004</v>
      </c>
      <c r="D1522" s="84">
        <v>0</v>
      </c>
      <c r="E1522" s="84"/>
      <c r="F1522" s="84" t="s">
        <v>973</v>
      </c>
      <c r="G1522" s="40">
        <v>0.68</v>
      </c>
      <c r="H1522" s="84" t="s">
        <v>1014</v>
      </c>
      <c r="I1522" s="84" t="s">
        <v>837</v>
      </c>
      <c r="J1522" s="84"/>
      <c r="K1522" s="84" t="s">
        <v>1793</v>
      </c>
      <c r="L1522" s="84" t="s">
        <v>2486</v>
      </c>
      <c r="M1522" s="84"/>
    </row>
    <row r="1523" spans="1:13" x14ac:dyDescent="0.3">
      <c r="A1523" s="27">
        <v>46097</v>
      </c>
      <c r="B1523" s="27">
        <v>46097</v>
      </c>
      <c r="C1523" s="28">
        <v>208.02</v>
      </c>
      <c r="D1523" s="28">
        <v>0</v>
      </c>
      <c r="E1523" s="28"/>
      <c r="F1523" s="28" t="s">
        <v>4</v>
      </c>
      <c r="G1523" s="24">
        <v>0.97</v>
      </c>
      <c r="H1523" s="28" t="s">
        <v>49</v>
      </c>
      <c r="I1523" s="28" t="s">
        <v>1779</v>
      </c>
      <c r="J1523" s="28"/>
      <c r="K1523" s="28" t="s">
        <v>50</v>
      </c>
      <c r="L1523" s="28" t="s">
        <v>2482</v>
      </c>
      <c r="M1523" s="28"/>
    </row>
    <row r="1524" spans="1:13" x14ac:dyDescent="0.3">
      <c r="A1524" s="27">
        <v>46098</v>
      </c>
      <c r="B1524" s="27">
        <v>46098</v>
      </c>
      <c r="C1524" s="28">
        <v>69.34</v>
      </c>
      <c r="D1524" s="28">
        <v>0</v>
      </c>
      <c r="E1524" s="28"/>
      <c r="F1524" s="28" t="s">
        <v>4</v>
      </c>
      <c r="G1524" s="24">
        <v>0.97</v>
      </c>
      <c r="H1524" s="28" t="s">
        <v>49</v>
      </c>
      <c r="I1524" s="28" t="s">
        <v>1779</v>
      </c>
      <c r="J1524" s="28"/>
      <c r="K1524" s="28" t="s">
        <v>50</v>
      </c>
      <c r="L1524" s="28" t="s">
        <v>2482</v>
      </c>
      <c r="M1524" s="28"/>
    </row>
    <row r="1525" spans="1:13" x14ac:dyDescent="0.3">
      <c r="A1525" s="25">
        <v>46098</v>
      </c>
      <c r="B1525" s="25">
        <v>46098</v>
      </c>
      <c r="C1525" s="26">
        <v>0</v>
      </c>
      <c r="D1525" s="26">
        <v>1792.77</v>
      </c>
      <c r="E1525" s="26"/>
      <c r="F1525" s="26" t="s">
        <v>3</v>
      </c>
      <c r="G1525" s="24">
        <v>0.93</v>
      </c>
      <c r="H1525" s="26" t="s">
        <v>49</v>
      </c>
      <c r="I1525" s="26" t="s">
        <v>1779</v>
      </c>
      <c r="J1525" s="26"/>
      <c r="K1525" s="26" t="s">
        <v>941</v>
      </c>
      <c r="L1525" s="26" t="s">
        <v>2482</v>
      </c>
      <c r="M1525" s="26"/>
    </row>
    <row r="1526" spans="1:13" x14ac:dyDescent="0.3">
      <c r="A1526" s="27">
        <v>46099</v>
      </c>
      <c r="B1526" s="27">
        <v>46099</v>
      </c>
      <c r="C1526" s="28">
        <v>69.98</v>
      </c>
      <c r="D1526" s="28">
        <v>0</v>
      </c>
      <c r="E1526" s="28"/>
      <c r="F1526" s="28" t="s">
        <v>4</v>
      </c>
      <c r="G1526" s="24">
        <v>0.97</v>
      </c>
      <c r="H1526" s="28" t="s">
        <v>49</v>
      </c>
      <c r="I1526" s="28" t="s">
        <v>1779</v>
      </c>
      <c r="J1526" s="28"/>
      <c r="K1526" s="28" t="s">
        <v>50</v>
      </c>
      <c r="L1526" s="28" t="s">
        <v>2482</v>
      </c>
      <c r="M1526" s="28"/>
    </row>
    <row r="1527" spans="1:13" x14ac:dyDescent="0.3">
      <c r="A1527" s="25">
        <v>46099</v>
      </c>
      <c r="B1527" s="25">
        <v>46099</v>
      </c>
      <c r="C1527" s="26">
        <v>0</v>
      </c>
      <c r="D1527" s="26">
        <v>2463.37</v>
      </c>
      <c r="E1527" s="26"/>
      <c r="F1527" s="26" t="s">
        <v>3</v>
      </c>
      <c r="G1527" s="24">
        <v>0.93</v>
      </c>
      <c r="H1527" s="26" t="s">
        <v>49</v>
      </c>
      <c r="I1527" s="26" t="s">
        <v>1779</v>
      </c>
      <c r="J1527" s="26"/>
      <c r="K1527" s="26" t="s">
        <v>944</v>
      </c>
      <c r="L1527" s="26" t="s">
        <v>2482</v>
      </c>
      <c r="M1527" s="26"/>
    </row>
    <row r="1528" spans="1:13" x14ac:dyDescent="0.3">
      <c r="A1528" s="148">
        <v>46100</v>
      </c>
      <c r="B1528" s="148">
        <v>46100</v>
      </c>
      <c r="C1528" s="149">
        <v>20</v>
      </c>
      <c r="D1528" s="149">
        <v>0</v>
      </c>
      <c r="E1528" s="149"/>
      <c r="F1528" s="149" t="s">
        <v>1677</v>
      </c>
      <c r="G1528" s="40">
        <v>0.68</v>
      </c>
      <c r="H1528" s="149" t="s">
        <v>1795</v>
      </c>
      <c r="I1528" s="149" t="s">
        <v>837</v>
      </c>
      <c r="J1528" s="149"/>
      <c r="K1528" s="149" t="s">
        <v>1794</v>
      </c>
      <c r="L1528" s="149" t="s">
        <v>2486</v>
      </c>
      <c r="M1528" s="149"/>
    </row>
    <row r="1529" spans="1:13" x14ac:dyDescent="0.3">
      <c r="A1529" s="27">
        <v>46100</v>
      </c>
      <c r="B1529" s="27">
        <v>46100</v>
      </c>
      <c r="C1529" s="28">
        <v>4745.66</v>
      </c>
      <c r="D1529" s="28">
        <v>0</v>
      </c>
      <c r="E1529" s="28"/>
      <c r="F1529" s="28" t="s">
        <v>4</v>
      </c>
      <c r="G1529" s="24">
        <v>0.97</v>
      </c>
      <c r="H1529" s="28" t="s">
        <v>49</v>
      </c>
      <c r="I1529" s="28" t="s">
        <v>1779</v>
      </c>
      <c r="J1529" s="28"/>
      <c r="K1529" s="28" t="s">
        <v>50</v>
      </c>
      <c r="L1529" s="28" t="s">
        <v>2482</v>
      </c>
      <c r="M1529" s="28"/>
    </row>
    <row r="1530" spans="1:13" x14ac:dyDescent="0.3">
      <c r="A1530" s="89">
        <v>46101</v>
      </c>
      <c r="B1530" s="89">
        <v>46101</v>
      </c>
      <c r="C1530" s="90">
        <v>500</v>
      </c>
      <c r="D1530" s="90">
        <v>0</v>
      </c>
      <c r="E1530" s="90" t="s">
        <v>1173</v>
      </c>
      <c r="F1530" s="90" t="s">
        <v>975</v>
      </c>
      <c r="G1530" s="39">
        <v>0.55000000000000004</v>
      </c>
      <c r="H1530" s="90" t="s">
        <v>91</v>
      </c>
      <c r="I1530" s="90" t="s">
        <v>1680</v>
      </c>
      <c r="J1530" s="90"/>
      <c r="K1530" s="90" t="s">
        <v>1618</v>
      </c>
      <c r="L1530" s="90" t="s">
        <v>2484</v>
      </c>
      <c r="M1530" s="90"/>
    </row>
    <row r="1531" spans="1:13" x14ac:dyDescent="0.3">
      <c r="A1531" s="89">
        <v>46101</v>
      </c>
      <c r="B1531" s="89">
        <v>46101</v>
      </c>
      <c r="C1531" s="90">
        <v>100</v>
      </c>
      <c r="D1531" s="90">
        <v>0</v>
      </c>
      <c r="E1531" s="90" t="s">
        <v>1433</v>
      </c>
      <c r="F1531" s="90" t="s">
        <v>975</v>
      </c>
      <c r="G1531" s="39">
        <v>0.55000000000000004</v>
      </c>
      <c r="H1531" s="90" t="s">
        <v>91</v>
      </c>
      <c r="I1531" s="90" t="s">
        <v>1680</v>
      </c>
      <c r="J1531" s="90"/>
      <c r="K1531" s="90" t="s">
        <v>1619</v>
      </c>
      <c r="L1531" s="90" t="s">
        <v>2484</v>
      </c>
      <c r="M1531" s="90"/>
    </row>
    <row r="1532" spans="1:13" x14ac:dyDescent="0.3">
      <c r="A1532" s="89">
        <v>46101</v>
      </c>
      <c r="B1532" s="89">
        <v>46101</v>
      </c>
      <c r="C1532" s="90">
        <v>20</v>
      </c>
      <c r="D1532" s="90">
        <v>0</v>
      </c>
      <c r="E1532" s="90" t="s">
        <v>1555</v>
      </c>
      <c r="F1532" s="90" t="s">
        <v>975</v>
      </c>
      <c r="G1532" s="39">
        <v>0.55000000000000004</v>
      </c>
      <c r="H1532" s="90" t="s">
        <v>91</v>
      </c>
      <c r="I1532" s="90" t="s">
        <v>1680</v>
      </c>
      <c r="J1532" s="90"/>
      <c r="K1532" s="90" t="s">
        <v>1620</v>
      </c>
      <c r="L1532" s="90" t="s">
        <v>2484</v>
      </c>
      <c r="M1532" s="90"/>
    </row>
    <row r="1533" spans="1:13" x14ac:dyDescent="0.3">
      <c r="A1533" s="146">
        <v>46101</v>
      </c>
      <c r="B1533" s="146">
        <v>46101</v>
      </c>
      <c r="C1533" s="147">
        <v>0</v>
      </c>
      <c r="D1533" s="147">
        <v>8</v>
      </c>
      <c r="E1533" s="147"/>
      <c r="F1533" s="147" t="s">
        <v>1675</v>
      </c>
      <c r="G1533" s="24">
        <v>0.88</v>
      </c>
      <c r="H1533" s="147" t="s">
        <v>1658</v>
      </c>
      <c r="I1533" s="147" t="s">
        <v>837</v>
      </c>
      <c r="J1533" s="147"/>
      <c r="K1533" s="147" t="s">
        <v>1796</v>
      </c>
      <c r="L1533" s="147" t="s">
        <v>2486</v>
      </c>
      <c r="M1533" s="147"/>
    </row>
    <row r="1534" spans="1:13" x14ac:dyDescent="0.3">
      <c r="A1534" s="89">
        <v>46101</v>
      </c>
      <c r="B1534" s="89">
        <v>46101</v>
      </c>
      <c r="C1534" s="90">
        <v>27</v>
      </c>
      <c r="D1534" s="90">
        <v>0</v>
      </c>
      <c r="E1534" s="90" t="s">
        <v>1622</v>
      </c>
      <c r="F1534" s="90" t="s">
        <v>975</v>
      </c>
      <c r="G1534" s="39">
        <v>0.55000000000000004</v>
      </c>
      <c r="H1534" s="90" t="s">
        <v>91</v>
      </c>
      <c r="I1534" s="90" t="s">
        <v>1680</v>
      </c>
      <c r="J1534" s="90"/>
      <c r="K1534" s="90" t="s">
        <v>1621</v>
      </c>
      <c r="L1534" s="90" t="s">
        <v>2484</v>
      </c>
      <c r="M1534" s="90"/>
    </row>
    <row r="1535" spans="1:13" x14ac:dyDescent="0.3">
      <c r="A1535" s="27">
        <v>46101</v>
      </c>
      <c r="B1535" s="27">
        <v>46101</v>
      </c>
      <c r="C1535" s="28">
        <v>69.19</v>
      </c>
      <c r="D1535" s="28">
        <v>0</v>
      </c>
      <c r="E1535" s="28"/>
      <c r="F1535" s="28" t="s">
        <v>4</v>
      </c>
      <c r="G1535" s="24">
        <v>0.97</v>
      </c>
      <c r="H1535" s="28" t="s">
        <v>49</v>
      </c>
      <c r="I1535" s="28" t="s">
        <v>1779</v>
      </c>
      <c r="J1535" s="28"/>
      <c r="K1535" s="28" t="s">
        <v>50</v>
      </c>
      <c r="L1535" s="28" t="s">
        <v>2482</v>
      </c>
      <c r="M1535" s="28"/>
    </row>
    <row r="1536" spans="1:13" x14ac:dyDescent="0.3">
      <c r="A1536" s="33">
        <v>46102</v>
      </c>
      <c r="B1536" s="33">
        <v>46102</v>
      </c>
      <c r="C1536" s="34">
        <v>295</v>
      </c>
      <c r="D1536" s="34">
        <v>0</v>
      </c>
      <c r="E1536" s="34"/>
      <c r="F1536" s="34" t="s">
        <v>7</v>
      </c>
      <c r="G1536" s="24">
        <v>0.9</v>
      </c>
      <c r="H1536" s="34" t="s">
        <v>7</v>
      </c>
      <c r="I1536" s="34" t="s">
        <v>1779</v>
      </c>
      <c r="J1536" s="34"/>
      <c r="K1536" s="34" t="s">
        <v>949</v>
      </c>
      <c r="L1536" s="34" t="s">
        <v>2482</v>
      </c>
      <c r="M1536" s="34"/>
    </row>
    <row r="1537" spans="1:13" x14ac:dyDescent="0.3">
      <c r="A1537" s="101">
        <v>46103</v>
      </c>
      <c r="B1537" s="101">
        <v>46103</v>
      </c>
      <c r="C1537" s="102">
        <v>1001</v>
      </c>
      <c r="D1537" s="102">
        <v>0</v>
      </c>
      <c r="E1537" s="102"/>
      <c r="F1537" s="102" t="s">
        <v>976</v>
      </c>
      <c r="G1537" s="24">
        <v>0.85</v>
      </c>
      <c r="H1537" s="102" t="s">
        <v>1028</v>
      </c>
      <c r="I1537" s="102" t="s">
        <v>1680</v>
      </c>
      <c r="J1537" s="102"/>
      <c r="K1537" s="102" t="s">
        <v>1623</v>
      </c>
      <c r="L1537" s="102" t="s">
        <v>2484</v>
      </c>
      <c r="M1537" s="102"/>
    </row>
    <row r="1538" spans="1:13" x14ac:dyDescent="0.3">
      <c r="A1538" s="25">
        <v>46104</v>
      </c>
      <c r="B1538" s="25">
        <v>46104</v>
      </c>
      <c r="C1538" s="26">
        <v>0</v>
      </c>
      <c r="D1538" s="26">
        <v>625.89</v>
      </c>
      <c r="E1538" s="26"/>
      <c r="F1538" s="26" t="s">
        <v>3</v>
      </c>
      <c r="G1538" s="24">
        <v>0.93</v>
      </c>
      <c r="H1538" s="26" t="s">
        <v>49</v>
      </c>
      <c r="I1538" s="26" t="s">
        <v>1779</v>
      </c>
      <c r="J1538" s="26"/>
      <c r="K1538" s="26" t="s">
        <v>951</v>
      </c>
      <c r="L1538" s="26" t="s">
        <v>2482</v>
      </c>
      <c r="M1538" s="26"/>
    </row>
    <row r="1539" spans="1:13" x14ac:dyDescent="0.3">
      <c r="A1539" s="27">
        <v>46104</v>
      </c>
      <c r="B1539" s="27">
        <v>46104</v>
      </c>
      <c r="C1539" s="28">
        <v>207.57</v>
      </c>
      <c r="D1539" s="28">
        <v>0</v>
      </c>
      <c r="E1539" s="28"/>
      <c r="F1539" s="28" t="s">
        <v>4</v>
      </c>
      <c r="G1539" s="24">
        <v>0.97</v>
      </c>
      <c r="H1539" s="28" t="s">
        <v>49</v>
      </c>
      <c r="I1539" s="28" t="s">
        <v>1779</v>
      </c>
      <c r="J1539" s="28"/>
      <c r="K1539" s="28" t="s">
        <v>50</v>
      </c>
      <c r="L1539" s="28" t="s">
        <v>2482</v>
      </c>
      <c r="M1539" s="28"/>
    </row>
    <row r="1540" spans="1:13" x14ac:dyDescent="0.3">
      <c r="A1540" s="27">
        <v>46104</v>
      </c>
      <c r="B1540" s="27">
        <v>46104</v>
      </c>
      <c r="C1540" s="28">
        <v>7701.08</v>
      </c>
      <c r="D1540" s="28">
        <v>0</v>
      </c>
      <c r="E1540" s="28"/>
      <c r="F1540" s="28" t="s">
        <v>4</v>
      </c>
      <c r="G1540" s="24">
        <v>0.97</v>
      </c>
      <c r="H1540" s="28" t="s">
        <v>49</v>
      </c>
      <c r="I1540" s="28" t="s">
        <v>1779</v>
      </c>
      <c r="J1540" s="28"/>
      <c r="K1540" s="28" t="s">
        <v>50</v>
      </c>
      <c r="L1540" s="28" t="s">
        <v>2482</v>
      </c>
      <c r="M1540" s="28"/>
    </row>
    <row r="1541" spans="1:13" x14ac:dyDescent="0.3">
      <c r="A1541" s="101">
        <v>46104</v>
      </c>
      <c r="B1541" s="101">
        <v>46104</v>
      </c>
      <c r="C1541" s="102">
        <v>1000</v>
      </c>
      <c r="D1541" s="102">
        <v>0</v>
      </c>
      <c r="E1541" s="102"/>
      <c r="F1541" s="102" t="s">
        <v>976</v>
      </c>
      <c r="G1541" s="24">
        <v>0.85</v>
      </c>
      <c r="H1541" s="102" t="s">
        <v>1028</v>
      </c>
      <c r="I1541" s="102" t="s">
        <v>1680</v>
      </c>
      <c r="J1541" s="102"/>
      <c r="K1541" s="102" t="s">
        <v>1624</v>
      </c>
      <c r="L1541" s="102" t="s">
        <v>2484</v>
      </c>
      <c r="M1541" s="102"/>
    </row>
    <row r="1542" spans="1:13" x14ac:dyDescent="0.3">
      <c r="A1542" s="97">
        <v>46104</v>
      </c>
      <c r="B1542" s="97">
        <v>46104</v>
      </c>
      <c r="C1542" s="98">
        <v>0</v>
      </c>
      <c r="D1542" s="98">
        <v>1000</v>
      </c>
      <c r="E1542" s="98"/>
      <c r="F1542" s="98" t="s">
        <v>977</v>
      </c>
      <c r="G1542" s="24">
        <v>0.85</v>
      </c>
      <c r="H1542" s="98" t="s">
        <v>1031</v>
      </c>
      <c r="I1542" s="98" t="s">
        <v>1680</v>
      </c>
      <c r="J1542" s="98"/>
      <c r="K1542" s="98" t="s">
        <v>1625</v>
      </c>
      <c r="L1542" s="98" t="s">
        <v>2484</v>
      </c>
      <c r="M1542" s="98"/>
    </row>
    <row r="1543" spans="1:13" x14ac:dyDescent="0.3">
      <c r="A1543" s="146">
        <v>46104</v>
      </c>
      <c r="B1543" s="146">
        <v>46104</v>
      </c>
      <c r="C1543" s="147">
        <v>0</v>
      </c>
      <c r="D1543" s="147">
        <v>50</v>
      </c>
      <c r="E1543" s="147"/>
      <c r="F1543" s="147" t="s">
        <v>1675</v>
      </c>
      <c r="G1543" s="24">
        <v>0.88</v>
      </c>
      <c r="H1543" s="147" t="s">
        <v>1658</v>
      </c>
      <c r="I1543" s="147" t="s">
        <v>837</v>
      </c>
      <c r="J1543" s="147"/>
      <c r="K1543" s="147" t="s">
        <v>1797</v>
      </c>
      <c r="L1543" s="147" t="s">
        <v>2486</v>
      </c>
      <c r="M1543" s="147"/>
    </row>
    <row r="1544" spans="1:13" x14ac:dyDescent="0.3">
      <c r="A1544" s="101">
        <v>46105</v>
      </c>
      <c r="B1544" s="101">
        <v>46105</v>
      </c>
      <c r="C1544" s="102">
        <v>1000</v>
      </c>
      <c r="D1544" s="102">
        <v>0</v>
      </c>
      <c r="E1544" s="102"/>
      <c r="F1544" s="102" t="s">
        <v>976</v>
      </c>
      <c r="G1544" s="24">
        <v>0.85</v>
      </c>
      <c r="H1544" s="102" t="s">
        <v>1028</v>
      </c>
      <c r="I1544" s="102" t="s">
        <v>1680</v>
      </c>
      <c r="J1544" s="102"/>
      <c r="K1544" s="102" t="s">
        <v>1626</v>
      </c>
      <c r="L1544" s="102" t="s">
        <v>2484</v>
      </c>
      <c r="M1544" s="102"/>
    </row>
    <row r="1545" spans="1:13" x14ac:dyDescent="0.3">
      <c r="A1545" s="89">
        <v>46105</v>
      </c>
      <c r="B1545" s="89">
        <v>46105</v>
      </c>
      <c r="C1545" s="90">
        <v>70</v>
      </c>
      <c r="D1545" s="90">
        <v>0</v>
      </c>
      <c r="E1545" s="90" t="s">
        <v>1092</v>
      </c>
      <c r="F1545" s="90" t="s">
        <v>975</v>
      </c>
      <c r="G1545" s="39">
        <v>0.55000000000000004</v>
      </c>
      <c r="H1545" s="90" t="s">
        <v>91</v>
      </c>
      <c r="I1545" s="90" t="s">
        <v>1680</v>
      </c>
      <c r="J1545" s="90"/>
      <c r="K1545" s="90" t="s">
        <v>1627</v>
      </c>
      <c r="L1545" s="90" t="s">
        <v>2484</v>
      </c>
      <c r="M1545" s="90"/>
    </row>
    <row r="1546" spans="1:13" x14ac:dyDescent="0.3">
      <c r="A1546" s="146">
        <v>46105</v>
      </c>
      <c r="B1546" s="146">
        <v>46105</v>
      </c>
      <c r="C1546" s="147">
        <v>0</v>
      </c>
      <c r="D1546" s="147">
        <v>2</v>
      </c>
      <c r="E1546" s="147"/>
      <c r="F1546" s="147" t="s">
        <v>1675</v>
      </c>
      <c r="G1546" s="24">
        <v>0.88</v>
      </c>
      <c r="H1546" s="147" t="s">
        <v>1658</v>
      </c>
      <c r="I1546" s="147" t="s">
        <v>837</v>
      </c>
      <c r="J1546" s="147"/>
      <c r="K1546" s="147" t="s">
        <v>1798</v>
      </c>
      <c r="L1546" s="147" t="s">
        <v>2486</v>
      </c>
      <c r="M1546" s="147"/>
    </row>
    <row r="1547" spans="1:13" x14ac:dyDescent="0.3">
      <c r="A1547" s="27">
        <v>46105</v>
      </c>
      <c r="B1547" s="27">
        <v>46105</v>
      </c>
      <c r="C1547" s="28">
        <v>66.67</v>
      </c>
      <c r="D1547" s="28">
        <v>0</v>
      </c>
      <c r="E1547" s="28"/>
      <c r="F1547" s="28" t="s">
        <v>4</v>
      </c>
      <c r="G1547" s="24">
        <v>0.97</v>
      </c>
      <c r="H1547" s="28" t="s">
        <v>49</v>
      </c>
      <c r="I1547" s="28" t="s">
        <v>1779</v>
      </c>
      <c r="J1547" s="28"/>
      <c r="K1547" s="28" t="s">
        <v>50</v>
      </c>
      <c r="L1547" s="28" t="s">
        <v>2482</v>
      </c>
      <c r="M1547" s="28"/>
    </row>
    <row r="1548" spans="1:13" x14ac:dyDescent="0.3">
      <c r="A1548" s="146">
        <v>46106</v>
      </c>
      <c r="B1548" s="146">
        <v>46106</v>
      </c>
      <c r="C1548" s="147">
        <v>0</v>
      </c>
      <c r="D1548" s="147">
        <v>10</v>
      </c>
      <c r="E1548" s="147"/>
      <c r="F1548" s="147" t="s">
        <v>1675</v>
      </c>
      <c r="G1548" s="24">
        <v>0.88</v>
      </c>
      <c r="H1548" s="147" t="s">
        <v>1658</v>
      </c>
      <c r="I1548" s="147" t="s">
        <v>837</v>
      </c>
      <c r="J1548" s="147"/>
      <c r="K1548" s="147" t="s">
        <v>1799</v>
      </c>
      <c r="L1548" s="147" t="s">
        <v>2486</v>
      </c>
      <c r="M1548" s="147"/>
    </row>
    <row r="1549" spans="1:13" x14ac:dyDescent="0.3">
      <c r="A1549" s="55">
        <v>46106</v>
      </c>
      <c r="B1549" s="55">
        <v>46106</v>
      </c>
      <c r="C1549" s="56">
        <v>0</v>
      </c>
      <c r="D1549" s="56">
        <v>144</v>
      </c>
      <c r="E1549" s="56"/>
      <c r="F1549" s="56" t="s">
        <v>22</v>
      </c>
      <c r="G1549" s="24">
        <v>0.9</v>
      </c>
      <c r="H1549" s="56" t="s">
        <v>22</v>
      </c>
      <c r="I1549" s="56" t="s">
        <v>837</v>
      </c>
      <c r="J1549" s="56"/>
      <c r="K1549" s="56" t="s">
        <v>1718</v>
      </c>
      <c r="L1549" s="56" t="s">
        <v>2486</v>
      </c>
      <c r="M1549" s="56"/>
    </row>
    <row r="1550" spans="1:13" x14ac:dyDescent="0.3">
      <c r="A1550" s="27">
        <v>46106</v>
      </c>
      <c r="B1550" s="27">
        <v>46106</v>
      </c>
      <c r="C1550" s="28">
        <v>66.67</v>
      </c>
      <c r="D1550" s="28">
        <v>0</v>
      </c>
      <c r="E1550" s="28"/>
      <c r="F1550" s="28" t="s">
        <v>4</v>
      </c>
      <c r="G1550" s="24">
        <v>0.97</v>
      </c>
      <c r="H1550" s="28" t="s">
        <v>49</v>
      </c>
      <c r="I1550" s="28" t="s">
        <v>1779</v>
      </c>
      <c r="J1550" s="28"/>
      <c r="K1550" s="28" t="s">
        <v>50</v>
      </c>
      <c r="L1550" s="28" t="s">
        <v>2482</v>
      </c>
      <c r="M1550" s="28"/>
    </row>
    <row r="1551" spans="1:13" x14ac:dyDescent="0.3">
      <c r="A1551" s="89">
        <v>46106</v>
      </c>
      <c r="B1551" s="89">
        <v>46106</v>
      </c>
      <c r="C1551" s="90">
        <v>10</v>
      </c>
      <c r="D1551" s="90">
        <v>0</v>
      </c>
      <c r="E1551" s="90" t="s">
        <v>1451</v>
      </c>
      <c r="F1551" s="90" t="s">
        <v>975</v>
      </c>
      <c r="G1551" s="39">
        <v>0.55000000000000004</v>
      </c>
      <c r="H1551" s="90" t="s">
        <v>91</v>
      </c>
      <c r="I1551" s="90" t="s">
        <v>1680</v>
      </c>
      <c r="J1551" s="90"/>
      <c r="K1551" s="90" t="s">
        <v>1630</v>
      </c>
      <c r="L1551" s="90" t="s">
        <v>2484</v>
      </c>
      <c r="M1551" s="90"/>
    </row>
    <row r="1552" spans="1:13" x14ac:dyDescent="0.3">
      <c r="A1552" s="25">
        <v>46106</v>
      </c>
      <c r="B1552" s="25">
        <v>46106</v>
      </c>
      <c r="C1552" s="26">
        <v>0</v>
      </c>
      <c r="D1552" s="26">
        <v>3362.11</v>
      </c>
      <c r="E1552" s="26"/>
      <c r="F1552" s="26" t="s">
        <v>3</v>
      </c>
      <c r="G1552" s="24">
        <v>0.93</v>
      </c>
      <c r="H1552" s="26" t="s">
        <v>49</v>
      </c>
      <c r="I1552" s="26" t="s">
        <v>1779</v>
      </c>
      <c r="J1552" s="26"/>
      <c r="K1552" s="26" t="s">
        <v>956</v>
      </c>
      <c r="L1552" s="26" t="s">
        <v>2482</v>
      </c>
      <c r="M1552" s="26"/>
    </row>
    <row r="1553" spans="1:13" x14ac:dyDescent="0.3">
      <c r="A1553" s="89">
        <v>46106</v>
      </c>
      <c r="B1553" s="89">
        <v>46106</v>
      </c>
      <c r="C1553" s="90">
        <v>30</v>
      </c>
      <c r="D1553" s="90">
        <v>0</v>
      </c>
      <c r="E1553" s="90" t="s">
        <v>1605</v>
      </c>
      <c r="F1553" s="90" t="s">
        <v>975</v>
      </c>
      <c r="G1553" s="39">
        <v>0.55000000000000004</v>
      </c>
      <c r="H1553" s="90" t="s">
        <v>91</v>
      </c>
      <c r="I1553" s="90" t="s">
        <v>1680</v>
      </c>
      <c r="J1553" s="90"/>
      <c r="K1553" s="90" t="s">
        <v>1629</v>
      </c>
      <c r="L1553" s="90" t="s">
        <v>2484</v>
      </c>
      <c r="M1553" s="90"/>
    </row>
    <row r="1554" spans="1:13" x14ac:dyDescent="0.3">
      <c r="A1554" s="101">
        <v>46106</v>
      </c>
      <c r="B1554" s="101">
        <v>46106</v>
      </c>
      <c r="C1554" s="102">
        <v>1000</v>
      </c>
      <c r="D1554" s="102">
        <v>0</v>
      </c>
      <c r="E1554" s="102"/>
      <c r="F1554" s="102" t="s">
        <v>976</v>
      </c>
      <c r="G1554" s="24">
        <v>0.85</v>
      </c>
      <c r="H1554" s="102" t="s">
        <v>1028</v>
      </c>
      <c r="I1554" s="102" t="s">
        <v>1680</v>
      </c>
      <c r="J1554" s="102"/>
      <c r="K1554" s="102" t="s">
        <v>1628</v>
      </c>
      <c r="L1554" s="102" t="s">
        <v>2484</v>
      </c>
      <c r="M1554" s="102"/>
    </row>
    <row r="1555" spans="1:13" x14ac:dyDescent="0.3">
      <c r="A1555" s="35">
        <v>46106</v>
      </c>
      <c r="B1555" s="35">
        <v>46106</v>
      </c>
      <c r="C1555" s="36">
        <v>82.6</v>
      </c>
      <c r="D1555" s="36">
        <v>0</v>
      </c>
      <c r="E1555" s="36"/>
      <c r="F1555" s="36" t="s">
        <v>9</v>
      </c>
      <c r="G1555" s="24">
        <v>0.93</v>
      </c>
      <c r="H1555" s="36" t="s">
        <v>9</v>
      </c>
      <c r="I1555" s="36" t="s">
        <v>1779</v>
      </c>
      <c r="J1555" s="36"/>
      <c r="K1555" s="36" t="s">
        <v>958</v>
      </c>
      <c r="L1555" s="36" t="s">
        <v>2482</v>
      </c>
      <c r="M1555" s="36"/>
    </row>
    <row r="1556" spans="1:13" x14ac:dyDescent="0.3">
      <c r="A1556" s="101">
        <v>46107</v>
      </c>
      <c r="B1556" s="101">
        <v>46107</v>
      </c>
      <c r="C1556" s="102">
        <v>1000</v>
      </c>
      <c r="D1556" s="102">
        <v>0</v>
      </c>
      <c r="E1556" s="102"/>
      <c r="F1556" s="102" t="s">
        <v>976</v>
      </c>
      <c r="G1556" s="24">
        <v>0.85</v>
      </c>
      <c r="H1556" s="102" t="s">
        <v>1028</v>
      </c>
      <c r="I1556" s="102" t="s">
        <v>1680</v>
      </c>
      <c r="J1556" s="102"/>
      <c r="K1556" s="102" t="s">
        <v>1631</v>
      </c>
      <c r="L1556" s="102" t="s">
        <v>2484</v>
      </c>
      <c r="M1556" s="102"/>
    </row>
    <row r="1557" spans="1:13" x14ac:dyDescent="0.3">
      <c r="A1557" s="25">
        <v>46108</v>
      </c>
      <c r="B1557" s="25">
        <v>46108</v>
      </c>
      <c r="C1557" s="26">
        <v>0</v>
      </c>
      <c r="D1557" s="26">
        <v>4188.87</v>
      </c>
      <c r="E1557" s="26"/>
      <c r="F1557" s="26" t="s">
        <v>3</v>
      </c>
      <c r="G1557" s="24">
        <v>0.93</v>
      </c>
      <c r="H1557" s="26" t="s">
        <v>49</v>
      </c>
      <c r="I1557" s="26" t="s">
        <v>1779</v>
      </c>
      <c r="J1557" s="26"/>
      <c r="K1557" s="26" t="s">
        <v>960</v>
      </c>
      <c r="L1557" s="26" t="s">
        <v>2482</v>
      </c>
      <c r="M1557" s="26"/>
    </row>
    <row r="1558" spans="1:13" x14ac:dyDescent="0.3">
      <c r="A1558" s="27">
        <v>46108</v>
      </c>
      <c r="B1558" s="27">
        <v>46108</v>
      </c>
      <c r="C1558" s="28">
        <v>4177.17</v>
      </c>
      <c r="D1558" s="28">
        <v>0</v>
      </c>
      <c r="E1558" s="28"/>
      <c r="F1558" s="28" t="s">
        <v>4</v>
      </c>
      <c r="G1558" s="24">
        <v>0.97</v>
      </c>
      <c r="H1558" s="28" t="s">
        <v>49</v>
      </c>
      <c r="I1558" s="28" t="s">
        <v>1779</v>
      </c>
      <c r="J1558" s="28"/>
      <c r="K1558" s="28" t="s">
        <v>50</v>
      </c>
      <c r="L1558" s="28" t="s">
        <v>2482</v>
      </c>
      <c r="M1558" s="28"/>
    </row>
    <row r="1559" spans="1:13" x14ac:dyDescent="0.3">
      <c r="A1559" s="27">
        <v>46108</v>
      </c>
      <c r="B1559" s="27">
        <v>46108</v>
      </c>
      <c r="C1559" s="28">
        <v>135.74</v>
      </c>
      <c r="D1559" s="28">
        <v>0</v>
      </c>
      <c r="E1559" s="28"/>
      <c r="F1559" s="28" t="s">
        <v>4</v>
      </c>
      <c r="G1559" s="24">
        <v>0.97</v>
      </c>
      <c r="H1559" s="28" t="s">
        <v>49</v>
      </c>
      <c r="I1559" s="28" t="s">
        <v>1779</v>
      </c>
      <c r="J1559" s="28"/>
      <c r="K1559" s="28" t="s">
        <v>50</v>
      </c>
      <c r="L1559" s="28" t="s">
        <v>2482</v>
      </c>
      <c r="M1559" s="28"/>
    </row>
    <row r="1560" spans="1:13" x14ac:dyDescent="0.3">
      <c r="A1560" s="101">
        <v>46108</v>
      </c>
      <c r="B1560" s="101">
        <v>46108</v>
      </c>
      <c r="C1560" s="102">
        <v>1000</v>
      </c>
      <c r="D1560" s="102">
        <v>0</v>
      </c>
      <c r="E1560" s="102"/>
      <c r="F1560" s="102" t="s">
        <v>976</v>
      </c>
      <c r="G1560" s="24">
        <v>0.85</v>
      </c>
      <c r="H1560" s="102" t="s">
        <v>1028</v>
      </c>
      <c r="I1560" s="102" t="s">
        <v>1680</v>
      </c>
      <c r="J1560" s="102"/>
      <c r="K1560" s="102" t="s">
        <v>1632</v>
      </c>
      <c r="L1560" s="102" t="s">
        <v>2484</v>
      </c>
      <c r="M1560" s="102"/>
    </row>
    <row r="1561" spans="1:13" x14ac:dyDescent="0.3">
      <c r="A1561" s="89">
        <v>46108</v>
      </c>
      <c r="B1561" s="89">
        <v>46108</v>
      </c>
      <c r="C1561" s="90">
        <v>178.5</v>
      </c>
      <c r="D1561" s="90">
        <v>0</v>
      </c>
      <c r="E1561" s="90" t="s">
        <v>1634</v>
      </c>
      <c r="F1561" s="90" t="s">
        <v>975</v>
      </c>
      <c r="G1561" s="39">
        <v>0.55000000000000004</v>
      </c>
      <c r="H1561" s="90" t="s">
        <v>91</v>
      </c>
      <c r="I1561" s="90" t="s">
        <v>1680</v>
      </c>
      <c r="J1561" s="90"/>
      <c r="K1561" s="90" t="s">
        <v>1633</v>
      </c>
      <c r="L1561" s="90" t="s">
        <v>2484</v>
      </c>
      <c r="M1561" s="90"/>
    </row>
    <row r="1562" spans="1:13" x14ac:dyDescent="0.3">
      <c r="A1562" s="89">
        <v>46108</v>
      </c>
      <c r="B1562" s="89">
        <v>46108</v>
      </c>
      <c r="C1562" s="90">
        <v>90</v>
      </c>
      <c r="D1562" s="90">
        <v>0</v>
      </c>
      <c r="E1562" s="90" t="s">
        <v>1433</v>
      </c>
      <c r="F1562" s="90" t="s">
        <v>975</v>
      </c>
      <c r="G1562" s="39">
        <v>0.55000000000000004</v>
      </c>
      <c r="H1562" s="90" t="s">
        <v>91</v>
      </c>
      <c r="I1562" s="90" t="s">
        <v>1680</v>
      </c>
      <c r="J1562" s="90"/>
      <c r="K1562" s="90" t="s">
        <v>1635</v>
      </c>
      <c r="L1562" s="90" t="s">
        <v>2484</v>
      </c>
      <c r="M1562" s="90"/>
    </row>
    <row r="1563" spans="1:13" x14ac:dyDescent="0.3">
      <c r="A1563" s="119">
        <v>46109</v>
      </c>
      <c r="B1563" s="119">
        <v>46109</v>
      </c>
      <c r="C1563" s="120">
        <v>50</v>
      </c>
      <c r="D1563" s="120">
        <v>0</v>
      </c>
      <c r="E1563" s="120"/>
      <c r="F1563" s="120" t="s">
        <v>1003</v>
      </c>
      <c r="G1563" s="40">
        <v>0.65</v>
      </c>
      <c r="H1563" s="120" t="s">
        <v>91</v>
      </c>
      <c r="I1563" s="120" t="s">
        <v>1680</v>
      </c>
      <c r="J1563" s="120"/>
      <c r="K1563" s="120" t="s">
        <v>1646</v>
      </c>
      <c r="L1563" s="120" t="s">
        <v>2484</v>
      </c>
      <c r="M1563" s="120"/>
    </row>
    <row r="1564" spans="1:13" x14ac:dyDescent="0.3">
      <c r="A1564" s="89">
        <v>46109</v>
      </c>
      <c r="B1564" s="89">
        <v>46109</v>
      </c>
      <c r="C1564" s="90">
        <v>50</v>
      </c>
      <c r="D1564" s="90">
        <v>0</v>
      </c>
      <c r="E1564" s="90" t="s">
        <v>1645</v>
      </c>
      <c r="F1564" s="90" t="s">
        <v>975</v>
      </c>
      <c r="G1564" s="39">
        <v>0.55000000000000004</v>
      </c>
      <c r="H1564" s="90" t="s">
        <v>91</v>
      </c>
      <c r="I1564" s="90" t="s">
        <v>1680</v>
      </c>
      <c r="J1564" s="90"/>
      <c r="K1564" s="90" t="s">
        <v>1644</v>
      </c>
      <c r="L1564" s="90" t="s">
        <v>2484</v>
      </c>
      <c r="M1564" s="90"/>
    </row>
    <row r="1565" spans="1:13" x14ac:dyDescent="0.3">
      <c r="A1565" s="89">
        <v>46109</v>
      </c>
      <c r="B1565" s="89">
        <v>46109</v>
      </c>
      <c r="C1565" s="90">
        <v>30</v>
      </c>
      <c r="D1565" s="90">
        <v>0</v>
      </c>
      <c r="E1565" s="90" t="s">
        <v>1643</v>
      </c>
      <c r="F1565" s="90" t="s">
        <v>975</v>
      </c>
      <c r="G1565" s="39">
        <v>0.55000000000000004</v>
      </c>
      <c r="H1565" s="90" t="s">
        <v>91</v>
      </c>
      <c r="I1565" s="90" t="s">
        <v>1680</v>
      </c>
      <c r="J1565" s="90"/>
      <c r="K1565" s="90" t="s">
        <v>1642</v>
      </c>
      <c r="L1565" s="90" t="s">
        <v>2484</v>
      </c>
      <c r="M1565" s="90"/>
    </row>
    <row r="1566" spans="1:13" x14ac:dyDescent="0.3">
      <c r="A1566" s="89">
        <v>46109</v>
      </c>
      <c r="B1566" s="89">
        <v>46109</v>
      </c>
      <c r="C1566" s="90">
        <v>60</v>
      </c>
      <c r="D1566" s="90">
        <v>0</v>
      </c>
      <c r="E1566" s="90" t="s">
        <v>1641</v>
      </c>
      <c r="F1566" s="90" t="s">
        <v>975</v>
      </c>
      <c r="G1566" s="39">
        <v>0.55000000000000004</v>
      </c>
      <c r="H1566" s="90" t="s">
        <v>91</v>
      </c>
      <c r="I1566" s="90" t="s">
        <v>1680</v>
      </c>
      <c r="J1566" s="90"/>
      <c r="K1566" s="90" t="s">
        <v>1640</v>
      </c>
      <c r="L1566" s="90" t="s">
        <v>2484</v>
      </c>
      <c r="M1566" s="90"/>
    </row>
    <row r="1567" spans="1:13" x14ac:dyDescent="0.3">
      <c r="A1567" s="101">
        <v>46109</v>
      </c>
      <c r="B1567" s="101">
        <v>46109</v>
      </c>
      <c r="C1567" s="102">
        <v>1647.78</v>
      </c>
      <c r="D1567" s="102">
        <v>0</v>
      </c>
      <c r="E1567" s="102"/>
      <c r="F1567" s="102" t="s">
        <v>976</v>
      </c>
      <c r="G1567" s="24">
        <v>0.85</v>
      </c>
      <c r="H1567" s="102" t="s">
        <v>1028</v>
      </c>
      <c r="I1567" s="102" t="s">
        <v>1680</v>
      </c>
      <c r="J1567" s="102"/>
      <c r="K1567" s="102" t="s">
        <v>1639</v>
      </c>
      <c r="L1567" s="102" t="s">
        <v>2484</v>
      </c>
      <c r="M1567" s="102"/>
    </row>
    <row r="1568" spans="1:13" x14ac:dyDescent="0.3">
      <c r="A1568" s="89">
        <v>46109</v>
      </c>
      <c r="B1568" s="89">
        <v>46109</v>
      </c>
      <c r="C1568" s="90">
        <v>61</v>
      </c>
      <c r="D1568" s="90">
        <v>0</v>
      </c>
      <c r="E1568" s="90" t="s">
        <v>1638</v>
      </c>
      <c r="F1568" s="90" t="s">
        <v>975</v>
      </c>
      <c r="G1568" s="39">
        <v>0.55000000000000004</v>
      </c>
      <c r="H1568" s="90" t="s">
        <v>91</v>
      </c>
      <c r="I1568" s="90" t="s">
        <v>1680</v>
      </c>
      <c r="J1568" s="90"/>
      <c r="K1568" s="90" t="s">
        <v>1637</v>
      </c>
      <c r="L1568" s="90" t="s">
        <v>2484</v>
      </c>
      <c r="M1568" s="90"/>
    </row>
    <row r="1569" spans="1:13" x14ac:dyDescent="0.3">
      <c r="A1569" s="89">
        <v>46109</v>
      </c>
      <c r="B1569" s="89">
        <v>46109</v>
      </c>
      <c r="C1569" s="90">
        <v>60</v>
      </c>
      <c r="D1569" s="90">
        <v>0</v>
      </c>
      <c r="E1569" s="90" t="s">
        <v>1801</v>
      </c>
      <c r="F1569" s="90" t="s">
        <v>975</v>
      </c>
      <c r="G1569" s="39">
        <v>0.55000000000000004</v>
      </c>
      <c r="H1569" s="90" t="s">
        <v>91</v>
      </c>
      <c r="I1569" s="90" t="s">
        <v>837</v>
      </c>
      <c r="J1569" s="90"/>
      <c r="K1569" s="90" t="s">
        <v>1800</v>
      </c>
      <c r="L1569" s="90" t="s">
        <v>2486</v>
      </c>
      <c r="M1569" s="90"/>
    </row>
    <row r="1570" spans="1:13" x14ac:dyDescent="0.3">
      <c r="A1570" s="146">
        <v>46109</v>
      </c>
      <c r="B1570" s="146">
        <v>46109</v>
      </c>
      <c r="C1570" s="147">
        <v>0</v>
      </c>
      <c r="D1570" s="147">
        <v>3</v>
      </c>
      <c r="E1570" s="147"/>
      <c r="F1570" s="147" t="s">
        <v>1675</v>
      </c>
      <c r="G1570" s="24">
        <v>0.88</v>
      </c>
      <c r="H1570" s="147" t="s">
        <v>1658</v>
      </c>
      <c r="I1570" s="147" t="s">
        <v>837</v>
      </c>
      <c r="J1570" s="147"/>
      <c r="K1570" s="147" t="s">
        <v>1802</v>
      </c>
      <c r="L1570" s="147" t="s">
        <v>2486</v>
      </c>
      <c r="M1570" s="147"/>
    </row>
    <row r="1571" spans="1:13" x14ac:dyDescent="0.3">
      <c r="A1571" s="146">
        <v>46109</v>
      </c>
      <c r="B1571" s="146">
        <v>46109</v>
      </c>
      <c r="C1571" s="147">
        <v>0</v>
      </c>
      <c r="D1571" s="147">
        <v>58</v>
      </c>
      <c r="E1571" s="147"/>
      <c r="F1571" s="147" t="s">
        <v>1678</v>
      </c>
      <c r="G1571" s="24">
        <v>0.88</v>
      </c>
      <c r="H1571" s="147" t="s">
        <v>1658</v>
      </c>
      <c r="I1571" s="147" t="s">
        <v>837</v>
      </c>
      <c r="J1571" s="147"/>
      <c r="K1571" s="147" t="s">
        <v>1803</v>
      </c>
      <c r="L1571" s="147" t="s">
        <v>2486</v>
      </c>
      <c r="M1571" s="147"/>
    </row>
    <row r="1572" spans="1:13" x14ac:dyDescent="0.3">
      <c r="A1572" s="101">
        <v>46109</v>
      </c>
      <c r="B1572" s="101">
        <v>46109</v>
      </c>
      <c r="C1572" s="102">
        <v>1000</v>
      </c>
      <c r="D1572" s="102">
        <v>0</v>
      </c>
      <c r="E1572" s="102"/>
      <c r="F1572" s="102" t="s">
        <v>976</v>
      </c>
      <c r="G1572" s="24">
        <v>0.85</v>
      </c>
      <c r="H1572" s="102" t="s">
        <v>1028</v>
      </c>
      <c r="I1572" s="102" t="s">
        <v>1680</v>
      </c>
      <c r="J1572" s="102"/>
      <c r="K1572" s="102" t="s">
        <v>1636</v>
      </c>
      <c r="L1572" s="102" t="s">
        <v>2484</v>
      </c>
      <c r="M1572" s="102"/>
    </row>
    <row r="1573" spans="1:13" x14ac:dyDescent="0.3">
      <c r="A1573" s="89">
        <v>46110</v>
      </c>
      <c r="B1573" s="89">
        <v>46110</v>
      </c>
      <c r="C1573" s="90">
        <v>15</v>
      </c>
      <c r="D1573" s="90">
        <v>0</v>
      </c>
      <c r="E1573" s="90" t="s">
        <v>1650</v>
      </c>
      <c r="F1573" s="90" t="s">
        <v>975</v>
      </c>
      <c r="G1573" s="39">
        <v>0.55000000000000004</v>
      </c>
      <c r="H1573" s="90" t="s">
        <v>91</v>
      </c>
      <c r="I1573" s="90" t="s">
        <v>1680</v>
      </c>
      <c r="J1573" s="90"/>
      <c r="K1573" s="90" t="s">
        <v>1649</v>
      </c>
      <c r="L1573" s="90" t="s">
        <v>2484</v>
      </c>
      <c r="M1573" s="90"/>
    </row>
    <row r="1574" spans="1:13" x14ac:dyDescent="0.3">
      <c r="A1574" s="89">
        <v>46110</v>
      </c>
      <c r="B1574" s="89">
        <v>46110</v>
      </c>
      <c r="C1574" s="90">
        <v>40</v>
      </c>
      <c r="D1574" s="90">
        <v>0</v>
      </c>
      <c r="E1574" s="90" t="s">
        <v>1648</v>
      </c>
      <c r="F1574" s="90" t="s">
        <v>975</v>
      </c>
      <c r="G1574" s="39">
        <v>0.55000000000000004</v>
      </c>
      <c r="H1574" s="90" t="s">
        <v>91</v>
      </c>
      <c r="I1574" s="90" t="s">
        <v>1680</v>
      </c>
      <c r="J1574" s="90"/>
      <c r="K1574" s="90" t="s">
        <v>1647</v>
      </c>
      <c r="L1574" s="90" t="s">
        <v>2484</v>
      </c>
      <c r="M1574" s="90"/>
    </row>
    <row r="1575" spans="1:13" x14ac:dyDescent="0.3">
      <c r="A1575" s="22">
        <v>46111</v>
      </c>
      <c r="B1575" s="22">
        <v>46111</v>
      </c>
      <c r="C1575" s="23">
        <v>5000</v>
      </c>
      <c r="D1575" s="23">
        <v>0</v>
      </c>
      <c r="E1575" s="23"/>
      <c r="F1575" s="23" t="s">
        <v>2</v>
      </c>
      <c r="G1575" s="24">
        <v>0.95</v>
      </c>
      <c r="H1575" s="23" t="s">
        <v>2</v>
      </c>
      <c r="I1575" s="23" t="s">
        <v>1779</v>
      </c>
      <c r="J1575" s="23"/>
      <c r="K1575" s="23" t="s">
        <v>964</v>
      </c>
      <c r="L1575" s="23" t="s">
        <v>2482</v>
      </c>
      <c r="M1575" s="23" t="s">
        <v>2485</v>
      </c>
    </row>
    <row r="1576" spans="1:13" x14ac:dyDescent="0.3">
      <c r="A1576" s="22">
        <v>46111</v>
      </c>
      <c r="B1576" s="22">
        <v>46111</v>
      </c>
      <c r="C1576" s="23">
        <v>5000</v>
      </c>
      <c r="D1576" s="23">
        <v>0</v>
      </c>
      <c r="E1576" s="23"/>
      <c r="F1576" s="23" t="s">
        <v>2</v>
      </c>
      <c r="G1576" s="24">
        <v>0.95</v>
      </c>
      <c r="H1576" s="23" t="s">
        <v>2</v>
      </c>
      <c r="I1576" s="23" t="s">
        <v>1779</v>
      </c>
      <c r="J1576" s="23"/>
      <c r="K1576" s="23" t="s">
        <v>966</v>
      </c>
      <c r="L1576" s="23" t="s">
        <v>2482</v>
      </c>
      <c r="M1576" s="23" t="s">
        <v>2485</v>
      </c>
    </row>
    <row r="1577" spans="1:13" x14ac:dyDescent="0.3">
      <c r="A1577" s="27">
        <v>46111</v>
      </c>
      <c r="B1577" s="27">
        <v>46111</v>
      </c>
      <c r="C1577" s="28">
        <v>203.61</v>
      </c>
      <c r="D1577" s="28">
        <v>0</v>
      </c>
      <c r="E1577" s="28"/>
      <c r="F1577" s="28" t="s">
        <v>4</v>
      </c>
      <c r="G1577" s="24">
        <v>0.97</v>
      </c>
      <c r="H1577" s="28" t="s">
        <v>49</v>
      </c>
      <c r="I1577" s="28" t="s">
        <v>1779</v>
      </c>
      <c r="J1577" s="28"/>
      <c r="K1577" s="28" t="s">
        <v>50</v>
      </c>
      <c r="L1577" s="28" t="s">
        <v>2482</v>
      </c>
      <c r="M1577" s="28"/>
    </row>
    <row r="1578" spans="1:13" x14ac:dyDescent="0.3">
      <c r="A1578" s="89">
        <v>46111</v>
      </c>
      <c r="B1578" s="89">
        <v>46111</v>
      </c>
      <c r="C1578" s="90">
        <v>150</v>
      </c>
      <c r="D1578" s="90">
        <v>0</v>
      </c>
      <c r="E1578" s="90" t="s">
        <v>1652</v>
      </c>
      <c r="F1578" s="90" t="s">
        <v>975</v>
      </c>
      <c r="G1578" s="39">
        <v>0.55000000000000004</v>
      </c>
      <c r="H1578" s="90" t="s">
        <v>91</v>
      </c>
      <c r="I1578" s="90" t="s">
        <v>1680</v>
      </c>
      <c r="J1578" s="90"/>
      <c r="K1578" s="90" t="s">
        <v>1651</v>
      </c>
      <c r="L1578" s="90" t="s">
        <v>2484</v>
      </c>
      <c r="M1578" s="90"/>
    </row>
    <row r="1579" spans="1:13" x14ac:dyDescent="0.3">
      <c r="A1579" s="142">
        <v>46111</v>
      </c>
      <c r="B1579" s="142">
        <v>46111</v>
      </c>
      <c r="C1579" s="143">
        <v>0</v>
      </c>
      <c r="D1579" s="143">
        <v>9041.73</v>
      </c>
      <c r="E1579" s="143"/>
      <c r="F1579" s="143" t="s">
        <v>1669</v>
      </c>
      <c r="G1579" s="24">
        <v>0.92</v>
      </c>
      <c r="H1579" s="143" t="s">
        <v>1658</v>
      </c>
      <c r="I1579" s="143" t="s">
        <v>837</v>
      </c>
      <c r="J1579" s="143"/>
      <c r="K1579" s="143" t="s">
        <v>1804</v>
      </c>
      <c r="L1579" s="143" t="s">
        <v>2486</v>
      </c>
      <c r="M1579" s="143"/>
    </row>
    <row r="1580" spans="1:13" x14ac:dyDescent="0.3">
      <c r="A1580" s="97">
        <v>46112</v>
      </c>
      <c r="B1580" s="97">
        <v>46112</v>
      </c>
      <c r="C1580" s="98">
        <v>2000</v>
      </c>
      <c r="D1580" s="98">
        <v>0</v>
      </c>
      <c r="E1580" s="98"/>
      <c r="F1580" s="98" t="s">
        <v>978</v>
      </c>
      <c r="G1580" s="24">
        <v>0.85</v>
      </c>
      <c r="H1580" s="98" t="s">
        <v>1031</v>
      </c>
      <c r="I1580" s="98" t="s">
        <v>1680</v>
      </c>
      <c r="J1580" s="98"/>
      <c r="K1580" s="98" t="s">
        <v>1653</v>
      </c>
      <c r="L1580" s="98" t="s">
        <v>2484</v>
      </c>
      <c r="M1580" s="98"/>
    </row>
    <row r="1581" spans="1:13" x14ac:dyDescent="0.3">
      <c r="A1581" s="85">
        <v>46112</v>
      </c>
      <c r="B1581" s="85">
        <v>46112</v>
      </c>
      <c r="C1581" s="86">
        <v>5000</v>
      </c>
      <c r="D1581" s="86">
        <v>0</v>
      </c>
      <c r="E1581" s="86"/>
      <c r="F1581" s="86" t="s">
        <v>974</v>
      </c>
      <c r="G1581" s="24">
        <v>0.88</v>
      </c>
      <c r="H1581" s="86" t="s">
        <v>1019</v>
      </c>
      <c r="I1581" s="86" t="s">
        <v>837</v>
      </c>
      <c r="J1581" s="86"/>
      <c r="K1581" s="86" t="s">
        <v>1805</v>
      </c>
      <c r="L1581" s="86" t="s">
        <v>2486</v>
      </c>
      <c r="M1581" s="86"/>
    </row>
    <row r="1582" spans="1:13" x14ac:dyDescent="0.3">
      <c r="A1582" s="55">
        <v>46112</v>
      </c>
      <c r="B1582" s="55">
        <v>46112</v>
      </c>
      <c r="C1582" s="56">
        <v>0</v>
      </c>
      <c r="D1582" s="56">
        <v>195</v>
      </c>
      <c r="E1582" s="56"/>
      <c r="F1582" s="56" t="s">
        <v>22</v>
      </c>
      <c r="G1582" s="24">
        <v>0.93</v>
      </c>
      <c r="H1582" s="56" t="s">
        <v>22</v>
      </c>
      <c r="I1582" s="56" t="s">
        <v>1680</v>
      </c>
      <c r="J1582" s="56"/>
      <c r="K1582" s="56" t="s">
        <v>1654</v>
      </c>
      <c r="L1582" s="56" t="s">
        <v>2484</v>
      </c>
      <c r="M1582" s="56"/>
    </row>
    <row r="1583" spans="1:13" x14ac:dyDescent="0.3">
      <c r="A1583" s="27">
        <v>46112</v>
      </c>
      <c r="B1583" s="27">
        <v>46112</v>
      </c>
      <c r="C1583" s="28">
        <v>1662.07</v>
      </c>
      <c r="D1583" s="28">
        <v>0</v>
      </c>
      <c r="E1583" s="28"/>
      <c r="F1583" s="28" t="s">
        <v>4</v>
      </c>
      <c r="G1583" s="24">
        <v>0.97</v>
      </c>
      <c r="H1583" s="28" t="s">
        <v>49</v>
      </c>
      <c r="I1583" s="28" t="s">
        <v>1779</v>
      </c>
      <c r="J1583" s="28"/>
      <c r="K1583" s="28" t="s">
        <v>50</v>
      </c>
      <c r="L1583" s="28" t="s">
        <v>2482</v>
      </c>
      <c r="M1583" s="28"/>
    </row>
    <row r="1584" spans="1:13" x14ac:dyDescent="0.3">
      <c r="A1584" s="27">
        <v>46112.857731481483</v>
      </c>
      <c r="B1584" s="27">
        <v>46112</v>
      </c>
      <c r="C1584" s="28">
        <v>0</v>
      </c>
      <c r="D1584" s="28">
        <v>5000</v>
      </c>
      <c r="E1584" s="28"/>
      <c r="F1584" s="28" t="s">
        <v>30</v>
      </c>
      <c r="G1584" s="24">
        <v>0.95</v>
      </c>
      <c r="H1584" s="28" t="s">
        <v>837</v>
      </c>
      <c r="I1584" s="28" t="s">
        <v>1019</v>
      </c>
      <c r="J1584" s="28"/>
      <c r="K1584" s="28" t="s">
        <v>2464</v>
      </c>
      <c r="L1584" s="28" t="s">
        <v>2483</v>
      </c>
      <c r="M1584" s="28"/>
    </row>
    <row r="1585" spans="1:13" x14ac:dyDescent="0.3">
      <c r="A1585" s="55">
        <v>46113</v>
      </c>
      <c r="B1585" s="55">
        <v>46112</v>
      </c>
      <c r="C1585" s="56">
        <v>0</v>
      </c>
      <c r="D1585" s="56">
        <v>162</v>
      </c>
      <c r="E1585" s="56"/>
      <c r="F1585" s="56" t="s">
        <v>22</v>
      </c>
      <c r="G1585" s="24">
        <v>0.95</v>
      </c>
      <c r="H1585" s="56" t="s">
        <v>22</v>
      </c>
      <c r="I1585" s="56" t="s">
        <v>1779</v>
      </c>
      <c r="J1585" s="56"/>
      <c r="K1585" s="56" t="s">
        <v>970</v>
      </c>
      <c r="L1585" s="56" t="s">
        <v>2482</v>
      </c>
      <c r="M1585" s="56"/>
    </row>
    <row r="1586" spans="1:13" x14ac:dyDescent="0.3">
      <c r="A1586" s="55">
        <v>46113.171793981477</v>
      </c>
      <c r="B1586" s="55">
        <v>46112</v>
      </c>
      <c r="C1586" s="56">
        <v>0</v>
      </c>
      <c r="D1586" s="56">
        <v>65</v>
      </c>
      <c r="E1586" s="56"/>
      <c r="F1586" s="56" t="s">
        <v>22</v>
      </c>
      <c r="G1586" s="24">
        <v>0.95</v>
      </c>
      <c r="H1586" s="56" t="s">
        <v>22</v>
      </c>
      <c r="I1586" s="56" t="s">
        <v>1019</v>
      </c>
      <c r="J1586" s="56"/>
      <c r="K1586" s="56" t="s">
        <v>2466</v>
      </c>
      <c r="L1586" s="56" t="s">
        <v>2483</v>
      </c>
      <c r="M1586" s="56"/>
    </row>
  </sheetData>
  <autoFilter ref="A25:M15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6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hidden="1" customWidth="1"/>
    <col min="2" max="2" width="50" customWidth="1"/>
    <col min="3" max="3" width="20" hidden="1" customWidth="1"/>
    <col min="4" max="5" width="14" customWidth="1"/>
    <col min="6" max="6" width="14" hidden="1" customWidth="1"/>
    <col min="7" max="7" width="22" customWidth="1"/>
    <col min="8" max="8" width="14" customWidth="1"/>
  </cols>
  <sheetData>
    <row r="1" spans="1:8" ht="15.6" x14ac:dyDescent="0.3">
      <c r="A1" s="159" t="s">
        <v>2488</v>
      </c>
    </row>
    <row r="2" spans="1:8" x14ac:dyDescent="0.3">
      <c r="A2" s="160" t="s">
        <v>2489</v>
      </c>
      <c r="D2">
        <f>SUM(D5:D1565)</f>
        <v>4127912.6999999983</v>
      </c>
      <c r="E2">
        <f>SUM(E5:E1565)</f>
        <v>4094424.7499999995</v>
      </c>
      <c r="F2">
        <f>E2-D2</f>
        <v>-33487.949999998789</v>
      </c>
    </row>
    <row r="4" spans="1:8" x14ac:dyDescent="0.3">
      <c r="A4" s="21" t="s">
        <v>2475</v>
      </c>
      <c r="B4" s="21" t="s">
        <v>32</v>
      </c>
      <c r="C4" s="21" t="s">
        <v>33</v>
      </c>
      <c r="D4" s="21" t="s">
        <v>35</v>
      </c>
      <c r="E4" s="21" t="s">
        <v>36</v>
      </c>
      <c r="F4" s="21" t="s">
        <v>37</v>
      </c>
      <c r="G4" s="21" t="s">
        <v>2477</v>
      </c>
      <c r="H4" s="21" t="s">
        <v>2478</v>
      </c>
    </row>
    <row r="5" spans="1:8" x14ac:dyDescent="0.3">
      <c r="A5" s="161">
        <v>45748</v>
      </c>
      <c r="B5" s="162" t="s">
        <v>44</v>
      </c>
      <c r="C5" s="162" t="s">
        <v>45</v>
      </c>
      <c r="D5" s="162">
        <v>5000</v>
      </c>
      <c r="E5" s="162">
        <v>0</v>
      </c>
      <c r="F5" s="162">
        <v>24321.48</v>
      </c>
      <c r="G5" s="162" t="s">
        <v>2</v>
      </c>
      <c r="H5" s="162" t="s">
        <v>1779</v>
      </c>
    </row>
    <row r="6" spans="1:8" x14ac:dyDescent="0.3">
      <c r="A6" s="161">
        <v>45748.456747685188</v>
      </c>
      <c r="B6" s="162" t="s">
        <v>1826</v>
      </c>
      <c r="C6" s="162" t="s">
        <v>1827</v>
      </c>
      <c r="D6" s="162">
        <v>121</v>
      </c>
      <c r="E6" s="162">
        <v>0</v>
      </c>
      <c r="F6" s="162">
        <v>1612.19</v>
      </c>
      <c r="G6" s="162" t="s">
        <v>91</v>
      </c>
      <c r="H6" s="162" t="s">
        <v>1019</v>
      </c>
    </row>
    <row r="7" spans="1:8" x14ac:dyDescent="0.3">
      <c r="A7" s="161">
        <v>45748.709328703713</v>
      </c>
      <c r="B7" s="162" t="s">
        <v>1829</v>
      </c>
      <c r="C7" s="162" t="s">
        <v>1830</v>
      </c>
      <c r="D7" s="162">
        <v>30</v>
      </c>
      <c r="E7" s="162">
        <v>0</v>
      </c>
      <c r="F7" s="162">
        <v>1582.19</v>
      </c>
      <c r="G7" s="162" t="s">
        <v>91</v>
      </c>
      <c r="H7" s="162" t="s">
        <v>1019</v>
      </c>
    </row>
    <row r="8" spans="1:8" x14ac:dyDescent="0.3">
      <c r="A8" s="161">
        <v>45749</v>
      </c>
      <c r="B8" s="162" t="s">
        <v>1009</v>
      </c>
      <c r="C8" s="162" t="s">
        <v>1005</v>
      </c>
      <c r="D8" s="162">
        <v>1</v>
      </c>
      <c r="E8" s="162">
        <v>0</v>
      </c>
      <c r="F8" s="162">
        <v>84251.03</v>
      </c>
      <c r="G8" s="162" t="s">
        <v>837</v>
      </c>
      <c r="H8" s="162" t="s">
        <v>1680</v>
      </c>
    </row>
    <row r="9" spans="1:8" x14ac:dyDescent="0.3">
      <c r="A9" s="161">
        <v>45749</v>
      </c>
      <c r="B9" s="162" t="s">
        <v>1010</v>
      </c>
      <c r="C9" s="162" t="s">
        <v>1005</v>
      </c>
      <c r="D9" s="162">
        <v>40000</v>
      </c>
      <c r="E9" s="162">
        <v>0</v>
      </c>
      <c r="F9" s="162">
        <v>44251.03</v>
      </c>
      <c r="G9" s="162" t="s">
        <v>837</v>
      </c>
      <c r="H9" s="162" t="s">
        <v>1680</v>
      </c>
    </row>
    <row r="10" spans="1:8" x14ac:dyDescent="0.3">
      <c r="A10" s="161">
        <v>45749</v>
      </c>
      <c r="B10" s="162" t="s">
        <v>1679</v>
      </c>
      <c r="C10" s="162"/>
      <c r="D10" s="162">
        <v>0</v>
      </c>
      <c r="E10" s="162">
        <v>1</v>
      </c>
      <c r="F10" s="162">
        <v>10987.03</v>
      </c>
      <c r="G10" s="162" t="s">
        <v>1680</v>
      </c>
      <c r="H10" s="162" t="s">
        <v>837</v>
      </c>
    </row>
    <row r="11" spans="1:8" x14ac:dyDescent="0.3">
      <c r="A11" s="161">
        <v>45749</v>
      </c>
      <c r="B11" s="162" t="s">
        <v>1681</v>
      </c>
      <c r="C11" s="162"/>
      <c r="D11" s="162">
        <v>0</v>
      </c>
      <c r="E11" s="162">
        <v>40000</v>
      </c>
      <c r="F11" s="162">
        <v>50987.03</v>
      </c>
      <c r="G11" s="162" t="s">
        <v>1680</v>
      </c>
      <c r="H11" s="162" t="s">
        <v>837</v>
      </c>
    </row>
    <row r="12" spans="1:8" x14ac:dyDescent="0.3">
      <c r="A12" s="161">
        <v>45749</v>
      </c>
      <c r="B12" s="162" t="s">
        <v>1682</v>
      </c>
      <c r="C12" s="162"/>
      <c r="D12" s="162">
        <v>23000</v>
      </c>
      <c r="E12" s="162">
        <v>0</v>
      </c>
      <c r="F12" s="162">
        <v>27987.03</v>
      </c>
      <c r="G12" s="162" t="s">
        <v>990</v>
      </c>
      <c r="H12" s="162" t="s">
        <v>837</v>
      </c>
    </row>
    <row r="13" spans="1:8" x14ac:dyDescent="0.3">
      <c r="A13" s="161">
        <v>45749</v>
      </c>
      <c r="B13" s="162" t="s">
        <v>1683</v>
      </c>
      <c r="C13" s="162"/>
      <c r="D13" s="162">
        <v>0</v>
      </c>
      <c r="E13" s="162">
        <v>1</v>
      </c>
      <c r="F13" s="162">
        <v>27988.03</v>
      </c>
      <c r="G13" s="162" t="s">
        <v>1680</v>
      </c>
      <c r="H13" s="162" t="s">
        <v>837</v>
      </c>
    </row>
    <row r="14" spans="1:8" x14ac:dyDescent="0.3">
      <c r="A14" s="161">
        <v>45749</v>
      </c>
      <c r="B14" s="162" t="s">
        <v>1684</v>
      </c>
      <c r="C14" s="162"/>
      <c r="D14" s="162">
        <v>3000</v>
      </c>
      <c r="E14" s="162">
        <v>0</v>
      </c>
      <c r="F14" s="162">
        <v>24988.03</v>
      </c>
      <c r="G14" s="162" t="s">
        <v>1028</v>
      </c>
      <c r="H14" s="162" t="s">
        <v>837</v>
      </c>
    </row>
    <row r="15" spans="1:8" x14ac:dyDescent="0.3">
      <c r="A15" s="161">
        <v>45749</v>
      </c>
      <c r="B15" s="162" t="s">
        <v>1685</v>
      </c>
      <c r="C15" s="162"/>
      <c r="D15" s="162">
        <v>2000</v>
      </c>
      <c r="E15" s="162">
        <v>0</v>
      </c>
      <c r="F15" s="162">
        <v>22988.03</v>
      </c>
      <c r="G15" s="162" t="s">
        <v>1031</v>
      </c>
      <c r="H15" s="162" t="s">
        <v>837</v>
      </c>
    </row>
    <row r="16" spans="1:8" x14ac:dyDescent="0.3">
      <c r="A16" s="161">
        <v>45749</v>
      </c>
      <c r="B16" s="162" t="s">
        <v>1686</v>
      </c>
      <c r="C16" s="162"/>
      <c r="D16" s="162">
        <v>2000</v>
      </c>
      <c r="E16" s="162">
        <v>0</v>
      </c>
      <c r="F16" s="162">
        <v>20988.03</v>
      </c>
      <c r="G16" s="162" t="s">
        <v>1028</v>
      </c>
      <c r="H16" s="162" t="s">
        <v>837</v>
      </c>
    </row>
    <row r="17" spans="1:8" x14ac:dyDescent="0.3">
      <c r="A17" s="161">
        <v>45749</v>
      </c>
      <c r="B17" s="162" t="s">
        <v>1687</v>
      </c>
      <c r="C17" s="162"/>
      <c r="D17" s="162">
        <v>2000</v>
      </c>
      <c r="E17" s="162">
        <v>0</v>
      </c>
      <c r="F17" s="162">
        <v>18988.03</v>
      </c>
      <c r="G17" s="162" t="s">
        <v>1028</v>
      </c>
      <c r="H17" s="162" t="s">
        <v>837</v>
      </c>
    </row>
    <row r="18" spans="1:8" x14ac:dyDescent="0.3">
      <c r="A18" s="161">
        <v>45749</v>
      </c>
      <c r="B18" s="162" t="s">
        <v>1007</v>
      </c>
      <c r="C18" s="162" t="s">
        <v>1005</v>
      </c>
      <c r="D18" s="162">
        <v>1</v>
      </c>
      <c r="E18" s="162">
        <v>0</v>
      </c>
      <c r="F18" s="162">
        <v>84252.03</v>
      </c>
      <c r="G18" s="162" t="s">
        <v>837</v>
      </c>
      <c r="H18" s="162" t="s">
        <v>1680</v>
      </c>
    </row>
    <row r="19" spans="1:8" x14ac:dyDescent="0.3">
      <c r="A19" s="161">
        <v>45749</v>
      </c>
      <c r="B19" s="162" t="s">
        <v>1004</v>
      </c>
      <c r="C19" s="162" t="s">
        <v>1005</v>
      </c>
      <c r="D19" s="162">
        <v>0</v>
      </c>
      <c r="E19" s="162">
        <v>66897</v>
      </c>
      <c r="F19" s="162">
        <v>84253.03</v>
      </c>
      <c r="G19" s="162" t="s">
        <v>972</v>
      </c>
      <c r="H19" s="162" t="s">
        <v>1680</v>
      </c>
    </row>
    <row r="20" spans="1:8" x14ac:dyDescent="0.3">
      <c r="A20" s="161">
        <v>45749</v>
      </c>
      <c r="B20" s="162" t="s">
        <v>47</v>
      </c>
      <c r="C20" s="162" t="s">
        <v>48</v>
      </c>
      <c r="D20" s="162">
        <v>0</v>
      </c>
      <c r="E20" s="162">
        <v>5239.8500000000004</v>
      </c>
      <c r="F20" s="162">
        <v>29561.33</v>
      </c>
      <c r="G20" s="162" t="s">
        <v>49</v>
      </c>
      <c r="H20" s="162" t="s">
        <v>1779</v>
      </c>
    </row>
    <row r="21" spans="1:8" x14ac:dyDescent="0.3">
      <c r="A21" s="161">
        <v>45749</v>
      </c>
      <c r="B21" s="162" t="s">
        <v>50</v>
      </c>
      <c r="C21" s="162" t="s">
        <v>52</v>
      </c>
      <c r="D21" s="162">
        <v>9081.73</v>
      </c>
      <c r="E21" s="162">
        <v>0</v>
      </c>
      <c r="F21" s="162">
        <v>20329.34</v>
      </c>
      <c r="G21" s="162" t="s">
        <v>49</v>
      </c>
      <c r="H21" s="162" t="s">
        <v>1779</v>
      </c>
    </row>
    <row r="22" spans="1:8" x14ac:dyDescent="0.3">
      <c r="A22" s="161">
        <v>45749</v>
      </c>
      <c r="B22" s="162" t="s">
        <v>50</v>
      </c>
      <c r="C22" s="162" t="s">
        <v>51</v>
      </c>
      <c r="D22" s="162">
        <v>150.26</v>
      </c>
      <c r="E22" s="162">
        <v>0</v>
      </c>
      <c r="F22" s="162">
        <v>29411.07</v>
      </c>
      <c r="G22" s="162" t="s">
        <v>49</v>
      </c>
      <c r="H22" s="162" t="s">
        <v>1779</v>
      </c>
    </row>
    <row r="23" spans="1:8" x14ac:dyDescent="0.3">
      <c r="A23" s="161">
        <v>45750</v>
      </c>
      <c r="B23" s="162" t="s">
        <v>53</v>
      </c>
      <c r="C23" s="162" t="s">
        <v>54</v>
      </c>
      <c r="D23" s="162">
        <v>0</v>
      </c>
      <c r="E23" s="162">
        <v>656.71</v>
      </c>
      <c r="F23" s="162">
        <v>20986.05</v>
      </c>
      <c r="G23" s="162" t="s">
        <v>49</v>
      </c>
      <c r="H23" s="162" t="s">
        <v>1779</v>
      </c>
    </row>
    <row r="24" spans="1:8" x14ac:dyDescent="0.3">
      <c r="A24" s="161">
        <v>45750</v>
      </c>
      <c r="B24" s="162" t="s">
        <v>50</v>
      </c>
      <c r="C24" s="162" t="s">
        <v>55</v>
      </c>
      <c r="D24" s="162">
        <v>134.41</v>
      </c>
      <c r="E24" s="162">
        <v>0</v>
      </c>
      <c r="F24" s="162">
        <v>20851.64</v>
      </c>
      <c r="G24" s="162" t="s">
        <v>49</v>
      </c>
      <c r="H24" s="162" t="s">
        <v>1779</v>
      </c>
    </row>
    <row r="25" spans="1:8" x14ac:dyDescent="0.3">
      <c r="A25" s="161">
        <v>45750</v>
      </c>
      <c r="B25" s="162" t="s">
        <v>1688</v>
      </c>
      <c r="C25" s="162"/>
      <c r="D25" s="162">
        <v>2000</v>
      </c>
      <c r="E25" s="162">
        <v>0</v>
      </c>
      <c r="F25" s="162">
        <v>16988.03</v>
      </c>
      <c r="G25" s="162" t="s">
        <v>1028</v>
      </c>
      <c r="H25" s="162" t="s">
        <v>837</v>
      </c>
    </row>
    <row r="26" spans="1:8" x14ac:dyDescent="0.3">
      <c r="A26" s="161">
        <v>45750</v>
      </c>
      <c r="B26" s="162" t="s">
        <v>1690</v>
      </c>
      <c r="C26" s="162"/>
      <c r="D26" s="162">
        <v>2360.8200000000002</v>
      </c>
      <c r="E26" s="162">
        <v>0</v>
      </c>
      <c r="F26" s="162">
        <v>12627.21</v>
      </c>
      <c r="G26" s="162" t="s">
        <v>1028</v>
      </c>
      <c r="H26" s="162" t="s">
        <v>837</v>
      </c>
    </row>
    <row r="27" spans="1:8" x14ac:dyDescent="0.3">
      <c r="A27" s="161">
        <v>45750</v>
      </c>
      <c r="B27" s="162" t="s">
        <v>1689</v>
      </c>
      <c r="C27" s="162"/>
      <c r="D27" s="162">
        <v>2000</v>
      </c>
      <c r="E27" s="162">
        <v>0</v>
      </c>
      <c r="F27" s="162">
        <v>14988.03</v>
      </c>
      <c r="G27" s="162" t="s">
        <v>1028</v>
      </c>
      <c r="H27" s="162" t="s">
        <v>837</v>
      </c>
    </row>
    <row r="28" spans="1:8" x14ac:dyDescent="0.3">
      <c r="A28" s="161">
        <v>45750.764594907407</v>
      </c>
      <c r="B28" s="162" t="s">
        <v>1832</v>
      </c>
      <c r="C28" s="162" t="s">
        <v>1833</v>
      </c>
      <c r="D28" s="162">
        <v>50</v>
      </c>
      <c r="E28" s="162">
        <v>0</v>
      </c>
      <c r="F28" s="162">
        <v>1532.19</v>
      </c>
      <c r="G28" s="162" t="s">
        <v>91</v>
      </c>
      <c r="H28" s="162" t="s">
        <v>1019</v>
      </c>
    </row>
    <row r="29" spans="1:8" x14ac:dyDescent="0.3">
      <c r="A29" s="161">
        <v>45750.948738425926</v>
      </c>
      <c r="B29" s="162" t="s">
        <v>1835</v>
      </c>
      <c r="C29" s="162" t="s">
        <v>1836</v>
      </c>
      <c r="D29" s="162">
        <v>0</v>
      </c>
      <c r="E29" s="162">
        <v>66.739999999999995</v>
      </c>
      <c r="F29" s="162">
        <v>1598.93</v>
      </c>
      <c r="G29" s="162" t="s">
        <v>1658</v>
      </c>
      <c r="H29" s="162" t="s">
        <v>1019</v>
      </c>
    </row>
    <row r="30" spans="1:8" x14ac:dyDescent="0.3">
      <c r="A30" s="161">
        <v>45751</v>
      </c>
      <c r="B30" s="162" t="s">
        <v>56</v>
      </c>
      <c r="C30" s="162" t="s">
        <v>57</v>
      </c>
      <c r="D30" s="162">
        <v>0</v>
      </c>
      <c r="E30" s="162">
        <v>10041.41</v>
      </c>
      <c r="F30" s="162">
        <v>30893.05</v>
      </c>
      <c r="G30" s="162" t="s">
        <v>49</v>
      </c>
      <c r="H30" s="162" t="s">
        <v>1779</v>
      </c>
    </row>
    <row r="31" spans="1:8" x14ac:dyDescent="0.3">
      <c r="A31" s="161">
        <v>45751</v>
      </c>
      <c r="B31" s="162" t="s">
        <v>50</v>
      </c>
      <c r="C31" s="162" t="s">
        <v>58</v>
      </c>
      <c r="D31" s="162">
        <v>115.2</v>
      </c>
      <c r="E31" s="162">
        <v>0</v>
      </c>
      <c r="F31" s="162">
        <v>30777.85</v>
      </c>
      <c r="G31" s="162" t="s">
        <v>49</v>
      </c>
      <c r="H31" s="162" t="s">
        <v>1779</v>
      </c>
    </row>
    <row r="32" spans="1:8" x14ac:dyDescent="0.3">
      <c r="A32" s="161">
        <v>45751</v>
      </c>
      <c r="B32" s="162" t="s">
        <v>59</v>
      </c>
      <c r="C32" s="162" t="s">
        <v>60</v>
      </c>
      <c r="D32" s="162">
        <v>0</v>
      </c>
      <c r="E32" s="162">
        <v>6146.26</v>
      </c>
      <c r="F32" s="162">
        <v>36924.11</v>
      </c>
      <c r="G32" s="162" t="s">
        <v>49</v>
      </c>
      <c r="H32" s="162" t="s">
        <v>1779</v>
      </c>
    </row>
    <row r="33" spans="1:8" x14ac:dyDescent="0.3">
      <c r="A33" s="161">
        <v>45751</v>
      </c>
      <c r="B33" s="162" t="s">
        <v>1691</v>
      </c>
      <c r="C33" s="162"/>
      <c r="D33" s="162">
        <v>210</v>
      </c>
      <c r="E33" s="162">
        <v>0</v>
      </c>
      <c r="F33" s="162">
        <v>12417.21</v>
      </c>
      <c r="G33" s="162" t="s">
        <v>91</v>
      </c>
      <c r="H33" s="162" t="s">
        <v>837</v>
      </c>
    </row>
    <row r="34" spans="1:8" x14ac:dyDescent="0.3">
      <c r="A34" s="161">
        <v>45751.957303240742</v>
      </c>
      <c r="B34" s="162" t="s">
        <v>1837</v>
      </c>
      <c r="C34" s="162" t="s">
        <v>1838</v>
      </c>
      <c r="D34" s="162">
        <v>285</v>
      </c>
      <c r="E34" s="162">
        <v>0</v>
      </c>
      <c r="F34" s="162">
        <v>1313.93</v>
      </c>
      <c r="G34" s="162" t="s">
        <v>91</v>
      </c>
      <c r="H34" s="162" t="s">
        <v>1019</v>
      </c>
    </row>
    <row r="35" spans="1:8" x14ac:dyDescent="0.3">
      <c r="A35" s="161">
        <v>45752</v>
      </c>
      <c r="B35" s="162" t="s">
        <v>1692</v>
      </c>
      <c r="C35" s="162"/>
      <c r="D35" s="162">
        <v>60</v>
      </c>
      <c r="E35" s="162">
        <v>0</v>
      </c>
      <c r="F35" s="162">
        <v>12357.21</v>
      </c>
      <c r="G35" s="162" t="s">
        <v>131</v>
      </c>
      <c r="H35" s="162" t="s">
        <v>837</v>
      </c>
    </row>
    <row r="36" spans="1:8" x14ac:dyDescent="0.3">
      <c r="A36" s="161">
        <v>45752.34138888889</v>
      </c>
      <c r="B36" s="162" t="s">
        <v>1840</v>
      </c>
      <c r="C36" s="162" t="s">
        <v>1841</v>
      </c>
      <c r="D36" s="162">
        <v>0</v>
      </c>
      <c r="E36" s="162">
        <v>4213.71</v>
      </c>
      <c r="F36" s="162">
        <v>5527.64</v>
      </c>
      <c r="G36" s="162" t="s">
        <v>1735</v>
      </c>
      <c r="H36" s="162" t="s">
        <v>1019</v>
      </c>
    </row>
    <row r="37" spans="1:8" x14ac:dyDescent="0.3">
      <c r="A37" s="161">
        <v>45752.781377314823</v>
      </c>
      <c r="B37" s="162" t="s">
        <v>1842</v>
      </c>
      <c r="C37" s="162" t="s">
        <v>1843</v>
      </c>
      <c r="D37" s="162">
        <v>210</v>
      </c>
      <c r="E37" s="162">
        <v>0</v>
      </c>
      <c r="F37" s="162">
        <v>5317.64</v>
      </c>
      <c r="G37" s="162" t="s">
        <v>91</v>
      </c>
      <c r="H37" s="162" t="s">
        <v>1019</v>
      </c>
    </row>
    <row r="38" spans="1:8" x14ac:dyDescent="0.3">
      <c r="A38" s="161">
        <v>45753.756296296298</v>
      </c>
      <c r="B38" s="162" t="s">
        <v>1845</v>
      </c>
      <c r="C38" s="162" t="s">
        <v>1846</v>
      </c>
      <c r="D38" s="162">
        <v>30</v>
      </c>
      <c r="E38" s="162">
        <v>0</v>
      </c>
      <c r="F38" s="162">
        <v>5287.64</v>
      </c>
      <c r="G38" s="162" t="s">
        <v>91</v>
      </c>
      <c r="H38" s="162" t="s">
        <v>1019</v>
      </c>
    </row>
    <row r="39" spans="1:8" x14ac:dyDescent="0.3">
      <c r="A39" s="161">
        <v>45754</v>
      </c>
      <c r="B39" s="162" t="s">
        <v>50</v>
      </c>
      <c r="C39" s="162" t="s">
        <v>64</v>
      </c>
      <c r="D39" s="162">
        <v>323.04000000000002</v>
      </c>
      <c r="E39" s="162">
        <v>0</v>
      </c>
      <c r="F39" s="162">
        <v>38481.07</v>
      </c>
      <c r="G39" s="162" t="s">
        <v>49</v>
      </c>
      <c r="H39" s="162" t="s">
        <v>1779</v>
      </c>
    </row>
    <row r="40" spans="1:8" x14ac:dyDescent="0.3">
      <c r="A40" s="161">
        <v>45754</v>
      </c>
      <c r="B40" s="162" t="s">
        <v>61</v>
      </c>
      <c r="C40" s="162" t="s">
        <v>62</v>
      </c>
      <c r="D40" s="162">
        <v>0</v>
      </c>
      <c r="E40" s="162">
        <v>1880</v>
      </c>
      <c r="F40" s="162">
        <v>38804.11</v>
      </c>
      <c r="G40" s="162" t="s">
        <v>63</v>
      </c>
      <c r="H40" s="162" t="s">
        <v>1779</v>
      </c>
    </row>
    <row r="41" spans="1:8" x14ac:dyDescent="0.3">
      <c r="A41" s="161">
        <v>45754</v>
      </c>
      <c r="B41" s="162" t="s">
        <v>50</v>
      </c>
      <c r="C41" s="162" t="s">
        <v>65</v>
      </c>
      <c r="D41" s="162">
        <v>6242.17</v>
      </c>
      <c r="E41" s="162">
        <v>0</v>
      </c>
      <c r="F41" s="162">
        <v>32238.9</v>
      </c>
      <c r="G41" s="162" t="s">
        <v>49</v>
      </c>
      <c r="H41" s="162" t="s">
        <v>1779</v>
      </c>
    </row>
    <row r="42" spans="1:8" x14ac:dyDescent="0.3">
      <c r="A42" s="161">
        <v>45755</v>
      </c>
      <c r="B42" s="162" t="s">
        <v>50</v>
      </c>
      <c r="C42" s="162" t="s">
        <v>69</v>
      </c>
      <c r="D42" s="162">
        <v>8913.0300000000007</v>
      </c>
      <c r="E42" s="162">
        <v>0</v>
      </c>
      <c r="F42" s="162">
        <v>22938.3</v>
      </c>
      <c r="G42" s="162" t="s">
        <v>49</v>
      </c>
      <c r="H42" s="162" t="s">
        <v>1779</v>
      </c>
    </row>
    <row r="43" spans="1:8" x14ac:dyDescent="0.3">
      <c r="A43" s="161">
        <v>45755</v>
      </c>
      <c r="B43" s="162" t="s">
        <v>66</v>
      </c>
      <c r="C43" s="162" t="s">
        <v>67</v>
      </c>
      <c r="D43" s="162">
        <v>295</v>
      </c>
      <c r="E43" s="162">
        <v>0</v>
      </c>
      <c r="F43" s="162">
        <v>31943.9</v>
      </c>
      <c r="G43" s="162" t="s">
        <v>7</v>
      </c>
      <c r="H43" s="162" t="s">
        <v>1779</v>
      </c>
    </row>
    <row r="44" spans="1:8" x14ac:dyDescent="0.3">
      <c r="A44" s="161">
        <v>45755</v>
      </c>
      <c r="B44" s="162" t="s">
        <v>50</v>
      </c>
      <c r="C44" s="162" t="s">
        <v>68</v>
      </c>
      <c r="D44" s="162">
        <v>92.57</v>
      </c>
      <c r="E44" s="162">
        <v>0</v>
      </c>
      <c r="F44" s="162">
        <v>31851.33</v>
      </c>
      <c r="G44" s="162" t="s">
        <v>49</v>
      </c>
      <c r="H44" s="162" t="s">
        <v>1779</v>
      </c>
    </row>
    <row r="45" spans="1:8" x14ac:dyDescent="0.3">
      <c r="A45" s="161">
        <v>45755</v>
      </c>
      <c r="B45" s="162" t="s">
        <v>50</v>
      </c>
      <c r="C45" s="162" t="s">
        <v>70</v>
      </c>
      <c r="D45" s="162">
        <v>1241.9100000000001</v>
      </c>
      <c r="E45" s="162">
        <v>0</v>
      </c>
      <c r="F45" s="162">
        <v>21696.39</v>
      </c>
      <c r="G45" s="162" t="s">
        <v>49</v>
      </c>
      <c r="H45" s="162" t="s">
        <v>1779</v>
      </c>
    </row>
    <row r="46" spans="1:8" x14ac:dyDescent="0.3">
      <c r="A46" s="161">
        <v>45756</v>
      </c>
      <c r="B46" s="162" t="s">
        <v>50</v>
      </c>
      <c r="C46" s="162" t="s">
        <v>71</v>
      </c>
      <c r="D46" s="162">
        <v>88.96</v>
      </c>
      <c r="E46" s="162">
        <v>0</v>
      </c>
      <c r="F46" s="162">
        <v>21607.43</v>
      </c>
      <c r="G46" s="162" t="s">
        <v>49</v>
      </c>
      <c r="H46" s="162" t="s">
        <v>1779</v>
      </c>
    </row>
    <row r="47" spans="1:8" x14ac:dyDescent="0.3">
      <c r="A47" s="161">
        <v>45756</v>
      </c>
      <c r="B47" s="162" t="s">
        <v>50</v>
      </c>
      <c r="C47" s="162" t="s">
        <v>72</v>
      </c>
      <c r="D47" s="162">
        <v>1969.84</v>
      </c>
      <c r="E47" s="162">
        <v>0</v>
      </c>
      <c r="F47" s="162">
        <v>19637.59</v>
      </c>
      <c r="G47" s="162" t="s">
        <v>49</v>
      </c>
      <c r="H47" s="162" t="s">
        <v>1779</v>
      </c>
    </row>
    <row r="48" spans="1:8" x14ac:dyDescent="0.3">
      <c r="A48" s="161">
        <v>45757</v>
      </c>
      <c r="B48" s="162" t="s">
        <v>1013</v>
      </c>
      <c r="C48" s="162" t="s">
        <v>1005</v>
      </c>
      <c r="D48" s="162">
        <v>5704.5</v>
      </c>
      <c r="E48" s="162">
        <v>0</v>
      </c>
      <c r="F48" s="162">
        <v>38546.53</v>
      </c>
      <c r="G48" s="162" t="s">
        <v>1014</v>
      </c>
      <c r="H48" s="162" t="s">
        <v>1680</v>
      </c>
    </row>
    <row r="49" spans="1:8" x14ac:dyDescent="0.3">
      <c r="A49" s="161">
        <v>45758</v>
      </c>
      <c r="B49" s="162" t="s">
        <v>1693</v>
      </c>
      <c r="C49" s="162"/>
      <c r="D49" s="162">
        <v>279</v>
      </c>
      <c r="E49" s="162">
        <v>0</v>
      </c>
      <c r="F49" s="162">
        <v>12078.21</v>
      </c>
      <c r="G49" s="162" t="s">
        <v>91</v>
      </c>
      <c r="H49" s="162" t="s">
        <v>837</v>
      </c>
    </row>
    <row r="50" spans="1:8" x14ac:dyDescent="0.3">
      <c r="A50" s="161">
        <v>45758</v>
      </c>
      <c r="B50" s="162" t="s">
        <v>50</v>
      </c>
      <c r="C50" s="162" t="s">
        <v>73</v>
      </c>
      <c r="D50" s="162">
        <v>192.16</v>
      </c>
      <c r="E50" s="162">
        <v>0</v>
      </c>
      <c r="F50" s="162">
        <v>19445.43</v>
      </c>
      <c r="G50" s="162" t="s">
        <v>49</v>
      </c>
      <c r="H50" s="162" t="s">
        <v>1779</v>
      </c>
    </row>
    <row r="51" spans="1:8" x14ac:dyDescent="0.3">
      <c r="A51" s="161">
        <v>45758</v>
      </c>
      <c r="B51" s="162" t="s">
        <v>1696</v>
      </c>
      <c r="C51" s="162"/>
      <c r="D51" s="162">
        <v>10</v>
      </c>
      <c r="E51" s="162">
        <v>0</v>
      </c>
      <c r="F51" s="162">
        <v>12347.21</v>
      </c>
      <c r="G51" s="162" t="s">
        <v>1031</v>
      </c>
      <c r="H51" s="162" t="s">
        <v>837</v>
      </c>
    </row>
    <row r="52" spans="1:8" x14ac:dyDescent="0.3">
      <c r="A52" s="161">
        <v>45758</v>
      </c>
      <c r="B52" s="162" t="s">
        <v>1695</v>
      </c>
      <c r="C52" s="162"/>
      <c r="D52" s="162">
        <v>0</v>
      </c>
      <c r="E52" s="162">
        <v>279</v>
      </c>
      <c r="F52" s="162">
        <v>12357.21</v>
      </c>
      <c r="G52" s="162" t="s">
        <v>1658</v>
      </c>
      <c r="H52" s="162" t="s">
        <v>837</v>
      </c>
    </row>
    <row r="53" spans="1:8" x14ac:dyDescent="0.3">
      <c r="A53" s="161">
        <v>45758.421805555547</v>
      </c>
      <c r="B53" s="162" t="s">
        <v>1848</v>
      </c>
      <c r="C53" s="162" t="s">
        <v>1849</v>
      </c>
      <c r="D53" s="162">
        <v>0</v>
      </c>
      <c r="E53" s="162">
        <v>501</v>
      </c>
      <c r="F53" s="162">
        <v>5788.64</v>
      </c>
      <c r="G53" s="162" t="s">
        <v>606</v>
      </c>
      <c r="H53" s="162" t="s">
        <v>1019</v>
      </c>
    </row>
    <row r="54" spans="1:8" x14ac:dyDescent="0.3">
      <c r="A54" s="161">
        <v>45758.845891203702</v>
      </c>
      <c r="B54" s="162" t="s">
        <v>1850</v>
      </c>
      <c r="C54" s="162" t="s">
        <v>1851</v>
      </c>
      <c r="D54" s="162">
        <v>279</v>
      </c>
      <c r="E54" s="162">
        <v>0</v>
      </c>
      <c r="F54" s="162">
        <v>5509.64</v>
      </c>
      <c r="G54" s="162" t="s">
        <v>91</v>
      </c>
      <c r="H54" s="162" t="s">
        <v>1019</v>
      </c>
    </row>
    <row r="55" spans="1:8" x14ac:dyDescent="0.3">
      <c r="A55" s="161">
        <v>45758.845902777779</v>
      </c>
      <c r="B55" s="162" t="s">
        <v>1852</v>
      </c>
      <c r="C55" s="162" t="s">
        <v>1851</v>
      </c>
      <c r="D55" s="162">
        <v>0</v>
      </c>
      <c r="E55" s="162">
        <v>279</v>
      </c>
      <c r="F55" s="162">
        <v>5788.64</v>
      </c>
      <c r="G55" s="162" t="s">
        <v>91</v>
      </c>
      <c r="H55" s="162" t="s">
        <v>1019</v>
      </c>
    </row>
    <row r="56" spans="1:8" x14ac:dyDescent="0.3">
      <c r="A56" s="161">
        <v>45758.846342592587</v>
      </c>
      <c r="B56" s="162" t="s">
        <v>1853</v>
      </c>
      <c r="C56" s="162" t="s">
        <v>1854</v>
      </c>
      <c r="D56" s="162">
        <v>279</v>
      </c>
      <c r="E56" s="162">
        <v>0</v>
      </c>
      <c r="F56" s="162">
        <v>5509.64</v>
      </c>
      <c r="G56" s="162" t="s">
        <v>91</v>
      </c>
      <c r="H56" s="162" t="s">
        <v>1019</v>
      </c>
    </row>
    <row r="57" spans="1:8" x14ac:dyDescent="0.3">
      <c r="A57" s="161">
        <v>45758.846354166657</v>
      </c>
      <c r="B57" s="162" t="s">
        <v>1855</v>
      </c>
      <c r="C57" s="162" t="s">
        <v>1854</v>
      </c>
      <c r="D57" s="162">
        <v>0</v>
      </c>
      <c r="E57" s="162">
        <v>279</v>
      </c>
      <c r="F57" s="162">
        <v>5788.64</v>
      </c>
      <c r="G57" s="162" t="s">
        <v>91</v>
      </c>
      <c r="H57" s="162" t="s">
        <v>1019</v>
      </c>
    </row>
    <row r="58" spans="1:8" x14ac:dyDescent="0.3">
      <c r="A58" s="161">
        <v>45758.949432870373</v>
      </c>
      <c r="B58" s="162" t="s">
        <v>1856</v>
      </c>
      <c r="C58" s="162" t="s">
        <v>1857</v>
      </c>
      <c r="D58" s="162">
        <v>1500</v>
      </c>
      <c r="E58" s="162">
        <v>0</v>
      </c>
      <c r="F58" s="162">
        <v>4288.6400000000003</v>
      </c>
      <c r="G58" s="162" t="s">
        <v>1028</v>
      </c>
      <c r="H58" s="162" t="s">
        <v>1019</v>
      </c>
    </row>
    <row r="59" spans="1:8" x14ac:dyDescent="0.3">
      <c r="A59" s="161">
        <v>45762</v>
      </c>
      <c r="B59" s="162" t="s">
        <v>50</v>
      </c>
      <c r="C59" s="162" t="s">
        <v>80</v>
      </c>
      <c r="D59" s="162">
        <v>5463.17</v>
      </c>
      <c r="E59" s="162">
        <v>0</v>
      </c>
      <c r="F59" s="162">
        <v>15795.42</v>
      </c>
      <c r="G59" s="162" t="s">
        <v>49</v>
      </c>
      <c r="H59" s="162" t="s">
        <v>1779</v>
      </c>
    </row>
    <row r="60" spans="1:8" x14ac:dyDescent="0.3">
      <c r="A60" s="161">
        <v>45762</v>
      </c>
      <c r="B60" s="162" t="s">
        <v>1697</v>
      </c>
      <c r="C60" s="162"/>
      <c r="D60" s="162">
        <v>40</v>
      </c>
      <c r="E60" s="162">
        <v>0</v>
      </c>
      <c r="F60" s="162">
        <v>12307.21</v>
      </c>
      <c r="G60" s="162" t="s">
        <v>91</v>
      </c>
      <c r="H60" s="162" t="s">
        <v>837</v>
      </c>
    </row>
    <row r="61" spans="1:8" x14ac:dyDescent="0.3">
      <c r="A61" s="161">
        <v>45762</v>
      </c>
      <c r="B61" s="162" t="s">
        <v>74</v>
      </c>
      <c r="C61" s="162" t="s">
        <v>75</v>
      </c>
      <c r="D61" s="162">
        <v>0</v>
      </c>
      <c r="E61" s="162">
        <v>2697.48</v>
      </c>
      <c r="F61" s="162">
        <v>22142.91</v>
      </c>
      <c r="G61" s="162" t="s">
        <v>49</v>
      </c>
      <c r="H61" s="162" t="s">
        <v>1779</v>
      </c>
    </row>
    <row r="62" spans="1:8" x14ac:dyDescent="0.3">
      <c r="A62" s="161">
        <v>45762</v>
      </c>
      <c r="B62" s="162" t="s">
        <v>77</v>
      </c>
      <c r="C62" s="162" t="s">
        <v>78</v>
      </c>
      <c r="D62" s="162">
        <v>500</v>
      </c>
      <c r="E62" s="162">
        <v>0</v>
      </c>
      <c r="F62" s="162">
        <v>21258.59</v>
      </c>
      <c r="G62" s="162" t="s">
        <v>79</v>
      </c>
      <c r="H62" s="162" t="s">
        <v>1779</v>
      </c>
    </row>
    <row r="63" spans="1:8" x14ac:dyDescent="0.3">
      <c r="A63" s="161">
        <v>45762</v>
      </c>
      <c r="B63" s="162" t="s">
        <v>50</v>
      </c>
      <c r="C63" s="162" t="s">
        <v>76</v>
      </c>
      <c r="D63" s="162">
        <v>384.32</v>
      </c>
      <c r="E63" s="162">
        <v>0</v>
      </c>
      <c r="F63" s="162">
        <v>21758.59</v>
      </c>
      <c r="G63" s="162" t="s">
        <v>49</v>
      </c>
      <c r="H63" s="162" t="s">
        <v>1779</v>
      </c>
    </row>
    <row r="64" spans="1:8" x14ac:dyDescent="0.3">
      <c r="A64" s="161">
        <v>45762.39880787037</v>
      </c>
      <c r="B64" s="162" t="s">
        <v>1858</v>
      </c>
      <c r="C64" s="162" t="s">
        <v>1859</v>
      </c>
      <c r="D64" s="162">
        <v>1500</v>
      </c>
      <c r="E64" s="162">
        <v>0</v>
      </c>
      <c r="F64" s="162">
        <v>2788.64</v>
      </c>
      <c r="G64" s="162" t="s">
        <v>1860</v>
      </c>
      <c r="H64" s="162" t="s">
        <v>1019</v>
      </c>
    </row>
    <row r="65" spans="1:8" x14ac:dyDescent="0.3">
      <c r="A65" s="161">
        <v>45763</v>
      </c>
      <c r="B65" s="162" t="s">
        <v>1699</v>
      </c>
      <c r="C65" s="162"/>
      <c r="D65" s="162">
        <v>0</v>
      </c>
      <c r="E65" s="162">
        <v>25000</v>
      </c>
      <c r="F65" s="162">
        <v>37307.21</v>
      </c>
      <c r="G65" s="162" t="s">
        <v>1680</v>
      </c>
      <c r="H65" s="162" t="s">
        <v>837</v>
      </c>
    </row>
    <row r="66" spans="1:8" x14ac:dyDescent="0.3">
      <c r="A66" s="161">
        <v>45763</v>
      </c>
      <c r="B66" s="162" t="s">
        <v>1700</v>
      </c>
      <c r="C66" s="162"/>
      <c r="D66" s="162">
        <v>25000</v>
      </c>
      <c r="E66" s="162">
        <v>0</v>
      </c>
      <c r="F66" s="162">
        <v>12307.21</v>
      </c>
      <c r="G66" s="162" t="s">
        <v>1701</v>
      </c>
      <c r="H66" s="162" t="s">
        <v>837</v>
      </c>
    </row>
    <row r="67" spans="1:8" x14ac:dyDescent="0.3">
      <c r="A67" s="161">
        <v>45763</v>
      </c>
      <c r="B67" s="162" t="s">
        <v>82</v>
      </c>
      <c r="C67" s="162" t="s">
        <v>83</v>
      </c>
      <c r="D67" s="162">
        <v>531</v>
      </c>
      <c r="E67" s="162">
        <v>0</v>
      </c>
      <c r="F67" s="162">
        <v>15169.33</v>
      </c>
      <c r="G67" s="162" t="s">
        <v>9</v>
      </c>
      <c r="H67" s="162" t="s">
        <v>1779</v>
      </c>
    </row>
    <row r="68" spans="1:8" x14ac:dyDescent="0.3">
      <c r="A68" s="161">
        <v>45763</v>
      </c>
      <c r="B68" s="162" t="s">
        <v>50</v>
      </c>
      <c r="C68" s="162" t="s">
        <v>81</v>
      </c>
      <c r="D68" s="162">
        <v>95.09</v>
      </c>
      <c r="E68" s="162">
        <v>0</v>
      </c>
      <c r="F68" s="162">
        <v>15700.33</v>
      </c>
      <c r="G68" s="162" t="s">
        <v>49</v>
      </c>
      <c r="H68" s="162" t="s">
        <v>1779</v>
      </c>
    </row>
    <row r="69" spans="1:8" x14ac:dyDescent="0.3">
      <c r="A69" s="161">
        <v>45763</v>
      </c>
      <c r="B69" s="162" t="s">
        <v>1015</v>
      </c>
      <c r="C69" s="162" t="s">
        <v>1005</v>
      </c>
      <c r="D69" s="162">
        <v>25000</v>
      </c>
      <c r="E69" s="162">
        <v>0</v>
      </c>
      <c r="F69" s="162">
        <v>13546.53</v>
      </c>
      <c r="G69" s="162" t="s">
        <v>837</v>
      </c>
      <c r="H69" s="162" t="s">
        <v>1680</v>
      </c>
    </row>
    <row r="70" spans="1:8" x14ac:dyDescent="0.3">
      <c r="A70" s="161">
        <v>45763.34542824074</v>
      </c>
      <c r="B70" s="162" t="s">
        <v>1861</v>
      </c>
      <c r="C70" s="162" t="s">
        <v>1862</v>
      </c>
      <c r="D70" s="162">
        <v>1000</v>
      </c>
      <c r="E70" s="162">
        <v>0</v>
      </c>
      <c r="F70" s="162">
        <v>1788.64</v>
      </c>
      <c r="G70" s="162" t="s">
        <v>1028</v>
      </c>
      <c r="H70" s="162" t="s">
        <v>1019</v>
      </c>
    </row>
    <row r="71" spans="1:8" x14ac:dyDescent="0.3">
      <c r="A71" s="161">
        <v>45763.459780092591</v>
      </c>
      <c r="B71" s="162" t="s">
        <v>1863</v>
      </c>
      <c r="C71" s="162" t="s">
        <v>1864</v>
      </c>
      <c r="D71" s="162">
        <v>0</v>
      </c>
      <c r="E71" s="162">
        <v>91056</v>
      </c>
      <c r="F71" s="162">
        <v>92844.64</v>
      </c>
      <c r="G71" s="162" t="s">
        <v>972</v>
      </c>
      <c r="H71" s="162" t="s">
        <v>1019</v>
      </c>
    </row>
    <row r="72" spans="1:8" x14ac:dyDescent="0.3">
      <c r="A72" s="161">
        <v>45763.471956018519</v>
      </c>
      <c r="B72" s="162" t="s">
        <v>1865</v>
      </c>
      <c r="C72" s="162" t="s">
        <v>1866</v>
      </c>
      <c r="D72" s="162">
        <v>10000</v>
      </c>
      <c r="E72" s="162">
        <v>0</v>
      </c>
      <c r="F72" s="162">
        <v>82844.639999999999</v>
      </c>
      <c r="G72" s="162" t="s">
        <v>1031</v>
      </c>
      <c r="H72" s="162" t="s">
        <v>1019</v>
      </c>
    </row>
    <row r="73" spans="1:8" x14ac:dyDescent="0.3">
      <c r="A73" s="161">
        <v>45764</v>
      </c>
      <c r="B73" s="162" t="s">
        <v>86</v>
      </c>
      <c r="C73" s="162" t="s">
        <v>87</v>
      </c>
      <c r="D73" s="162">
        <v>0</v>
      </c>
      <c r="E73" s="162">
        <v>1686.98</v>
      </c>
      <c r="F73" s="162">
        <v>38103.269999999997</v>
      </c>
      <c r="G73" s="162" t="s">
        <v>49</v>
      </c>
      <c r="H73" s="162" t="s">
        <v>1779</v>
      </c>
    </row>
    <row r="74" spans="1:8" x14ac:dyDescent="0.3">
      <c r="A74" s="161">
        <v>45764</v>
      </c>
      <c r="B74" s="162" t="s">
        <v>50</v>
      </c>
      <c r="C74" s="162" t="s">
        <v>88</v>
      </c>
      <c r="D74" s="162">
        <v>103.29</v>
      </c>
      <c r="E74" s="162">
        <v>0</v>
      </c>
      <c r="F74" s="162">
        <v>37999.980000000003</v>
      </c>
      <c r="G74" s="162" t="s">
        <v>49</v>
      </c>
      <c r="H74" s="162" t="s">
        <v>1779</v>
      </c>
    </row>
    <row r="75" spans="1:8" x14ac:dyDescent="0.3">
      <c r="A75" s="161">
        <v>45764</v>
      </c>
      <c r="B75" s="162" t="s">
        <v>84</v>
      </c>
      <c r="C75" s="162" t="s">
        <v>85</v>
      </c>
      <c r="D75" s="162">
        <v>0</v>
      </c>
      <c r="E75" s="162">
        <v>21246.959999999999</v>
      </c>
      <c r="F75" s="162">
        <v>36416.29</v>
      </c>
      <c r="G75" s="162" t="s">
        <v>49</v>
      </c>
      <c r="H75" s="162" t="s">
        <v>1779</v>
      </c>
    </row>
    <row r="76" spans="1:8" x14ac:dyDescent="0.3">
      <c r="A76" s="161">
        <v>45764.279756944437</v>
      </c>
      <c r="B76" s="162" t="s">
        <v>1867</v>
      </c>
      <c r="C76" s="162" t="s">
        <v>1868</v>
      </c>
      <c r="D76" s="162">
        <v>427.25</v>
      </c>
      <c r="E76" s="162">
        <v>0</v>
      </c>
      <c r="F76" s="162">
        <v>82417.39</v>
      </c>
      <c r="G76" s="162" t="s">
        <v>1014</v>
      </c>
      <c r="H76" s="162" t="s">
        <v>1019</v>
      </c>
    </row>
    <row r="77" spans="1:8" x14ac:dyDescent="0.3">
      <c r="A77" s="161">
        <v>45764.566655092603</v>
      </c>
      <c r="B77" s="162" t="s">
        <v>1869</v>
      </c>
      <c r="C77" s="162" t="s">
        <v>1870</v>
      </c>
      <c r="D77" s="162">
        <v>1000</v>
      </c>
      <c r="E77" s="162">
        <v>0</v>
      </c>
      <c r="F77" s="162">
        <v>81417.39</v>
      </c>
      <c r="G77" s="162" t="s">
        <v>1028</v>
      </c>
      <c r="H77" s="162" t="s">
        <v>1019</v>
      </c>
    </row>
    <row r="78" spans="1:8" x14ac:dyDescent="0.3">
      <c r="A78" s="161">
        <v>45766</v>
      </c>
      <c r="B78" s="162" t="s">
        <v>89</v>
      </c>
      <c r="C78" s="162" t="s">
        <v>90</v>
      </c>
      <c r="D78" s="162">
        <v>0</v>
      </c>
      <c r="E78" s="162">
        <v>100</v>
      </c>
      <c r="F78" s="162">
        <v>38099.980000000003</v>
      </c>
      <c r="G78" s="162" t="s">
        <v>91</v>
      </c>
      <c r="H78" s="162" t="s">
        <v>1779</v>
      </c>
    </row>
    <row r="79" spans="1:8" x14ac:dyDescent="0.3">
      <c r="A79" s="161">
        <v>45766.078553240739</v>
      </c>
      <c r="B79" s="162" t="s">
        <v>1871</v>
      </c>
      <c r="C79" s="162" t="s">
        <v>1872</v>
      </c>
      <c r="D79" s="162">
        <v>1000</v>
      </c>
      <c r="E79" s="162">
        <v>0</v>
      </c>
      <c r="F79" s="162">
        <v>80417.39</v>
      </c>
      <c r="G79" s="162" t="s">
        <v>1028</v>
      </c>
      <c r="H79" s="162" t="s">
        <v>1019</v>
      </c>
    </row>
    <row r="80" spans="1:8" x14ac:dyDescent="0.3">
      <c r="A80" s="161">
        <v>45766.52747685185</v>
      </c>
      <c r="B80" s="162" t="s">
        <v>1873</v>
      </c>
      <c r="C80" s="162" t="s">
        <v>1874</v>
      </c>
      <c r="D80" s="162">
        <v>1000</v>
      </c>
      <c r="E80" s="162">
        <v>0</v>
      </c>
      <c r="F80" s="162">
        <v>79417.39</v>
      </c>
      <c r="G80" s="162" t="s">
        <v>1028</v>
      </c>
      <c r="H80" s="162" t="s">
        <v>1019</v>
      </c>
    </row>
    <row r="81" spans="1:8" x14ac:dyDescent="0.3">
      <c r="A81" s="161">
        <v>45766.693495370368</v>
      </c>
      <c r="B81" s="162" t="s">
        <v>1875</v>
      </c>
      <c r="C81" s="162" t="s">
        <v>1876</v>
      </c>
      <c r="D81" s="162">
        <v>1000</v>
      </c>
      <c r="E81" s="162">
        <v>0</v>
      </c>
      <c r="F81" s="162">
        <v>78417.39</v>
      </c>
      <c r="G81" s="162" t="s">
        <v>1028</v>
      </c>
      <c r="H81" s="162" t="s">
        <v>1019</v>
      </c>
    </row>
    <row r="82" spans="1:8" x14ac:dyDescent="0.3">
      <c r="A82" s="161">
        <v>45766.886782407397</v>
      </c>
      <c r="B82" s="162" t="s">
        <v>1877</v>
      </c>
      <c r="C82" s="162" t="s">
        <v>1878</v>
      </c>
      <c r="D82" s="162">
        <v>85</v>
      </c>
      <c r="E82" s="162">
        <v>0</v>
      </c>
      <c r="F82" s="162">
        <v>78332.39</v>
      </c>
      <c r="G82" s="162" t="s">
        <v>91</v>
      </c>
      <c r="H82" s="162" t="s">
        <v>1019</v>
      </c>
    </row>
    <row r="83" spans="1:8" x14ac:dyDescent="0.3">
      <c r="A83" s="161">
        <v>45766.908645833333</v>
      </c>
      <c r="B83" s="162" t="s">
        <v>1880</v>
      </c>
      <c r="C83" s="162" t="s">
        <v>1881</v>
      </c>
      <c r="D83" s="162">
        <v>25</v>
      </c>
      <c r="E83" s="162">
        <v>0</v>
      </c>
      <c r="F83" s="162">
        <v>78307.39</v>
      </c>
      <c r="G83" s="162" t="s">
        <v>91</v>
      </c>
      <c r="H83" s="162" t="s">
        <v>1019</v>
      </c>
    </row>
    <row r="84" spans="1:8" x14ac:dyDescent="0.3">
      <c r="A84" s="161">
        <v>45767.80914351852</v>
      </c>
      <c r="B84" s="162" t="s">
        <v>1883</v>
      </c>
      <c r="C84" s="162" t="s">
        <v>1884</v>
      </c>
      <c r="D84" s="162">
        <v>0</v>
      </c>
      <c r="E84" s="162">
        <v>10</v>
      </c>
      <c r="F84" s="162">
        <v>78317.39</v>
      </c>
      <c r="G84" s="162" t="s">
        <v>1031</v>
      </c>
      <c r="H84" s="162" t="s">
        <v>1019</v>
      </c>
    </row>
    <row r="85" spans="1:8" x14ac:dyDescent="0.3">
      <c r="A85" s="161">
        <v>45767.831643518519</v>
      </c>
      <c r="B85" s="162" t="s">
        <v>1885</v>
      </c>
      <c r="C85" s="162" t="s">
        <v>1886</v>
      </c>
      <c r="D85" s="162">
        <v>1000</v>
      </c>
      <c r="E85" s="162">
        <v>0</v>
      </c>
      <c r="F85" s="162">
        <v>77317.39</v>
      </c>
      <c r="G85" s="162" t="s">
        <v>1028</v>
      </c>
      <c r="H85" s="162" t="s">
        <v>1019</v>
      </c>
    </row>
    <row r="86" spans="1:8" x14ac:dyDescent="0.3">
      <c r="A86" s="161">
        <v>45768</v>
      </c>
      <c r="B86" s="162" t="s">
        <v>50</v>
      </c>
      <c r="C86" s="162" t="s">
        <v>94</v>
      </c>
      <c r="D86" s="162">
        <v>415.56</v>
      </c>
      <c r="E86" s="162">
        <v>0</v>
      </c>
      <c r="F86" s="162">
        <v>37859.769999999997</v>
      </c>
      <c r="G86" s="162" t="s">
        <v>49</v>
      </c>
      <c r="H86" s="162" t="s">
        <v>1779</v>
      </c>
    </row>
    <row r="87" spans="1:8" x14ac:dyDescent="0.3">
      <c r="A87" s="161">
        <v>45768</v>
      </c>
      <c r="B87" s="162" t="s">
        <v>92</v>
      </c>
      <c r="C87" s="162" t="s">
        <v>93</v>
      </c>
      <c r="D87" s="162">
        <v>0</v>
      </c>
      <c r="E87" s="162">
        <v>175.35</v>
      </c>
      <c r="F87" s="162">
        <v>38275.33</v>
      </c>
      <c r="G87" s="162" t="s">
        <v>49</v>
      </c>
      <c r="H87" s="162" t="s">
        <v>1779</v>
      </c>
    </row>
    <row r="88" spans="1:8" x14ac:dyDescent="0.3">
      <c r="A88" s="161">
        <v>45768.346400462957</v>
      </c>
      <c r="B88" s="162" t="s">
        <v>1887</v>
      </c>
      <c r="C88" s="162" t="s">
        <v>1888</v>
      </c>
      <c r="D88" s="162">
        <v>1012.11</v>
      </c>
      <c r="E88" s="162">
        <v>0</v>
      </c>
      <c r="F88" s="162">
        <v>76305.279999999999</v>
      </c>
      <c r="G88" s="162" t="s">
        <v>1028</v>
      </c>
      <c r="H88" s="162" t="s">
        <v>1019</v>
      </c>
    </row>
    <row r="89" spans="1:8" x14ac:dyDescent="0.3">
      <c r="A89" s="161">
        <v>45769</v>
      </c>
      <c r="B89" s="162" t="s">
        <v>50</v>
      </c>
      <c r="C89" s="162" t="s">
        <v>97</v>
      </c>
      <c r="D89" s="162">
        <v>103.95</v>
      </c>
      <c r="E89" s="162">
        <v>0</v>
      </c>
      <c r="F89" s="162">
        <v>38296.089999999997</v>
      </c>
      <c r="G89" s="162" t="s">
        <v>49</v>
      </c>
      <c r="H89" s="162" t="s">
        <v>1779</v>
      </c>
    </row>
    <row r="90" spans="1:8" x14ac:dyDescent="0.3">
      <c r="A90" s="161">
        <v>45769</v>
      </c>
      <c r="B90" s="162" t="s">
        <v>50</v>
      </c>
      <c r="C90" s="162" t="s">
        <v>98</v>
      </c>
      <c r="D90" s="162">
        <v>807.96</v>
      </c>
      <c r="E90" s="162">
        <v>0</v>
      </c>
      <c r="F90" s="162">
        <v>37488.129999999997</v>
      </c>
      <c r="G90" s="162" t="s">
        <v>49</v>
      </c>
      <c r="H90" s="162" t="s">
        <v>1779</v>
      </c>
    </row>
    <row r="91" spans="1:8" x14ac:dyDescent="0.3">
      <c r="A91" s="161">
        <v>45769</v>
      </c>
      <c r="B91" s="162" t="s">
        <v>95</v>
      </c>
      <c r="C91" s="162" t="s">
        <v>96</v>
      </c>
      <c r="D91" s="162">
        <v>0</v>
      </c>
      <c r="E91" s="162">
        <v>540.27</v>
      </c>
      <c r="F91" s="162">
        <v>38400.04</v>
      </c>
      <c r="G91" s="162" t="s">
        <v>49</v>
      </c>
      <c r="H91" s="162" t="s">
        <v>1779</v>
      </c>
    </row>
    <row r="92" spans="1:8" x14ac:dyDescent="0.3">
      <c r="A92" s="161">
        <v>45770</v>
      </c>
      <c r="B92" s="162" t="s">
        <v>50</v>
      </c>
      <c r="C92" s="162" t="s">
        <v>99</v>
      </c>
      <c r="D92" s="162">
        <v>103.86</v>
      </c>
      <c r="E92" s="162">
        <v>0</v>
      </c>
      <c r="F92" s="162">
        <v>37384.269999999997</v>
      </c>
      <c r="G92" s="162" t="s">
        <v>49</v>
      </c>
      <c r="H92" s="162" t="s">
        <v>1779</v>
      </c>
    </row>
    <row r="93" spans="1:8" x14ac:dyDescent="0.3">
      <c r="A93" s="161">
        <v>45770</v>
      </c>
      <c r="B93" s="162" t="s">
        <v>50</v>
      </c>
      <c r="C93" s="162" t="s">
        <v>100</v>
      </c>
      <c r="D93" s="162">
        <v>11572.21</v>
      </c>
      <c r="E93" s="162">
        <v>0</v>
      </c>
      <c r="F93" s="162">
        <v>25812.06</v>
      </c>
      <c r="G93" s="162" t="s">
        <v>49</v>
      </c>
      <c r="H93" s="162" t="s">
        <v>1779</v>
      </c>
    </row>
    <row r="94" spans="1:8" x14ac:dyDescent="0.3">
      <c r="A94" s="161">
        <v>45770.336597222216</v>
      </c>
      <c r="B94" s="162" t="s">
        <v>1889</v>
      </c>
      <c r="C94" s="162" t="s">
        <v>1890</v>
      </c>
      <c r="D94" s="162">
        <v>0</v>
      </c>
      <c r="E94" s="162">
        <v>6904.51</v>
      </c>
      <c r="F94" s="162">
        <v>83209.789999999994</v>
      </c>
      <c r="G94" s="162" t="s">
        <v>606</v>
      </c>
      <c r="H94" s="162" t="s">
        <v>1019</v>
      </c>
    </row>
    <row r="95" spans="1:8" x14ac:dyDescent="0.3">
      <c r="A95" s="161">
        <v>45770.338819444441</v>
      </c>
      <c r="B95" s="162" t="s">
        <v>1891</v>
      </c>
      <c r="C95" s="162" t="s">
        <v>1892</v>
      </c>
      <c r="D95" s="162">
        <v>2763.6</v>
      </c>
      <c r="E95" s="162">
        <v>0</v>
      </c>
      <c r="F95" s="162">
        <v>80446.19</v>
      </c>
      <c r="G95" s="162" t="s">
        <v>1014</v>
      </c>
      <c r="H95" s="162" t="s">
        <v>1019</v>
      </c>
    </row>
    <row r="96" spans="1:8" x14ac:dyDescent="0.3">
      <c r="A96" s="161">
        <v>45770.344027777777</v>
      </c>
      <c r="B96" s="162" t="s">
        <v>1893</v>
      </c>
      <c r="C96" s="162" t="s">
        <v>1894</v>
      </c>
      <c r="D96" s="162">
        <v>162.69999999999999</v>
      </c>
      <c r="E96" s="162">
        <v>0</v>
      </c>
      <c r="F96" s="162">
        <v>80283.490000000005</v>
      </c>
      <c r="G96" s="162" t="s">
        <v>1014</v>
      </c>
      <c r="H96" s="162" t="s">
        <v>1019</v>
      </c>
    </row>
    <row r="97" spans="1:8" x14ac:dyDescent="0.3">
      <c r="A97" s="161">
        <v>45771</v>
      </c>
      <c r="B97" s="162" t="s">
        <v>50</v>
      </c>
      <c r="C97" s="162" t="s">
        <v>104</v>
      </c>
      <c r="D97" s="162">
        <v>326.7</v>
      </c>
      <c r="E97" s="162">
        <v>0</v>
      </c>
      <c r="F97" s="162">
        <v>38255.300000000003</v>
      </c>
      <c r="G97" s="162" t="s">
        <v>49</v>
      </c>
      <c r="H97" s="162" t="s">
        <v>1779</v>
      </c>
    </row>
    <row r="98" spans="1:8" x14ac:dyDescent="0.3">
      <c r="A98" s="161">
        <v>45771</v>
      </c>
      <c r="B98" s="162" t="s">
        <v>101</v>
      </c>
      <c r="C98" s="162" t="s">
        <v>102</v>
      </c>
      <c r="D98" s="162">
        <v>0</v>
      </c>
      <c r="E98" s="162">
        <v>12869.68</v>
      </c>
      <c r="F98" s="162">
        <v>38681.74</v>
      </c>
      <c r="G98" s="162" t="s">
        <v>49</v>
      </c>
      <c r="H98" s="162" t="s">
        <v>1779</v>
      </c>
    </row>
    <row r="99" spans="1:8" x14ac:dyDescent="0.3">
      <c r="A99" s="161">
        <v>45771</v>
      </c>
      <c r="B99" s="162" t="s">
        <v>50</v>
      </c>
      <c r="C99" s="162" t="s">
        <v>103</v>
      </c>
      <c r="D99" s="162">
        <v>99.74</v>
      </c>
      <c r="E99" s="162">
        <v>0</v>
      </c>
      <c r="F99" s="162">
        <v>38582</v>
      </c>
      <c r="G99" s="162" t="s">
        <v>49</v>
      </c>
      <c r="H99" s="162" t="s">
        <v>1779</v>
      </c>
    </row>
    <row r="100" spans="1:8" x14ac:dyDescent="0.3">
      <c r="A100" s="161">
        <v>45771.312557870369</v>
      </c>
      <c r="B100" s="162" t="s">
        <v>1895</v>
      </c>
      <c r="C100" s="162" t="s">
        <v>1896</v>
      </c>
      <c r="D100" s="162">
        <v>40</v>
      </c>
      <c r="E100" s="162">
        <v>0</v>
      </c>
      <c r="F100" s="162">
        <v>80243.490000000005</v>
      </c>
      <c r="G100" s="162" t="s">
        <v>91</v>
      </c>
      <c r="H100" s="162" t="s">
        <v>1019</v>
      </c>
    </row>
    <row r="101" spans="1:8" x14ac:dyDescent="0.3">
      <c r="A101" s="161">
        <v>45772</v>
      </c>
      <c r="B101" s="162" t="s">
        <v>50</v>
      </c>
      <c r="C101" s="162" t="s">
        <v>106</v>
      </c>
      <c r="D101" s="162">
        <v>2592.1999999999998</v>
      </c>
      <c r="E101" s="162">
        <v>0</v>
      </c>
      <c r="F101" s="162">
        <v>35562.620000000003</v>
      </c>
      <c r="G101" s="162" t="s">
        <v>49</v>
      </c>
      <c r="H101" s="162" t="s">
        <v>1779</v>
      </c>
    </row>
    <row r="102" spans="1:8" x14ac:dyDescent="0.3">
      <c r="A102" s="161">
        <v>45772</v>
      </c>
      <c r="B102" s="162" t="s">
        <v>50</v>
      </c>
      <c r="C102" s="162" t="s">
        <v>105</v>
      </c>
      <c r="D102" s="162">
        <v>100.48</v>
      </c>
      <c r="E102" s="162">
        <v>0</v>
      </c>
      <c r="F102" s="162">
        <v>38154.82</v>
      </c>
      <c r="G102" s="162" t="s">
        <v>49</v>
      </c>
      <c r="H102" s="162" t="s">
        <v>1779</v>
      </c>
    </row>
    <row r="103" spans="1:8" x14ac:dyDescent="0.3">
      <c r="A103" s="161">
        <v>45773</v>
      </c>
      <c r="B103" s="162" t="s">
        <v>1703</v>
      </c>
      <c r="C103" s="162"/>
      <c r="D103" s="162">
        <v>5100</v>
      </c>
      <c r="E103" s="162">
        <v>0</v>
      </c>
      <c r="F103" s="162">
        <v>12207.21</v>
      </c>
      <c r="G103" s="162" t="s">
        <v>1705</v>
      </c>
      <c r="H103" s="162" t="s">
        <v>837</v>
      </c>
    </row>
    <row r="104" spans="1:8" x14ac:dyDescent="0.3">
      <c r="A104" s="161">
        <v>45773</v>
      </c>
      <c r="B104" s="162" t="s">
        <v>1702</v>
      </c>
      <c r="C104" s="162"/>
      <c r="D104" s="162">
        <v>0</v>
      </c>
      <c r="E104" s="162">
        <v>5000</v>
      </c>
      <c r="F104" s="162">
        <v>17307.21</v>
      </c>
      <c r="G104" s="162" t="s">
        <v>1019</v>
      </c>
      <c r="H104" s="162" t="s">
        <v>837</v>
      </c>
    </row>
    <row r="105" spans="1:8" x14ac:dyDescent="0.3">
      <c r="A105" s="161">
        <v>45773.391655092593</v>
      </c>
      <c r="B105" s="162" t="s">
        <v>1898</v>
      </c>
      <c r="C105" s="162" t="s">
        <v>1899</v>
      </c>
      <c r="D105" s="162">
        <v>5000</v>
      </c>
      <c r="E105" s="162">
        <v>0</v>
      </c>
      <c r="F105" s="162">
        <v>75243.490000000005</v>
      </c>
      <c r="G105" s="162" t="s">
        <v>837</v>
      </c>
      <c r="H105" s="162" t="s">
        <v>1019</v>
      </c>
    </row>
    <row r="106" spans="1:8" x14ac:dyDescent="0.3">
      <c r="A106" s="161">
        <v>45773.777060185188</v>
      </c>
      <c r="B106" s="162" t="s">
        <v>1900</v>
      </c>
      <c r="C106" s="162" t="s">
        <v>1901</v>
      </c>
      <c r="D106" s="162">
        <v>20</v>
      </c>
      <c r="E106" s="162">
        <v>0</v>
      </c>
      <c r="F106" s="162">
        <v>75223.490000000005</v>
      </c>
      <c r="G106" s="162" t="s">
        <v>91</v>
      </c>
      <c r="H106" s="162" t="s">
        <v>1019</v>
      </c>
    </row>
    <row r="107" spans="1:8" x14ac:dyDescent="0.3">
      <c r="A107" s="161">
        <v>45775</v>
      </c>
      <c r="B107" s="162" t="s">
        <v>107</v>
      </c>
      <c r="C107" s="162" t="s">
        <v>108</v>
      </c>
      <c r="D107" s="162">
        <v>5000</v>
      </c>
      <c r="E107" s="162">
        <v>0</v>
      </c>
      <c r="F107" s="162">
        <v>30562.62</v>
      </c>
      <c r="G107" s="162" t="s">
        <v>2</v>
      </c>
      <c r="H107" s="162" t="s">
        <v>1779</v>
      </c>
    </row>
    <row r="108" spans="1:8" x14ac:dyDescent="0.3">
      <c r="A108" s="161">
        <v>45775</v>
      </c>
      <c r="B108" s="162" t="s">
        <v>50</v>
      </c>
      <c r="C108" s="162" t="s">
        <v>109</v>
      </c>
      <c r="D108" s="162">
        <v>298.68</v>
      </c>
      <c r="E108" s="162">
        <v>0</v>
      </c>
      <c r="F108" s="162">
        <v>30263.94</v>
      </c>
      <c r="G108" s="162" t="s">
        <v>49</v>
      </c>
      <c r="H108" s="162" t="s">
        <v>1779</v>
      </c>
    </row>
    <row r="109" spans="1:8" x14ac:dyDescent="0.3">
      <c r="A109" s="161">
        <v>45775</v>
      </c>
      <c r="B109" s="162" t="s">
        <v>110</v>
      </c>
      <c r="C109" s="162" t="s">
        <v>111</v>
      </c>
      <c r="D109" s="162">
        <v>856.5</v>
      </c>
      <c r="E109" s="162">
        <v>0</v>
      </c>
      <c r="F109" s="162">
        <v>29407.439999999999</v>
      </c>
      <c r="G109" s="162" t="s">
        <v>112</v>
      </c>
      <c r="H109" s="162" t="s">
        <v>1779</v>
      </c>
    </row>
    <row r="110" spans="1:8" x14ac:dyDescent="0.3">
      <c r="A110" s="161">
        <v>45775</v>
      </c>
      <c r="B110" s="162" t="s">
        <v>50</v>
      </c>
      <c r="C110" s="162" t="s">
        <v>113</v>
      </c>
      <c r="D110" s="162">
        <v>6370.07</v>
      </c>
      <c r="E110" s="162">
        <v>0</v>
      </c>
      <c r="F110" s="162">
        <v>23037.37</v>
      </c>
      <c r="G110" s="162" t="s">
        <v>49</v>
      </c>
      <c r="H110" s="162" t="s">
        <v>1779</v>
      </c>
    </row>
    <row r="111" spans="1:8" x14ac:dyDescent="0.3">
      <c r="A111" s="161">
        <v>45775.308668981481</v>
      </c>
      <c r="B111" s="162" t="s">
        <v>1903</v>
      </c>
      <c r="C111" s="162" t="s">
        <v>1904</v>
      </c>
      <c r="D111" s="162">
        <v>7000</v>
      </c>
      <c r="E111" s="162">
        <v>0</v>
      </c>
      <c r="F111" s="162">
        <v>68223.490000000005</v>
      </c>
      <c r="G111" s="162" t="s">
        <v>2</v>
      </c>
      <c r="H111" s="162" t="s">
        <v>1019</v>
      </c>
    </row>
    <row r="112" spans="1:8" x14ac:dyDescent="0.3">
      <c r="A112" s="161">
        <v>45776</v>
      </c>
      <c r="B112" s="162" t="s">
        <v>114</v>
      </c>
      <c r="C112" s="162" t="s">
        <v>115</v>
      </c>
      <c r="D112" s="162">
        <v>0</v>
      </c>
      <c r="E112" s="162">
        <v>22473.439999999999</v>
      </c>
      <c r="F112" s="162">
        <v>45510.81</v>
      </c>
      <c r="G112" s="162" t="s">
        <v>49</v>
      </c>
      <c r="H112" s="162" t="s">
        <v>1779</v>
      </c>
    </row>
    <row r="113" spans="1:8" x14ac:dyDescent="0.3">
      <c r="A113" s="161">
        <v>45776</v>
      </c>
      <c r="B113" s="162" t="s">
        <v>116</v>
      </c>
      <c r="C113" s="162" t="s">
        <v>117</v>
      </c>
      <c r="D113" s="162">
        <v>0</v>
      </c>
      <c r="E113" s="162">
        <v>2398.19</v>
      </c>
      <c r="F113" s="162">
        <v>47909</v>
      </c>
      <c r="G113" s="162" t="s">
        <v>49</v>
      </c>
      <c r="H113" s="162" t="s">
        <v>1779</v>
      </c>
    </row>
    <row r="114" spans="1:8" x14ac:dyDescent="0.3">
      <c r="A114" s="161">
        <v>45776</v>
      </c>
      <c r="B114" s="162" t="s">
        <v>50</v>
      </c>
      <c r="C114" s="162" t="s">
        <v>118</v>
      </c>
      <c r="D114" s="162">
        <v>97.29</v>
      </c>
      <c r="E114" s="162">
        <v>0</v>
      </c>
      <c r="F114" s="162">
        <v>47811.71</v>
      </c>
      <c r="G114" s="162" t="s">
        <v>49</v>
      </c>
      <c r="H114" s="162" t="s">
        <v>1779</v>
      </c>
    </row>
    <row r="115" spans="1:8" x14ac:dyDescent="0.3">
      <c r="A115" s="161">
        <v>45776</v>
      </c>
      <c r="B115" s="162" t="s">
        <v>50</v>
      </c>
      <c r="C115" s="162" t="s">
        <v>119</v>
      </c>
      <c r="D115" s="162">
        <v>15507.42</v>
      </c>
      <c r="E115" s="162">
        <v>0</v>
      </c>
      <c r="F115" s="162">
        <v>32304.29</v>
      </c>
      <c r="G115" s="162" t="s">
        <v>49</v>
      </c>
      <c r="H115" s="162" t="s">
        <v>1779</v>
      </c>
    </row>
    <row r="116" spans="1:8" x14ac:dyDescent="0.3">
      <c r="A116" s="161">
        <v>45776</v>
      </c>
      <c r="B116" s="162" t="s">
        <v>120</v>
      </c>
      <c r="C116" s="162" t="s">
        <v>121</v>
      </c>
      <c r="D116" s="162">
        <v>0</v>
      </c>
      <c r="E116" s="162">
        <v>2100</v>
      </c>
      <c r="F116" s="162">
        <v>34404.29</v>
      </c>
      <c r="G116" s="162" t="s">
        <v>91</v>
      </c>
      <c r="H116" s="162" t="s">
        <v>1779</v>
      </c>
    </row>
    <row r="117" spans="1:8" x14ac:dyDescent="0.3">
      <c r="A117" s="161">
        <v>45777</v>
      </c>
      <c r="B117" s="162" t="s">
        <v>50</v>
      </c>
      <c r="C117" s="162" t="s">
        <v>127</v>
      </c>
      <c r="D117" s="162">
        <v>304.94</v>
      </c>
      <c r="E117" s="162">
        <v>0</v>
      </c>
      <c r="F117" s="162">
        <v>30781.3</v>
      </c>
      <c r="G117" s="162" t="s">
        <v>49</v>
      </c>
      <c r="H117" s="162" t="s">
        <v>1779</v>
      </c>
    </row>
    <row r="118" spans="1:8" x14ac:dyDescent="0.3">
      <c r="A118" s="161">
        <v>45777</v>
      </c>
      <c r="B118" s="162" t="s">
        <v>122</v>
      </c>
      <c r="C118" s="162" t="s">
        <v>123</v>
      </c>
      <c r="D118" s="162">
        <v>0</v>
      </c>
      <c r="E118" s="162">
        <v>1760.16</v>
      </c>
      <c r="F118" s="162">
        <v>36164.449999999997</v>
      </c>
      <c r="G118" s="162" t="s">
        <v>49</v>
      </c>
      <c r="H118" s="162" t="s">
        <v>1779</v>
      </c>
    </row>
    <row r="119" spans="1:8" x14ac:dyDescent="0.3">
      <c r="A119" s="161">
        <v>45777</v>
      </c>
      <c r="B119" s="162" t="s">
        <v>124</v>
      </c>
      <c r="C119" s="162" t="s">
        <v>125</v>
      </c>
      <c r="D119" s="162">
        <v>5000</v>
      </c>
      <c r="E119" s="162">
        <v>0</v>
      </c>
      <c r="F119" s="162">
        <v>31164.45</v>
      </c>
      <c r="G119" s="162" t="s">
        <v>2</v>
      </c>
      <c r="H119" s="162" t="s">
        <v>1779</v>
      </c>
    </row>
    <row r="120" spans="1:8" x14ac:dyDescent="0.3">
      <c r="A120" s="161">
        <v>45777</v>
      </c>
      <c r="B120" s="162" t="s">
        <v>50</v>
      </c>
      <c r="C120" s="162" t="s">
        <v>126</v>
      </c>
      <c r="D120" s="162">
        <v>78.209999999999994</v>
      </c>
      <c r="E120" s="162">
        <v>0</v>
      </c>
      <c r="F120" s="162">
        <v>31086.240000000002</v>
      </c>
      <c r="G120" s="162" t="s">
        <v>49</v>
      </c>
      <c r="H120" s="162" t="s">
        <v>1779</v>
      </c>
    </row>
    <row r="121" spans="1:8" x14ac:dyDescent="0.3">
      <c r="A121" s="161">
        <v>45778</v>
      </c>
      <c r="B121" s="162" t="s">
        <v>2468</v>
      </c>
      <c r="C121" s="162"/>
      <c r="D121" s="162">
        <v>0</v>
      </c>
      <c r="E121" s="162">
        <v>1</v>
      </c>
      <c r="F121" s="162">
        <v>238</v>
      </c>
      <c r="G121" s="162" t="s">
        <v>22</v>
      </c>
      <c r="H121" s="162" t="s">
        <v>2224</v>
      </c>
    </row>
    <row r="122" spans="1:8" x14ac:dyDescent="0.3">
      <c r="A122" s="161">
        <v>45778.822939814818</v>
      </c>
      <c r="B122" s="162" t="s">
        <v>1905</v>
      </c>
      <c r="C122" s="162" t="s">
        <v>1906</v>
      </c>
      <c r="D122" s="162">
        <v>5000</v>
      </c>
      <c r="E122" s="162">
        <v>0</v>
      </c>
      <c r="F122" s="162">
        <v>63223.49</v>
      </c>
      <c r="G122" s="162" t="s">
        <v>1031</v>
      </c>
      <c r="H122" s="162" t="s">
        <v>1019</v>
      </c>
    </row>
    <row r="123" spans="1:8" x14ac:dyDescent="0.3">
      <c r="A123" s="161">
        <v>45778.824247685188</v>
      </c>
      <c r="B123" s="162" t="s">
        <v>1907</v>
      </c>
      <c r="C123" s="162" t="s">
        <v>1908</v>
      </c>
      <c r="D123" s="162">
        <v>5000</v>
      </c>
      <c r="E123" s="162">
        <v>0</v>
      </c>
      <c r="F123" s="162">
        <v>58223.49</v>
      </c>
      <c r="G123" s="162" t="s">
        <v>1031</v>
      </c>
      <c r="H123" s="162" t="s">
        <v>1019</v>
      </c>
    </row>
    <row r="124" spans="1:8" x14ac:dyDescent="0.3">
      <c r="A124" s="161">
        <v>45779</v>
      </c>
      <c r="B124" s="162" t="s">
        <v>129</v>
      </c>
      <c r="C124" s="162" t="s">
        <v>130</v>
      </c>
      <c r="D124" s="162">
        <v>60</v>
      </c>
      <c r="E124" s="162">
        <v>0</v>
      </c>
      <c r="F124" s="162">
        <v>30581.5</v>
      </c>
      <c r="G124" s="162" t="s">
        <v>131</v>
      </c>
      <c r="H124" s="162" t="s">
        <v>1779</v>
      </c>
    </row>
    <row r="125" spans="1:8" x14ac:dyDescent="0.3">
      <c r="A125" s="161">
        <v>45779</v>
      </c>
      <c r="B125" s="162" t="s">
        <v>132</v>
      </c>
      <c r="C125" s="162" t="s">
        <v>133</v>
      </c>
      <c r="D125" s="162">
        <v>50</v>
      </c>
      <c r="E125" s="162">
        <v>0</v>
      </c>
      <c r="F125" s="162">
        <v>30531.5</v>
      </c>
      <c r="G125" s="162" t="s">
        <v>131</v>
      </c>
      <c r="H125" s="162" t="s">
        <v>1779</v>
      </c>
    </row>
    <row r="126" spans="1:8" x14ac:dyDescent="0.3">
      <c r="A126" s="161">
        <v>45779</v>
      </c>
      <c r="B126" s="162" t="s">
        <v>50</v>
      </c>
      <c r="C126" s="162" t="s">
        <v>134</v>
      </c>
      <c r="D126" s="162">
        <v>10292.040000000001</v>
      </c>
      <c r="E126" s="162">
        <v>0</v>
      </c>
      <c r="F126" s="162">
        <v>20239.46</v>
      </c>
      <c r="G126" s="162" t="s">
        <v>49</v>
      </c>
      <c r="H126" s="162" t="s">
        <v>1779</v>
      </c>
    </row>
    <row r="127" spans="1:8" x14ac:dyDescent="0.3">
      <c r="A127" s="161">
        <v>45779</v>
      </c>
      <c r="B127" s="162" t="s">
        <v>1016</v>
      </c>
      <c r="C127" s="162" t="s">
        <v>1005</v>
      </c>
      <c r="D127" s="162">
        <v>0</v>
      </c>
      <c r="E127" s="162">
        <v>98850</v>
      </c>
      <c r="F127" s="162">
        <v>112396.53</v>
      </c>
      <c r="G127" s="162" t="s">
        <v>972</v>
      </c>
      <c r="H127" s="162" t="s">
        <v>1680</v>
      </c>
    </row>
    <row r="128" spans="1:8" x14ac:dyDescent="0.3">
      <c r="A128" s="161">
        <v>45779</v>
      </c>
      <c r="B128" s="162" t="s">
        <v>1020</v>
      </c>
      <c r="C128" s="162" t="s">
        <v>1005</v>
      </c>
      <c r="D128" s="162">
        <v>65000</v>
      </c>
      <c r="E128" s="162">
        <v>0</v>
      </c>
      <c r="F128" s="162">
        <v>47394.53</v>
      </c>
      <c r="G128" s="162" t="s">
        <v>1019</v>
      </c>
      <c r="H128" s="162" t="s">
        <v>1680</v>
      </c>
    </row>
    <row r="129" spans="1:8" x14ac:dyDescent="0.3">
      <c r="A129" s="161">
        <v>45779</v>
      </c>
      <c r="B129" s="162" t="s">
        <v>1018</v>
      </c>
      <c r="C129" s="162" t="s">
        <v>1005</v>
      </c>
      <c r="D129" s="162">
        <v>1</v>
      </c>
      <c r="E129" s="162">
        <v>0</v>
      </c>
      <c r="F129" s="162">
        <v>112394.53</v>
      </c>
      <c r="G129" s="162" t="s">
        <v>1019</v>
      </c>
      <c r="H129" s="162" t="s">
        <v>1680</v>
      </c>
    </row>
    <row r="130" spans="1:8" x14ac:dyDescent="0.3">
      <c r="A130" s="161">
        <v>45779</v>
      </c>
      <c r="B130" s="162" t="s">
        <v>1017</v>
      </c>
      <c r="C130" s="162" t="s">
        <v>1005</v>
      </c>
      <c r="D130" s="162">
        <v>1</v>
      </c>
      <c r="E130" s="162">
        <v>0</v>
      </c>
      <c r="F130" s="162">
        <v>112395.53</v>
      </c>
      <c r="G130" s="162" t="s">
        <v>837</v>
      </c>
      <c r="H130" s="162" t="s">
        <v>1680</v>
      </c>
    </row>
    <row r="131" spans="1:8" x14ac:dyDescent="0.3">
      <c r="A131" s="161">
        <v>45779</v>
      </c>
      <c r="B131" s="162" t="s">
        <v>50</v>
      </c>
      <c r="C131" s="162" t="s">
        <v>128</v>
      </c>
      <c r="D131" s="162">
        <v>139.80000000000001</v>
      </c>
      <c r="E131" s="162">
        <v>0</v>
      </c>
      <c r="F131" s="162">
        <v>30641.5</v>
      </c>
      <c r="G131" s="162" t="s">
        <v>49</v>
      </c>
      <c r="H131" s="162" t="s">
        <v>1779</v>
      </c>
    </row>
    <row r="132" spans="1:8" x14ac:dyDescent="0.3">
      <c r="A132" s="161">
        <v>45779</v>
      </c>
      <c r="B132" s="162" t="s">
        <v>1706</v>
      </c>
      <c r="C132" s="162"/>
      <c r="D132" s="162">
        <v>0</v>
      </c>
      <c r="E132" s="162">
        <v>1</v>
      </c>
      <c r="F132" s="162">
        <v>12208.21</v>
      </c>
      <c r="G132" s="162" t="s">
        <v>1680</v>
      </c>
      <c r="H132" s="162" t="s">
        <v>837</v>
      </c>
    </row>
    <row r="133" spans="1:8" x14ac:dyDescent="0.3">
      <c r="A133" s="161">
        <v>45779.471574074072</v>
      </c>
      <c r="B133" s="162" t="s">
        <v>1909</v>
      </c>
      <c r="C133" s="162" t="s">
        <v>1910</v>
      </c>
      <c r="D133" s="162">
        <v>23000</v>
      </c>
      <c r="E133" s="162">
        <v>0</v>
      </c>
      <c r="F133" s="162">
        <v>35223.49</v>
      </c>
      <c r="G133" s="162" t="s">
        <v>990</v>
      </c>
      <c r="H133" s="162" t="s">
        <v>1019</v>
      </c>
    </row>
    <row r="134" spans="1:8" x14ac:dyDescent="0.3">
      <c r="A134" s="161">
        <v>45779.477824074071</v>
      </c>
      <c r="B134" s="162" t="s">
        <v>1911</v>
      </c>
      <c r="C134" s="162" t="s">
        <v>1912</v>
      </c>
      <c r="D134" s="162">
        <v>0</v>
      </c>
      <c r="E134" s="162">
        <v>1</v>
      </c>
      <c r="F134" s="162">
        <v>35224.49</v>
      </c>
      <c r="G134" s="162" t="s">
        <v>1680</v>
      </c>
      <c r="H134" s="162" t="s">
        <v>1019</v>
      </c>
    </row>
    <row r="135" spans="1:8" x14ac:dyDescent="0.3">
      <c r="A135" s="161">
        <v>45779.478530092587</v>
      </c>
      <c r="B135" s="162" t="s">
        <v>1913</v>
      </c>
      <c r="C135" s="162" t="s">
        <v>1914</v>
      </c>
      <c r="D135" s="162">
        <v>0</v>
      </c>
      <c r="E135" s="162">
        <v>65000</v>
      </c>
      <c r="F135" s="162">
        <v>100224.49</v>
      </c>
      <c r="G135" s="162" t="s">
        <v>1680</v>
      </c>
      <c r="H135" s="162" t="s">
        <v>1019</v>
      </c>
    </row>
    <row r="136" spans="1:8" x14ac:dyDescent="0.3">
      <c r="A136" s="161">
        <v>45779.804560185177</v>
      </c>
      <c r="B136" s="162" t="s">
        <v>1915</v>
      </c>
      <c r="C136" s="162" t="s">
        <v>1916</v>
      </c>
      <c r="D136" s="162">
        <v>20</v>
      </c>
      <c r="E136" s="162">
        <v>0</v>
      </c>
      <c r="F136" s="162">
        <v>100204.49</v>
      </c>
      <c r="G136" s="162" t="s">
        <v>91</v>
      </c>
      <c r="H136" s="162" t="s">
        <v>1019</v>
      </c>
    </row>
    <row r="137" spans="1:8" x14ac:dyDescent="0.3">
      <c r="A137" s="161">
        <v>45780</v>
      </c>
      <c r="B137" s="162" t="s">
        <v>1022</v>
      </c>
      <c r="C137" s="162" t="s">
        <v>1005</v>
      </c>
      <c r="D137" s="162">
        <v>7000</v>
      </c>
      <c r="E137" s="162">
        <v>0</v>
      </c>
      <c r="F137" s="162">
        <v>40394.53</v>
      </c>
      <c r="G137" s="162" t="s">
        <v>1019</v>
      </c>
      <c r="H137" s="162" t="s">
        <v>1680</v>
      </c>
    </row>
    <row r="138" spans="1:8" x14ac:dyDescent="0.3">
      <c r="A138" s="161">
        <v>45780.569247685176</v>
      </c>
      <c r="B138" s="162" t="s">
        <v>1917</v>
      </c>
      <c r="C138" s="162" t="s">
        <v>1918</v>
      </c>
      <c r="D138" s="162">
        <v>0</v>
      </c>
      <c r="E138" s="162">
        <v>7000</v>
      </c>
      <c r="F138" s="162">
        <v>107204.49</v>
      </c>
      <c r="G138" s="162" t="s">
        <v>1680</v>
      </c>
      <c r="H138" s="162" t="s">
        <v>1019</v>
      </c>
    </row>
    <row r="139" spans="1:8" x14ac:dyDescent="0.3">
      <c r="A139" s="161">
        <v>45781</v>
      </c>
      <c r="B139" s="162" t="s">
        <v>1709</v>
      </c>
      <c r="C139" s="162"/>
      <c r="D139" s="162">
        <v>114</v>
      </c>
      <c r="E139" s="162">
        <v>0</v>
      </c>
      <c r="F139" s="162">
        <v>12034.21</v>
      </c>
      <c r="G139" s="162" t="s">
        <v>91</v>
      </c>
      <c r="H139" s="162" t="s">
        <v>837</v>
      </c>
    </row>
    <row r="140" spans="1:8" x14ac:dyDescent="0.3">
      <c r="A140" s="161">
        <v>45781</v>
      </c>
      <c r="B140" s="162" t="s">
        <v>1707</v>
      </c>
      <c r="C140" s="162"/>
      <c r="D140" s="162">
        <v>60</v>
      </c>
      <c r="E140" s="162">
        <v>0</v>
      </c>
      <c r="F140" s="162">
        <v>12148.21</v>
      </c>
      <c r="G140" s="162" t="s">
        <v>91</v>
      </c>
      <c r="H140" s="162" t="s">
        <v>837</v>
      </c>
    </row>
    <row r="141" spans="1:8" x14ac:dyDescent="0.3">
      <c r="A141" s="161">
        <v>45781</v>
      </c>
      <c r="B141" s="162" t="s">
        <v>135</v>
      </c>
      <c r="C141" s="162" t="s">
        <v>136</v>
      </c>
      <c r="D141" s="162">
        <v>1099</v>
      </c>
      <c r="E141" s="162">
        <v>0</v>
      </c>
      <c r="F141" s="162">
        <v>19140.46</v>
      </c>
      <c r="G141" s="162" t="s">
        <v>137</v>
      </c>
      <c r="H141" s="162" t="s">
        <v>1779</v>
      </c>
    </row>
    <row r="142" spans="1:8" x14ac:dyDescent="0.3">
      <c r="A142" s="161">
        <v>45781.430636574078</v>
      </c>
      <c r="B142" s="162" t="s">
        <v>1919</v>
      </c>
      <c r="C142" s="162" t="s">
        <v>1920</v>
      </c>
      <c r="D142" s="162">
        <v>850</v>
      </c>
      <c r="E142" s="162">
        <v>0</v>
      </c>
      <c r="F142" s="162">
        <v>106354.49</v>
      </c>
      <c r="G142" s="162" t="s">
        <v>91</v>
      </c>
      <c r="H142" s="162" t="s">
        <v>1019</v>
      </c>
    </row>
    <row r="143" spans="1:8" x14ac:dyDescent="0.3">
      <c r="A143" s="161">
        <v>45781.538263888891</v>
      </c>
      <c r="B143" s="162" t="s">
        <v>1922</v>
      </c>
      <c r="C143" s="162" t="s">
        <v>1923</v>
      </c>
      <c r="D143" s="162">
        <v>700</v>
      </c>
      <c r="E143" s="162">
        <v>0</v>
      </c>
      <c r="F143" s="162">
        <v>105654.49</v>
      </c>
      <c r="G143" s="162" t="s">
        <v>112</v>
      </c>
      <c r="H143" s="162" t="s">
        <v>1019</v>
      </c>
    </row>
    <row r="144" spans="1:8" x14ac:dyDescent="0.3">
      <c r="A144" s="161">
        <v>45782</v>
      </c>
      <c r="B144" s="162" t="s">
        <v>50</v>
      </c>
      <c r="C144" s="162" t="s">
        <v>140</v>
      </c>
      <c r="D144" s="162">
        <v>18743.02</v>
      </c>
      <c r="E144" s="162">
        <v>0</v>
      </c>
      <c r="F144" s="162">
        <v>0</v>
      </c>
      <c r="G144" s="162" t="s">
        <v>49</v>
      </c>
      <c r="H144" s="162" t="s">
        <v>1779</v>
      </c>
    </row>
    <row r="145" spans="1:8" x14ac:dyDescent="0.3">
      <c r="A145" s="161">
        <v>45782</v>
      </c>
      <c r="B145" s="162" t="s">
        <v>50</v>
      </c>
      <c r="C145" s="162" t="s">
        <v>138</v>
      </c>
      <c r="D145" s="162">
        <v>198.72</v>
      </c>
      <c r="E145" s="162">
        <v>0</v>
      </c>
      <c r="F145" s="162">
        <v>18941.740000000002</v>
      </c>
      <c r="G145" s="162" t="s">
        <v>49</v>
      </c>
      <c r="H145" s="162" t="s">
        <v>1779</v>
      </c>
    </row>
    <row r="146" spans="1:8" x14ac:dyDescent="0.3">
      <c r="A146" s="161">
        <v>45782</v>
      </c>
      <c r="B146" s="162" t="s">
        <v>50</v>
      </c>
      <c r="C146" s="162" t="s">
        <v>139</v>
      </c>
      <c r="D146" s="162">
        <v>198.72</v>
      </c>
      <c r="E146" s="162">
        <v>0</v>
      </c>
      <c r="F146" s="162">
        <v>18743.02</v>
      </c>
      <c r="G146" s="162" t="s">
        <v>49</v>
      </c>
      <c r="H146" s="162" t="s">
        <v>1779</v>
      </c>
    </row>
    <row r="147" spans="1:8" x14ac:dyDescent="0.3">
      <c r="A147" s="161">
        <v>45782.089085648149</v>
      </c>
      <c r="B147" s="162" t="s">
        <v>1924</v>
      </c>
      <c r="C147" s="162" t="s">
        <v>1925</v>
      </c>
      <c r="D147" s="162">
        <v>0</v>
      </c>
      <c r="E147" s="162">
        <v>13.38</v>
      </c>
      <c r="F147" s="162">
        <v>105667.87</v>
      </c>
      <c r="G147" s="162" t="s">
        <v>91</v>
      </c>
      <c r="H147" s="162" t="s">
        <v>1019</v>
      </c>
    </row>
    <row r="148" spans="1:8" x14ac:dyDescent="0.3">
      <c r="A148" s="161">
        <v>45782.110405092593</v>
      </c>
      <c r="B148" s="162" t="s">
        <v>1926</v>
      </c>
      <c r="C148" s="162" t="s">
        <v>1927</v>
      </c>
      <c r="D148" s="162">
        <v>0</v>
      </c>
      <c r="E148" s="162">
        <v>10679.9</v>
      </c>
      <c r="F148" s="162">
        <v>116347.77</v>
      </c>
      <c r="G148" s="162" t="s">
        <v>91</v>
      </c>
      <c r="H148" s="162" t="s">
        <v>1019</v>
      </c>
    </row>
    <row r="149" spans="1:8" x14ac:dyDescent="0.3">
      <c r="A149" s="161">
        <v>45783</v>
      </c>
      <c r="B149" s="162" t="s">
        <v>141</v>
      </c>
      <c r="C149" s="162" t="s">
        <v>142</v>
      </c>
      <c r="D149" s="162">
        <v>0</v>
      </c>
      <c r="E149" s="162">
        <v>67837.59</v>
      </c>
      <c r="F149" s="162">
        <v>67837.59</v>
      </c>
      <c r="G149" s="162" t="s">
        <v>49</v>
      </c>
      <c r="H149" s="162" t="s">
        <v>1779</v>
      </c>
    </row>
    <row r="150" spans="1:8" x14ac:dyDescent="0.3">
      <c r="A150" s="161">
        <v>45783</v>
      </c>
      <c r="B150" s="162" t="s">
        <v>50</v>
      </c>
      <c r="C150" s="162" t="s">
        <v>143</v>
      </c>
      <c r="D150" s="162">
        <v>59.49</v>
      </c>
      <c r="E150" s="162">
        <v>0</v>
      </c>
      <c r="F150" s="162">
        <v>67778.100000000006</v>
      </c>
      <c r="G150" s="162" t="s">
        <v>49</v>
      </c>
      <c r="H150" s="162" t="s">
        <v>1779</v>
      </c>
    </row>
    <row r="151" spans="1:8" x14ac:dyDescent="0.3">
      <c r="A151" s="161">
        <v>45783</v>
      </c>
      <c r="B151" s="162" t="s">
        <v>50</v>
      </c>
      <c r="C151" s="162" t="s">
        <v>144</v>
      </c>
      <c r="D151" s="162">
        <v>29283.09</v>
      </c>
      <c r="E151" s="162">
        <v>0</v>
      </c>
      <c r="F151" s="162">
        <v>38495.01</v>
      </c>
      <c r="G151" s="162" t="s">
        <v>49</v>
      </c>
      <c r="H151" s="162" t="s">
        <v>1779</v>
      </c>
    </row>
    <row r="152" spans="1:8" x14ac:dyDescent="0.3">
      <c r="A152" s="161">
        <v>45783.509305555563</v>
      </c>
      <c r="B152" s="162" t="s">
        <v>1928</v>
      </c>
      <c r="C152" s="162" t="s">
        <v>1929</v>
      </c>
      <c r="D152" s="162">
        <v>20000</v>
      </c>
      <c r="E152" s="162">
        <v>0</v>
      </c>
      <c r="F152" s="162">
        <v>96347.77</v>
      </c>
      <c r="G152" s="162" t="s">
        <v>1735</v>
      </c>
      <c r="H152" s="162" t="s">
        <v>1019</v>
      </c>
    </row>
    <row r="153" spans="1:8" x14ac:dyDescent="0.3">
      <c r="A153" s="161">
        <v>45784</v>
      </c>
      <c r="B153" s="162" t="s">
        <v>50</v>
      </c>
      <c r="C153" s="162" t="s">
        <v>150</v>
      </c>
      <c r="D153" s="162">
        <v>42.12</v>
      </c>
      <c r="E153" s="162">
        <v>0</v>
      </c>
      <c r="F153" s="162">
        <v>15332.89</v>
      </c>
      <c r="G153" s="162" t="s">
        <v>49</v>
      </c>
      <c r="H153" s="162" t="s">
        <v>1779</v>
      </c>
    </row>
    <row r="154" spans="1:8" x14ac:dyDescent="0.3">
      <c r="A154" s="161">
        <v>45784</v>
      </c>
      <c r="B154" s="162" t="s">
        <v>147</v>
      </c>
      <c r="C154" s="162" t="s">
        <v>148</v>
      </c>
      <c r="D154" s="162">
        <v>25000</v>
      </c>
      <c r="E154" s="162">
        <v>0</v>
      </c>
      <c r="F154" s="162">
        <v>15375.01</v>
      </c>
      <c r="G154" s="162" t="s">
        <v>149</v>
      </c>
      <c r="H154" s="162" t="s">
        <v>1779</v>
      </c>
    </row>
    <row r="155" spans="1:8" x14ac:dyDescent="0.3">
      <c r="A155" s="161">
        <v>45784</v>
      </c>
      <c r="B155" s="162" t="s">
        <v>145</v>
      </c>
      <c r="C155" s="162" t="s">
        <v>146</v>
      </c>
      <c r="D155" s="162">
        <v>0</v>
      </c>
      <c r="E155" s="162">
        <v>1880</v>
      </c>
      <c r="F155" s="162">
        <v>40375.01</v>
      </c>
      <c r="G155" s="162" t="s">
        <v>63</v>
      </c>
      <c r="H155" s="162" t="s">
        <v>1779</v>
      </c>
    </row>
    <row r="156" spans="1:8" x14ac:dyDescent="0.3">
      <c r="A156" s="161">
        <v>45785</v>
      </c>
      <c r="B156" s="162" t="s">
        <v>151</v>
      </c>
      <c r="C156" s="162" t="s">
        <v>152</v>
      </c>
      <c r="D156" s="162">
        <v>0</v>
      </c>
      <c r="E156" s="162">
        <v>3.1</v>
      </c>
      <c r="F156" s="162">
        <v>15335.99</v>
      </c>
      <c r="G156" s="162" t="s">
        <v>49</v>
      </c>
      <c r="H156" s="162" t="s">
        <v>1779</v>
      </c>
    </row>
    <row r="157" spans="1:8" x14ac:dyDescent="0.3">
      <c r="A157" s="161">
        <v>45785</v>
      </c>
      <c r="B157" s="162" t="s">
        <v>1711</v>
      </c>
      <c r="C157" s="162"/>
      <c r="D157" s="162">
        <v>0</v>
      </c>
      <c r="E157" s="162">
        <v>10</v>
      </c>
      <c r="F157" s="162">
        <v>12044.21</v>
      </c>
      <c r="G157" s="162" t="s">
        <v>1031</v>
      </c>
      <c r="H157" s="162" t="s">
        <v>837</v>
      </c>
    </row>
    <row r="158" spans="1:8" x14ac:dyDescent="0.3">
      <c r="A158" s="161">
        <v>45785.357060185182</v>
      </c>
      <c r="B158" s="162" t="s">
        <v>1930</v>
      </c>
      <c r="C158" s="162" t="s">
        <v>1931</v>
      </c>
      <c r="D158" s="162">
        <v>232</v>
      </c>
      <c r="E158" s="162">
        <v>0</v>
      </c>
      <c r="F158" s="162">
        <v>96115.77</v>
      </c>
      <c r="G158" s="162" t="s">
        <v>91</v>
      </c>
      <c r="H158" s="162" t="s">
        <v>1019</v>
      </c>
    </row>
    <row r="159" spans="1:8" x14ac:dyDescent="0.3">
      <c r="A159" s="161">
        <v>45785.542708333327</v>
      </c>
      <c r="B159" s="162" t="s">
        <v>1932</v>
      </c>
      <c r="C159" s="162" t="s">
        <v>1933</v>
      </c>
      <c r="D159" s="162">
        <v>10</v>
      </c>
      <c r="E159" s="162">
        <v>0</v>
      </c>
      <c r="F159" s="162">
        <v>96105.77</v>
      </c>
      <c r="G159" s="162" t="s">
        <v>1031</v>
      </c>
      <c r="H159" s="162" t="s">
        <v>1019</v>
      </c>
    </row>
    <row r="160" spans="1:8" x14ac:dyDescent="0.3">
      <c r="A160" s="161">
        <v>45786</v>
      </c>
      <c r="B160" s="162" t="s">
        <v>153</v>
      </c>
      <c r="C160" s="162" t="s">
        <v>154</v>
      </c>
      <c r="D160" s="162">
        <v>0</v>
      </c>
      <c r="E160" s="162">
        <v>10513.35</v>
      </c>
      <c r="F160" s="162">
        <v>25849.34</v>
      </c>
      <c r="G160" s="162" t="s">
        <v>49</v>
      </c>
      <c r="H160" s="162" t="s">
        <v>1779</v>
      </c>
    </row>
    <row r="161" spans="1:8" x14ac:dyDescent="0.3">
      <c r="A161" s="161">
        <v>45786</v>
      </c>
      <c r="B161" s="162" t="s">
        <v>50</v>
      </c>
      <c r="C161" s="162" t="s">
        <v>159</v>
      </c>
      <c r="D161" s="162">
        <v>96.9</v>
      </c>
      <c r="E161" s="162">
        <v>0</v>
      </c>
      <c r="F161" s="162">
        <v>125710.31</v>
      </c>
      <c r="G161" s="162" t="s">
        <v>49</v>
      </c>
      <c r="H161" s="162" t="s">
        <v>1779</v>
      </c>
    </row>
    <row r="162" spans="1:8" x14ac:dyDescent="0.3">
      <c r="A162" s="161">
        <v>45786</v>
      </c>
      <c r="B162" s="162" t="s">
        <v>155</v>
      </c>
      <c r="C162" s="162" t="s">
        <v>156</v>
      </c>
      <c r="D162" s="162">
        <v>0</v>
      </c>
      <c r="E162" s="162">
        <v>100000</v>
      </c>
      <c r="F162" s="162">
        <v>125849.34</v>
      </c>
      <c r="G162" s="162" t="s">
        <v>157</v>
      </c>
      <c r="H162" s="162" t="s">
        <v>1779</v>
      </c>
    </row>
    <row r="163" spans="1:8" x14ac:dyDescent="0.3">
      <c r="A163" s="161">
        <v>45786</v>
      </c>
      <c r="B163" s="162" t="s">
        <v>50</v>
      </c>
      <c r="C163" s="162" t="s">
        <v>158</v>
      </c>
      <c r="D163" s="162">
        <v>42.13</v>
      </c>
      <c r="E163" s="162">
        <v>0</v>
      </c>
      <c r="F163" s="162">
        <v>125807.21</v>
      </c>
      <c r="G163" s="162" t="s">
        <v>49</v>
      </c>
      <c r="H163" s="162" t="s">
        <v>1779</v>
      </c>
    </row>
    <row r="164" spans="1:8" x14ac:dyDescent="0.3">
      <c r="A164" s="161">
        <v>45786.862592592603</v>
      </c>
      <c r="B164" s="162" t="s">
        <v>1934</v>
      </c>
      <c r="C164" s="162" t="s">
        <v>1935</v>
      </c>
      <c r="D164" s="162">
        <v>45</v>
      </c>
      <c r="E164" s="162">
        <v>0</v>
      </c>
      <c r="F164" s="162">
        <v>96060.77</v>
      </c>
      <c r="G164" s="162" t="s">
        <v>91</v>
      </c>
      <c r="H164" s="162" t="s">
        <v>1019</v>
      </c>
    </row>
    <row r="165" spans="1:8" x14ac:dyDescent="0.3">
      <c r="A165" s="161">
        <v>45787</v>
      </c>
      <c r="B165" s="162" t="s">
        <v>160</v>
      </c>
      <c r="C165" s="162" t="s">
        <v>161</v>
      </c>
      <c r="D165" s="162">
        <v>20</v>
      </c>
      <c r="E165" s="162">
        <v>0</v>
      </c>
      <c r="F165" s="162">
        <v>125690.31</v>
      </c>
      <c r="G165" s="162" t="s">
        <v>131</v>
      </c>
      <c r="H165" s="162" t="s">
        <v>1779</v>
      </c>
    </row>
    <row r="166" spans="1:8" x14ac:dyDescent="0.3">
      <c r="A166" s="161">
        <v>45787</v>
      </c>
      <c r="B166" s="162" t="s">
        <v>162</v>
      </c>
      <c r="C166" s="162" t="s">
        <v>163</v>
      </c>
      <c r="D166" s="162">
        <v>280</v>
      </c>
      <c r="E166" s="162">
        <v>0</v>
      </c>
      <c r="F166" s="162">
        <v>125410.31</v>
      </c>
      <c r="G166" s="162" t="s">
        <v>131</v>
      </c>
      <c r="H166" s="162" t="s">
        <v>1779</v>
      </c>
    </row>
    <row r="167" spans="1:8" x14ac:dyDescent="0.3">
      <c r="A167" s="161">
        <v>45787.556273148148</v>
      </c>
      <c r="B167" s="162" t="s">
        <v>1937</v>
      </c>
      <c r="C167" s="162" t="s">
        <v>1938</v>
      </c>
      <c r="D167" s="162">
        <v>20</v>
      </c>
      <c r="E167" s="162">
        <v>0</v>
      </c>
      <c r="F167" s="162">
        <v>96040.77</v>
      </c>
      <c r="G167" s="162" t="s">
        <v>91</v>
      </c>
      <c r="H167" s="162" t="s">
        <v>1019</v>
      </c>
    </row>
    <row r="168" spans="1:8" x14ac:dyDescent="0.3">
      <c r="A168" s="161">
        <v>45787.573391203703</v>
      </c>
      <c r="B168" s="162" t="s">
        <v>1940</v>
      </c>
      <c r="C168" s="162" t="s">
        <v>1941</v>
      </c>
      <c r="D168" s="162">
        <v>1960</v>
      </c>
      <c r="E168" s="162">
        <v>0</v>
      </c>
      <c r="F168" s="162">
        <v>94080.77</v>
      </c>
      <c r="G168" s="162" t="s">
        <v>91</v>
      </c>
      <c r="H168" s="162" t="s">
        <v>1019</v>
      </c>
    </row>
    <row r="169" spans="1:8" x14ac:dyDescent="0.3">
      <c r="A169" s="161">
        <v>45788.384733796287</v>
      </c>
      <c r="B169" s="162" t="s">
        <v>1942</v>
      </c>
      <c r="C169" s="162" t="s">
        <v>1943</v>
      </c>
      <c r="D169" s="162">
        <v>688.15</v>
      </c>
      <c r="E169" s="162">
        <v>0</v>
      </c>
      <c r="F169" s="162">
        <v>93392.62</v>
      </c>
      <c r="G169" s="162" t="s">
        <v>1014</v>
      </c>
      <c r="H169" s="162" t="s">
        <v>1019</v>
      </c>
    </row>
    <row r="170" spans="1:8" x14ac:dyDescent="0.3">
      <c r="A170" s="161">
        <v>45788.387997685182</v>
      </c>
      <c r="B170" s="162" t="s">
        <v>1944</v>
      </c>
      <c r="C170" s="162" t="s">
        <v>1945</v>
      </c>
      <c r="D170" s="162">
        <v>462.7</v>
      </c>
      <c r="E170" s="162">
        <v>0</v>
      </c>
      <c r="F170" s="162">
        <v>92929.919999999998</v>
      </c>
      <c r="G170" s="162" t="s">
        <v>1014</v>
      </c>
      <c r="H170" s="162" t="s">
        <v>1019</v>
      </c>
    </row>
    <row r="171" spans="1:8" x14ac:dyDescent="0.3">
      <c r="A171" s="161">
        <v>45789</v>
      </c>
      <c r="B171" s="162" t="s">
        <v>1025</v>
      </c>
      <c r="C171" s="162" t="s">
        <v>1005</v>
      </c>
      <c r="D171" s="162">
        <v>125</v>
      </c>
      <c r="E171" s="162">
        <v>0</v>
      </c>
      <c r="F171" s="162">
        <v>40209.53</v>
      </c>
      <c r="G171" s="162" t="s">
        <v>91</v>
      </c>
      <c r="H171" s="162" t="s">
        <v>1680</v>
      </c>
    </row>
    <row r="172" spans="1:8" x14ac:dyDescent="0.3">
      <c r="A172" s="161">
        <v>45789</v>
      </c>
      <c r="B172" s="162" t="s">
        <v>1023</v>
      </c>
      <c r="C172" s="162" t="s">
        <v>1005</v>
      </c>
      <c r="D172" s="162">
        <v>60</v>
      </c>
      <c r="E172" s="162">
        <v>0</v>
      </c>
      <c r="F172" s="162">
        <v>40334.53</v>
      </c>
      <c r="G172" s="162" t="s">
        <v>91</v>
      </c>
      <c r="H172" s="162" t="s">
        <v>1680</v>
      </c>
    </row>
    <row r="173" spans="1:8" x14ac:dyDescent="0.3">
      <c r="A173" s="161">
        <v>45789</v>
      </c>
      <c r="B173" s="162" t="s">
        <v>50</v>
      </c>
      <c r="C173" s="162" t="s">
        <v>164</v>
      </c>
      <c r="D173" s="162">
        <v>113.28</v>
      </c>
      <c r="E173" s="162">
        <v>0</v>
      </c>
      <c r="F173" s="162">
        <v>125297.03</v>
      </c>
      <c r="G173" s="162" t="s">
        <v>49</v>
      </c>
      <c r="H173" s="162" t="s">
        <v>1779</v>
      </c>
    </row>
    <row r="174" spans="1:8" x14ac:dyDescent="0.3">
      <c r="A174" s="161">
        <v>45789.800138888888</v>
      </c>
      <c r="B174" s="162" t="s">
        <v>1946</v>
      </c>
      <c r="C174" s="162" t="s">
        <v>1947</v>
      </c>
      <c r="D174" s="162">
        <v>50</v>
      </c>
      <c r="E174" s="162">
        <v>0</v>
      </c>
      <c r="F174" s="162">
        <v>92879.92</v>
      </c>
      <c r="G174" s="162" t="s">
        <v>91</v>
      </c>
      <c r="H174" s="162" t="s">
        <v>1019</v>
      </c>
    </row>
    <row r="175" spans="1:8" x14ac:dyDescent="0.3">
      <c r="A175" s="161">
        <v>45790</v>
      </c>
      <c r="B175" s="162" t="s">
        <v>50</v>
      </c>
      <c r="C175" s="162" t="s">
        <v>167</v>
      </c>
      <c r="D175" s="162">
        <v>1030.0999999999999</v>
      </c>
      <c r="E175" s="162">
        <v>0</v>
      </c>
      <c r="F175" s="162">
        <v>126121.01</v>
      </c>
      <c r="G175" s="162" t="s">
        <v>49</v>
      </c>
      <c r="H175" s="162" t="s">
        <v>1779</v>
      </c>
    </row>
    <row r="176" spans="1:8" x14ac:dyDescent="0.3">
      <c r="A176" s="161">
        <v>45790</v>
      </c>
      <c r="B176" s="162" t="s">
        <v>165</v>
      </c>
      <c r="C176" s="162" t="s">
        <v>166</v>
      </c>
      <c r="D176" s="162">
        <v>0</v>
      </c>
      <c r="E176" s="162">
        <v>1854.08</v>
      </c>
      <c r="F176" s="162">
        <v>127151.11</v>
      </c>
      <c r="G176" s="162" t="s">
        <v>49</v>
      </c>
      <c r="H176" s="162" t="s">
        <v>1779</v>
      </c>
    </row>
    <row r="177" spans="1:8" x14ac:dyDescent="0.3">
      <c r="A177" s="161">
        <v>45790.349780092591</v>
      </c>
      <c r="B177" s="162" t="s">
        <v>1949</v>
      </c>
      <c r="C177" s="162" t="s">
        <v>1950</v>
      </c>
      <c r="D177" s="162">
        <v>20000</v>
      </c>
      <c r="E177" s="162">
        <v>0</v>
      </c>
      <c r="F177" s="162">
        <v>72879.92</v>
      </c>
      <c r="G177" s="162" t="s">
        <v>1735</v>
      </c>
      <c r="H177" s="162" t="s">
        <v>1019</v>
      </c>
    </row>
    <row r="178" spans="1:8" x14ac:dyDescent="0.3">
      <c r="A178" s="161">
        <v>45790.356874999998</v>
      </c>
      <c r="B178" s="162" t="s">
        <v>1951</v>
      </c>
      <c r="C178" s="162" t="s">
        <v>1952</v>
      </c>
      <c r="D178" s="162">
        <v>0</v>
      </c>
      <c r="E178" s="162">
        <v>501</v>
      </c>
      <c r="F178" s="162">
        <v>73380.92</v>
      </c>
      <c r="G178" s="162" t="s">
        <v>606</v>
      </c>
      <c r="H178" s="162" t="s">
        <v>1019</v>
      </c>
    </row>
    <row r="179" spans="1:8" x14ac:dyDescent="0.3">
      <c r="A179" s="161">
        <v>45791</v>
      </c>
      <c r="B179" s="162" t="s">
        <v>50</v>
      </c>
      <c r="C179" s="162" t="s">
        <v>168</v>
      </c>
      <c r="D179" s="162">
        <v>38.07</v>
      </c>
      <c r="E179" s="162">
        <v>0</v>
      </c>
      <c r="F179" s="162">
        <v>126082.94</v>
      </c>
      <c r="G179" s="162" t="s">
        <v>49</v>
      </c>
      <c r="H179" s="162" t="s">
        <v>1779</v>
      </c>
    </row>
    <row r="180" spans="1:8" x14ac:dyDescent="0.3">
      <c r="A180" s="161">
        <v>45792</v>
      </c>
      <c r="B180" s="162" t="s">
        <v>50</v>
      </c>
      <c r="C180" s="162" t="s">
        <v>171</v>
      </c>
      <c r="D180" s="162">
        <v>38.07</v>
      </c>
      <c r="E180" s="162">
        <v>0</v>
      </c>
      <c r="F180" s="162">
        <v>126131.52</v>
      </c>
      <c r="G180" s="162" t="s">
        <v>49</v>
      </c>
      <c r="H180" s="162" t="s">
        <v>1779</v>
      </c>
    </row>
    <row r="181" spans="1:8" x14ac:dyDescent="0.3">
      <c r="A181" s="161">
        <v>45792</v>
      </c>
      <c r="B181" s="162" t="s">
        <v>169</v>
      </c>
      <c r="C181" s="162" t="s">
        <v>170</v>
      </c>
      <c r="D181" s="162">
        <v>0</v>
      </c>
      <c r="E181" s="162">
        <v>86.65</v>
      </c>
      <c r="F181" s="162">
        <v>126169.59</v>
      </c>
      <c r="G181" s="162" t="s">
        <v>49</v>
      </c>
      <c r="H181" s="162" t="s">
        <v>1779</v>
      </c>
    </row>
    <row r="182" spans="1:8" x14ac:dyDescent="0.3">
      <c r="A182" s="161">
        <v>45792</v>
      </c>
      <c r="B182" s="162" t="s">
        <v>50</v>
      </c>
      <c r="C182" s="162" t="s">
        <v>172</v>
      </c>
      <c r="D182" s="162">
        <v>15167.97</v>
      </c>
      <c r="E182" s="162">
        <v>0</v>
      </c>
      <c r="F182" s="162">
        <v>110963.55</v>
      </c>
      <c r="G182" s="162" t="s">
        <v>49</v>
      </c>
      <c r="H182" s="162" t="s">
        <v>1779</v>
      </c>
    </row>
    <row r="183" spans="1:8" x14ac:dyDescent="0.3">
      <c r="A183" s="161">
        <v>45792.293692129628</v>
      </c>
      <c r="B183" s="162" t="s">
        <v>1953</v>
      </c>
      <c r="C183" s="162" t="s">
        <v>1954</v>
      </c>
      <c r="D183" s="162">
        <v>109</v>
      </c>
      <c r="E183" s="162">
        <v>0</v>
      </c>
      <c r="F183" s="162">
        <v>73271.92</v>
      </c>
      <c r="G183" s="162" t="s">
        <v>91</v>
      </c>
      <c r="H183" s="162" t="s">
        <v>1019</v>
      </c>
    </row>
    <row r="184" spans="1:8" x14ac:dyDescent="0.3">
      <c r="A184" s="161">
        <v>45792.313587962963</v>
      </c>
      <c r="B184" s="162" t="s">
        <v>1955</v>
      </c>
      <c r="C184" s="162" t="s">
        <v>1956</v>
      </c>
      <c r="D184" s="162">
        <v>1000</v>
      </c>
      <c r="E184" s="162">
        <v>0</v>
      </c>
      <c r="F184" s="162">
        <v>72271.92</v>
      </c>
      <c r="G184" s="162" t="s">
        <v>1028</v>
      </c>
      <c r="H184" s="162" t="s">
        <v>1019</v>
      </c>
    </row>
    <row r="185" spans="1:8" x14ac:dyDescent="0.3">
      <c r="A185" s="161">
        <v>45793</v>
      </c>
      <c r="B185" s="162" t="s">
        <v>173</v>
      </c>
      <c r="C185" s="162" t="s">
        <v>174</v>
      </c>
      <c r="D185" s="162">
        <v>0</v>
      </c>
      <c r="E185" s="162">
        <v>1447.99</v>
      </c>
      <c r="F185" s="162">
        <v>112411.54</v>
      </c>
      <c r="G185" s="162" t="s">
        <v>49</v>
      </c>
      <c r="H185" s="162" t="s">
        <v>1779</v>
      </c>
    </row>
    <row r="186" spans="1:8" x14ac:dyDescent="0.3">
      <c r="A186" s="161">
        <v>45793</v>
      </c>
      <c r="B186" s="162" t="s">
        <v>175</v>
      </c>
      <c r="C186" s="162" t="s">
        <v>176</v>
      </c>
      <c r="D186" s="162">
        <v>0</v>
      </c>
      <c r="E186" s="162">
        <v>795</v>
      </c>
      <c r="F186" s="162">
        <v>113206.54</v>
      </c>
      <c r="G186" s="162" t="s">
        <v>17</v>
      </c>
      <c r="H186" s="162" t="s">
        <v>1779</v>
      </c>
    </row>
    <row r="187" spans="1:8" x14ac:dyDescent="0.3">
      <c r="A187" s="161">
        <v>45793</v>
      </c>
      <c r="B187" s="162" t="s">
        <v>50</v>
      </c>
      <c r="C187" s="162" t="s">
        <v>178</v>
      </c>
      <c r="D187" s="162">
        <v>20096.54</v>
      </c>
      <c r="E187" s="162">
        <v>0</v>
      </c>
      <c r="F187" s="162">
        <v>93077.3</v>
      </c>
      <c r="G187" s="162" t="s">
        <v>49</v>
      </c>
      <c r="H187" s="162" t="s">
        <v>1779</v>
      </c>
    </row>
    <row r="188" spans="1:8" x14ac:dyDescent="0.3">
      <c r="A188" s="161">
        <v>45793</v>
      </c>
      <c r="B188" s="162" t="s">
        <v>50</v>
      </c>
      <c r="C188" s="162" t="s">
        <v>177</v>
      </c>
      <c r="D188" s="162">
        <v>32.700000000000003</v>
      </c>
      <c r="E188" s="162">
        <v>0</v>
      </c>
      <c r="F188" s="162">
        <v>113173.84</v>
      </c>
      <c r="G188" s="162" t="s">
        <v>49</v>
      </c>
      <c r="H188" s="162" t="s">
        <v>1779</v>
      </c>
    </row>
    <row r="189" spans="1:8" x14ac:dyDescent="0.3">
      <c r="A189" s="161">
        <v>45794.417337962957</v>
      </c>
      <c r="B189" s="162" t="s">
        <v>1957</v>
      </c>
      <c r="C189" s="162" t="s">
        <v>1958</v>
      </c>
      <c r="D189" s="162">
        <v>5014.5</v>
      </c>
      <c r="E189" s="162">
        <v>0</v>
      </c>
      <c r="F189" s="162">
        <v>67257.42</v>
      </c>
      <c r="G189" s="162" t="s">
        <v>1014</v>
      </c>
      <c r="H189" s="162" t="s">
        <v>1019</v>
      </c>
    </row>
    <row r="190" spans="1:8" x14ac:dyDescent="0.3">
      <c r="A190" s="161">
        <v>45794.694398148153</v>
      </c>
      <c r="B190" s="162" t="s">
        <v>1959</v>
      </c>
      <c r="C190" s="162" t="s">
        <v>1960</v>
      </c>
      <c r="D190" s="162">
        <v>0</v>
      </c>
      <c r="E190" s="162">
        <v>2610</v>
      </c>
      <c r="F190" s="162">
        <v>69867.42</v>
      </c>
      <c r="G190" s="162" t="s">
        <v>1014</v>
      </c>
      <c r="H190" s="162" t="s">
        <v>1019</v>
      </c>
    </row>
    <row r="191" spans="1:8" x14ac:dyDescent="0.3">
      <c r="A191" s="161">
        <v>45795.356215277781</v>
      </c>
      <c r="B191" s="162" t="s">
        <v>1961</v>
      </c>
      <c r="C191" s="162" t="s">
        <v>1962</v>
      </c>
      <c r="D191" s="162">
        <v>430</v>
      </c>
      <c r="E191" s="162">
        <v>0</v>
      </c>
      <c r="F191" s="162">
        <v>69437.42</v>
      </c>
      <c r="G191" s="162" t="s">
        <v>91</v>
      </c>
      <c r="H191" s="162" t="s">
        <v>1019</v>
      </c>
    </row>
    <row r="192" spans="1:8" x14ac:dyDescent="0.3">
      <c r="A192" s="161">
        <v>45795.375648148147</v>
      </c>
      <c r="B192" s="162" t="s">
        <v>1963</v>
      </c>
      <c r="C192" s="162" t="s">
        <v>1964</v>
      </c>
      <c r="D192" s="162">
        <v>20</v>
      </c>
      <c r="E192" s="162">
        <v>0</v>
      </c>
      <c r="F192" s="162">
        <v>69417.42</v>
      </c>
      <c r="G192" s="162" t="s">
        <v>91</v>
      </c>
      <c r="H192" s="162" t="s">
        <v>1019</v>
      </c>
    </row>
    <row r="193" spans="1:8" x14ac:dyDescent="0.3">
      <c r="A193" s="161">
        <v>45796</v>
      </c>
      <c r="B193" s="162" t="s">
        <v>50</v>
      </c>
      <c r="C193" s="162" t="s">
        <v>184</v>
      </c>
      <c r="D193" s="162">
        <v>396.51</v>
      </c>
      <c r="E193" s="162">
        <v>0</v>
      </c>
      <c r="F193" s="162">
        <v>41589.15</v>
      </c>
      <c r="G193" s="162" t="s">
        <v>49</v>
      </c>
      <c r="H193" s="162" t="s">
        <v>1779</v>
      </c>
    </row>
    <row r="194" spans="1:8" x14ac:dyDescent="0.3">
      <c r="A194" s="161">
        <v>45796</v>
      </c>
      <c r="B194" s="162" t="s">
        <v>179</v>
      </c>
      <c r="C194" s="162" t="s">
        <v>180</v>
      </c>
      <c r="D194" s="162">
        <v>50000</v>
      </c>
      <c r="E194" s="162">
        <v>0</v>
      </c>
      <c r="F194" s="162">
        <v>43077.3</v>
      </c>
      <c r="G194" s="162" t="s">
        <v>181</v>
      </c>
      <c r="H194" s="162" t="s">
        <v>1779</v>
      </c>
    </row>
    <row r="195" spans="1:8" x14ac:dyDescent="0.3">
      <c r="A195" s="161">
        <v>45796</v>
      </c>
      <c r="B195" s="162" t="s">
        <v>50</v>
      </c>
      <c r="C195" s="162" t="s">
        <v>182</v>
      </c>
      <c r="D195" s="162">
        <v>29.64</v>
      </c>
      <c r="E195" s="162">
        <v>0</v>
      </c>
      <c r="F195" s="162">
        <v>43047.66</v>
      </c>
      <c r="G195" s="162" t="s">
        <v>49</v>
      </c>
      <c r="H195" s="162" t="s">
        <v>1779</v>
      </c>
    </row>
    <row r="196" spans="1:8" x14ac:dyDescent="0.3">
      <c r="A196" s="161">
        <v>45796</v>
      </c>
      <c r="B196" s="162" t="s">
        <v>183</v>
      </c>
      <c r="C196" s="162" t="s">
        <v>83</v>
      </c>
      <c r="D196" s="162">
        <v>1062</v>
      </c>
      <c r="E196" s="162">
        <v>0</v>
      </c>
      <c r="F196" s="162">
        <v>41985.66</v>
      </c>
      <c r="G196" s="162" t="s">
        <v>9</v>
      </c>
      <c r="H196" s="162" t="s">
        <v>1779</v>
      </c>
    </row>
    <row r="197" spans="1:8" x14ac:dyDescent="0.3">
      <c r="A197" s="161">
        <v>45796.321261574078</v>
      </c>
      <c r="B197" s="162" t="s">
        <v>1966</v>
      </c>
      <c r="C197" s="162" t="s">
        <v>1967</v>
      </c>
      <c r="D197" s="162">
        <v>250</v>
      </c>
      <c r="E197" s="162">
        <v>0</v>
      </c>
      <c r="F197" s="162">
        <v>69167.42</v>
      </c>
      <c r="G197" s="162" t="s">
        <v>91</v>
      </c>
      <c r="H197" s="162" t="s">
        <v>1019</v>
      </c>
    </row>
    <row r="198" spans="1:8" x14ac:dyDescent="0.3">
      <c r="A198" s="161">
        <v>45796.781666666669</v>
      </c>
      <c r="B198" s="162" t="s">
        <v>1968</v>
      </c>
      <c r="C198" s="162" t="s">
        <v>1969</v>
      </c>
      <c r="D198" s="162">
        <v>45</v>
      </c>
      <c r="E198" s="162">
        <v>0</v>
      </c>
      <c r="F198" s="162">
        <v>69122.42</v>
      </c>
      <c r="G198" s="162" t="s">
        <v>91</v>
      </c>
      <c r="H198" s="162" t="s">
        <v>1019</v>
      </c>
    </row>
    <row r="199" spans="1:8" x14ac:dyDescent="0.3">
      <c r="A199" s="161">
        <v>45797</v>
      </c>
      <c r="B199" s="162" t="s">
        <v>50</v>
      </c>
      <c r="C199" s="162" t="s">
        <v>185</v>
      </c>
      <c r="D199" s="162">
        <v>28.39</v>
      </c>
      <c r="E199" s="162">
        <v>0</v>
      </c>
      <c r="F199" s="162">
        <v>41560.76</v>
      </c>
      <c r="G199" s="162" t="s">
        <v>49</v>
      </c>
      <c r="H199" s="162" t="s">
        <v>1779</v>
      </c>
    </row>
    <row r="200" spans="1:8" x14ac:dyDescent="0.3">
      <c r="A200" s="161">
        <v>45797</v>
      </c>
      <c r="B200" s="162" t="s">
        <v>50</v>
      </c>
      <c r="C200" s="162" t="s">
        <v>186</v>
      </c>
      <c r="D200" s="162">
        <v>557.52</v>
      </c>
      <c r="E200" s="162">
        <v>0</v>
      </c>
      <c r="F200" s="162">
        <v>41003.24</v>
      </c>
      <c r="G200" s="162" t="s">
        <v>49</v>
      </c>
      <c r="H200" s="162" t="s">
        <v>1779</v>
      </c>
    </row>
    <row r="201" spans="1:8" x14ac:dyDescent="0.3">
      <c r="A201" s="161">
        <v>45797.512025462973</v>
      </c>
      <c r="B201" s="162" t="s">
        <v>1971</v>
      </c>
      <c r="C201" s="162" t="s">
        <v>1972</v>
      </c>
      <c r="D201" s="162">
        <v>100</v>
      </c>
      <c r="E201" s="162">
        <v>0</v>
      </c>
      <c r="F201" s="162">
        <v>69022.42</v>
      </c>
      <c r="G201" s="162" t="s">
        <v>91</v>
      </c>
      <c r="H201" s="162" t="s">
        <v>1019</v>
      </c>
    </row>
    <row r="202" spans="1:8" x14ac:dyDescent="0.3">
      <c r="A202" s="161">
        <v>45798</v>
      </c>
      <c r="B202" s="162" t="s">
        <v>50</v>
      </c>
      <c r="C202" s="162" t="s">
        <v>187</v>
      </c>
      <c r="D202" s="162">
        <v>28.19</v>
      </c>
      <c r="E202" s="162">
        <v>0</v>
      </c>
      <c r="F202" s="162">
        <v>40975.050000000003</v>
      </c>
      <c r="G202" s="162" t="s">
        <v>49</v>
      </c>
      <c r="H202" s="162" t="s">
        <v>1779</v>
      </c>
    </row>
    <row r="203" spans="1:8" x14ac:dyDescent="0.3">
      <c r="A203" s="161">
        <v>45798</v>
      </c>
      <c r="B203" s="162" t="s">
        <v>1027</v>
      </c>
      <c r="C203" s="162" t="s">
        <v>1005</v>
      </c>
      <c r="D203" s="162">
        <v>1000</v>
      </c>
      <c r="E203" s="162">
        <v>0</v>
      </c>
      <c r="F203" s="162">
        <v>39209.53</v>
      </c>
      <c r="G203" s="162" t="s">
        <v>1028</v>
      </c>
      <c r="H203" s="162" t="s">
        <v>1680</v>
      </c>
    </row>
    <row r="204" spans="1:8" x14ac:dyDescent="0.3">
      <c r="A204" s="161">
        <v>45798.811168981483</v>
      </c>
      <c r="B204" s="162" t="s">
        <v>1974</v>
      </c>
      <c r="C204" s="162" t="s">
        <v>1975</v>
      </c>
      <c r="D204" s="162">
        <v>74</v>
      </c>
      <c r="E204" s="162">
        <v>0</v>
      </c>
      <c r="F204" s="162">
        <v>68948.42</v>
      </c>
      <c r="G204" s="162" t="s">
        <v>91</v>
      </c>
      <c r="H204" s="162" t="s">
        <v>1019</v>
      </c>
    </row>
    <row r="205" spans="1:8" x14ac:dyDescent="0.3">
      <c r="A205" s="161">
        <v>45799</v>
      </c>
      <c r="B205" s="162" t="s">
        <v>192</v>
      </c>
      <c r="C205" s="162" t="s">
        <v>193</v>
      </c>
      <c r="D205" s="162">
        <v>50000</v>
      </c>
      <c r="E205" s="162">
        <v>0</v>
      </c>
      <c r="F205" s="162">
        <v>41198.85</v>
      </c>
      <c r="G205" s="162" t="s">
        <v>181</v>
      </c>
      <c r="H205" s="162" t="s">
        <v>1779</v>
      </c>
    </row>
    <row r="206" spans="1:8" x14ac:dyDescent="0.3">
      <c r="A206" s="161">
        <v>45799</v>
      </c>
      <c r="B206" s="162" t="s">
        <v>50</v>
      </c>
      <c r="C206" s="162" t="s">
        <v>195</v>
      </c>
      <c r="D206" s="162">
        <v>515.35</v>
      </c>
      <c r="E206" s="162">
        <v>0</v>
      </c>
      <c r="F206" s="162">
        <v>40655.31</v>
      </c>
      <c r="G206" s="162" t="s">
        <v>49</v>
      </c>
      <c r="H206" s="162" t="s">
        <v>1779</v>
      </c>
    </row>
    <row r="207" spans="1:8" x14ac:dyDescent="0.3">
      <c r="A207" s="161">
        <v>45799</v>
      </c>
      <c r="B207" s="162" t="s">
        <v>188</v>
      </c>
      <c r="C207" s="162" t="s">
        <v>189</v>
      </c>
      <c r="D207" s="162">
        <v>0</v>
      </c>
      <c r="E207" s="162">
        <v>223.8</v>
      </c>
      <c r="F207" s="162">
        <v>41198.85</v>
      </c>
      <c r="G207" s="162" t="s">
        <v>49</v>
      </c>
      <c r="H207" s="162" t="s">
        <v>1779</v>
      </c>
    </row>
    <row r="208" spans="1:8" x14ac:dyDescent="0.3">
      <c r="A208" s="161">
        <v>45799</v>
      </c>
      <c r="B208" s="162" t="s">
        <v>190</v>
      </c>
      <c r="C208" s="162" t="s">
        <v>191</v>
      </c>
      <c r="D208" s="162">
        <v>0</v>
      </c>
      <c r="E208" s="162">
        <v>50000</v>
      </c>
      <c r="F208" s="162">
        <v>91198.85</v>
      </c>
      <c r="G208" s="162" t="s">
        <v>149</v>
      </c>
      <c r="H208" s="162" t="s">
        <v>1779</v>
      </c>
    </row>
    <row r="209" spans="1:8" x14ac:dyDescent="0.3">
      <c r="A209" s="161">
        <v>45799</v>
      </c>
      <c r="B209" s="162" t="s">
        <v>50</v>
      </c>
      <c r="C209" s="162" t="s">
        <v>194</v>
      </c>
      <c r="D209" s="162">
        <v>28.19</v>
      </c>
      <c r="E209" s="162">
        <v>0</v>
      </c>
      <c r="F209" s="162">
        <v>41170.660000000003</v>
      </c>
      <c r="G209" s="162" t="s">
        <v>49</v>
      </c>
      <c r="H209" s="162" t="s">
        <v>1779</v>
      </c>
    </row>
    <row r="210" spans="1:8" x14ac:dyDescent="0.3">
      <c r="A210" s="161">
        <v>45799</v>
      </c>
      <c r="B210" s="162" t="s">
        <v>1029</v>
      </c>
      <c r="C210" s="162" t="s">
        <v>1005</v>
      </c>
      <c r="D210" s="162">
        <v>1240.6600000000001</v>
      </c>
      <c r="E210" s="162">
        <v>0</v>
      </c>
      <c r="F210" s="162">
        <v>37968.870000000003</v>
      </c>
      <c r="G210" s="162" t="s">
        <v>1028</v>
      </c>
      <c r="H210" s="162" t="s">
        <v>1680</v>
      </c>
    </row>
    <row r="211" spans="1:8" x14ac:dyDescent="0.3">
      <c r="A211" s="161">
        <v>45799.675752314812</v>
      </c>
      <c r="B211" s="162" t="s">
        <v>1976</v>
      </c>
      <c r="C211" s="162" t="s">
        <v>1977</v>
      </c>
      <c r="D211" s="162">
        <v>0</v>
      </c>
      <c r="E211" s="162">
        <v>9220</v>
      </c>
      <c r="F211" s="162">
        <v>78168.42</v>
      </c>
      <c r="G211" s="162" t="s">
        <v>112</v>
      </c>
      <c r="H211" s="162" t="s">
        <v>1019</v>
      </c>
    </row>
    <row r="212" spans="1:8" x14ac:dyDescent="0.3">
      <c r="A212" s="161">
        <v>45799.876909722218</v>
      </c>
      <c r="B212" s="162" t="s">
        <v>1978</v>
      </c>
      <c r="C212" s="162" t="s">
        <v>1979</v>
      </c>
      <c r="D212" s="162">
        <v>10000</v>
      </c>
      <c r="E212" s="162">
        <v>0</v>
      </c>
      <c r="F212" s="162">
        <v>68168.42</v>
      </c>
      <c r="G212" s="162" t="s">
        <v>1031</v>
      </c>
      <c r="H212" s="162" t="s">
        <v>1019</v>
      </c>
    </row>
    <row r="213" spans="1:8" x14ac:dyDescent="0.3">
      <c r="A213" s="161">
        <v>45800</v>
      </c>
      <c r="B213" s="162" t="s">
        <v>50</v>
      </c>
      <c r="C213" s="162" t="s">
        <v>196</v>
      </c>
      <c r="D213" s="162">
        <v>28.09</v>
      </c>
      <c r="E213" s="162">
        <v>0</v>
      </c>
      <c r="F213" s="162">
        <v>40627.22</v>
      </c>
      <c r="G213" s="162" t="s">
        <v>49</v>
      </c>
      <c r="H213" s="162" t="s">
        <v>1779</v>
      </c>
    </row>
    <row r="214" spans="1:8" x14ac:dyDescent="0.3">
      <c r="A214" s="161">
        <v>45800.718622685177</v>
      </c>
      <c r="B214" s="162" t="s">
        <v>1980</v>
      </c>
      <c r="C214" s="162" t="s">
        <v>1981</v>
      </c>
      <c r="D214" s="162">
        <v>88</v>
      </c>
      <c r="E214" s="162">
        <v>0</v>
      </c>
      <c r="F214" s="162">
        <v>68080.42</v>
      </c>
      <c r="G214" s="162" t="s">
        <v>91</v>
      </c>
      <c r="H214" s="162" t="s">
        <v>1019</v>
      </c>
    </row>
    <row r="215" spans="1:8" x14ac:dyDescent="0.3">
      <c r="A215" s="161">
        <v>45803</v>
      </c>
      <c r="B215" s="162" t="s">
        <v>197</v>
      </c>
      <c r="C215" s="162" t="s">
        <v>198</v>
      </c>
      <c r="D215" s="162">
        <v>0</v>
      </c>
      <c r="E215" s="162">
        <v>422.3</v>
      </c>
      <c r="F215" s="162">
        <v>41049.519999999997</v>
      </c>
      <c r="G215" s="162" t="s">
        <v>49</v>
      </c>
      <c r="H215" s="162" t="s">
        <v>1779</v>
      </c>
    </row>
    <row r="216" spans="1:8" x14ac:dyDescent="0.3">
      <c r="A216" s="161">
        <v>45803</v>
      </c>
      <c r="B216" s="162" t="s">
        <v>50</v>
      </c>
      <c r="C216" s="162" t="s">
        <v>199</v>
      </c>
      <c r="D216" s="162">
        <v>84.27</v>
      </c>
      <c r="E216" s="162">
        <v>0</v>
      </c>
      <c r="F216" s="162">
        <v>40965.25</v>
      </c>
      <c r="G216" s="162" t="s">
        <v>49</v>
      </c>
      <c r="H216" s="162" t="s">
        <v>1779</v>
      </c>
    </row>
    <row r="217" spans="1:8" x14ac:dyDescent="0.3">
      <c r="A217" s="161">
        <v>45803</v>
      </c>
      <c r="B217" s="162" t="s">
        <v>50</v>
      </c>
      <c r="C217" s="162" t="s">
        <v>200</v>
      </c>
      <c r="D217" s="162">
        <v>6503.99</v>
      </c>
      <c r="E217" s="162">
        <v>0</v>
      </c>
      <c r="F217" s="162">
        <v>34461.26</v>
      </c>
      <c r="G217" s="162" t="s">
        <v>49</v>
      </c>
      <c r="H217" s="162" t="s">
        <v>1779</v>
      </c>
    </row>
    <row r="218" spans="1:8" x14ac:dyDescent="0.3">
      <c r="A218" s="161">
        <v>45803.359699074077</v>
      </c>
      <c r="B218" s="162" t="s">
        <v>1982</v>
      </c>
      <c r="C218" s="162" t="s">
        <v>1983</v>
      </c>
      <c r="D218" s="162">
        <v>90</v>
      </c>
      <c r="E218" s="162">
        <v>0</v>
      </c>
      <c r="F218" s="162">
        <v>67990.42</v>
      </c>
      <c r="G218" s="162" t="s">
        <v>131</v>
      </c>
      <c r="H218" s="162" t="s">
        <v>1019</v>
      </c>
    </row>
    <row r="219" spans="1:8" x14ac:dyDescent="0.3">
      <c r="A219" s="161">
        <v>45803.368622685193</v>
      </c>
      <c r="B219" s="162" t="s">
        <v>1984</v>
      </c>
      <c r="C219" s="162" t="s">
        <v>1985</v>
      </c>
      <c r="D219" s="162">
        <v>405</v>
      </c>
      <c r="E219" s="162">
        <v>0</v>
      </c>
      <c r="F219" s="162">
        <v>67585.42</v>
      </c>
      <c r="G219" s="162" t="s">
        <v>91</v>
      </c>
      <c r="H219" s="162" t="s">
        <v>1019</v>
      </c>
    </row>
    <row r="220" spans="1:8" x14ac:dyDescent="0.3">
      <c r="A220" s="161">
        <v>45803.371099537027</v>
      </c>
      <c r="B220" s="162" t="s">
        <v>1986</v>
      </c>
      <c r="C220" s="162" t="s">
        <v>1987</v>
      </c>
      <c r="D220" s="162">
        <v>20</v>
      </c>
      <c r="E220" s="162">
        <v>0</v>
      </c>
      <c r="F220" s="162">
        <v>67565.42</v>
      </c>
      <c r="G220" s="162" t="s">
        <v>91</v>
      </c>
      <c r="H220" s="162" t="s">
        <v>1019</v>
      </c>
    </row>
    <row r="221" spans="1:8" x14ac:dyDescent="0.3">
      <c r="A221" s="161">
        <v>45803.711770833332</v>
      </c>
      <c r="B221" s="162" t="s">
        <v>1988</v>
      </c>
      <c r="C221" s="162" t="s">
        <v>1989</v>
      </c>
      <c r="D221" s="162">
        <v>0</v>
      </c>
      <c r="E221" s="162">
        <v>24</v>
      </c>
      <c r="F221" s="162">
        <v>67589.42</v>
      </c>
      <c r="G221" s="162" t="s">
        <v>17</v>
      </c>
      <c r="H221" s="162" t="s">
        <v>1019</v>
      </c>
    </row>
    <row r="222" spans="1:8" x14ac:dyDescent="0.3">
      <c r="A222" s="161">
        <v>45804</v>
      </c>
      <c r="B222" s="162" t="s">
        <v>50</v>
      </c>
      <c r="C222" s="162" t="s">
        <v>201</v>
      </c>
      <c r="D222" s="162">
        <v>25.92</v>
      </c>
      <c r="E222" s="162">
        <v>0</v>
      </c>
      <c r="F222" s="162">
        <v>34435.339999999997</v>
      </c>
      <c r="G222" s="162" t="s">
        <v>49</v>
      </c>
      <c r="H222" s="162" t="s">
        <v>1779</v>
      </c>
    </row>
    <row r="223" spans="1:8" x14ac:dyDescent="0.3">
      <c r="A223" s="161">
        <v>45804</v>
      </c>
      <c r="B223" s="162" t="s">
        <v>50</v>
      </c>
      <c r="C223" s="162" t="s">
        <v>202</v>
      </c>
      <c r="D223" s="162">
        <v>344.54</v>
      </c>
      <c r="E223" s="162">
        <v>0</v>
      </c>
      <c r="F223" s="162">
        <v>34090.800000000003</v>
      </c>
      <c r="G223" s="162" t="s">
        <v>49</v>
      </c>
      <c r="H223" s="162" t="s">
        <v>1779</v>
      </c>
    </row>
    <row r="224" spans="1:8" x14ac:dyDescent="0.3">
      <c r="A224" s="161">
        <v>45804.433449074073</v>
      </c>
      <c r="B224" s="162" t="s">
        <v>1990</v>
      </c>
      <c r="C224" s="162" t="s">
        <v>1991</v>
      </c>
      <c r="D224" s="162">
        <v>127</v>
      </c>
      <c r="E224" s="162">
        <v>0</v>
      </c>
      <c r="F224" s="162">
        <v>67462.42</v>
      </c>
      <c r="G224" s="162" t="s">
        <v>91</v>
      </c>
      <c r="H224" s="162" t="s">
        <v>1019</v>
      </c>
    </row>
    <row r="225" spans="1:8" x14ac:dyDescent="0.3">
      <c r="A225" s="161">
        <v>45805</v>
      </c>
      <c r="B225" s="162" t="s">
        <v>203</v>
      </c>
      <c r="C225" s="162" t="s">
        <v>204</v>
      </c>
      <c r="D225" s="162">
        <v>5000</v>
      </c>
      <c r="E225" s="162">
        <v>0</v>
      </c>
      <c r="F225" s="162">
        <v>29090.799999999999</v>
      </c>
      <c r="G225" s="162" t="s">
        <v>2</v>
      </c>
      <c r="H225" s="162" t="s">
        <v>1779</v>
      </c>
    </row>
    <row r="226" spans="1:8" x14ac:dyDescent="0.3">
      <c r="A226" s="161">
        <v>45805</v>
      </c>
      <c r="B226" s="162" t="s">
        <v>50</v>
      </c>
      <c r="C226" s="162" t="s">
        <v>205</v>
      </c>
      <c r="D226" s="162">
        <v>31.84</v>
      </c>
      <c r="E226" s="162">
        <v>0</v>
      </c>
      <c r="F226" s="162">
        <v>29058.959999999999</v>
      </c>
      <c r="G226" s="162" t="s">
        <v>49</v>
      </c>
      <c r="H226" s="162" t="s">
        <v>1779</v>
      </c>
    </row>
    <row r="227" spans="1:8" x14ac:dyDescent="0.3">
      <c r="A227" s="161">
        <v>45805.283750000002</v>
      </c>
      <c r="B227" s="162" t="s">
        <v>1992</v>
      </c>
      <c r="C227" s="162" t="s">
        <v>1993</v>
      </c>
      <c r="D227" s="162">
        <v>7000</v>
      </c>
      <c r="E227" s="162">
        <v>0</v>
      </c>
      <c r="F227" s="162">
        <v>60462.42</v>
      </c>
      <c r="G227" s="162" t="s">
        <v>2</v>
      </c>
      <c r="H227" s="162" t="s">
        <v>1019</v>
      </c>
    </row>
    <row r="228" spans="1:8" x14ac:dyDescent="0.3">
      <c r="A228" s="161">
        <v>45806</v>
      </c>
      <c r="B228" s="162" t="s">
        <v>1713</v>
      </c>
      <c r="C228" s="162"/>
      <c r="D228" s="162">
        <v>1001</v>
      </c>
      <c r="E228" s="162">
        <v>0</v>
      </c>
      <c r="F228" s="162">
        <v>12044.21</v>
      </c>
      <c r="G228" s="162" t="s">
        <v>1031</v>
      </c>
      <c r="H228" s="162" t="s">
        <v>837</v>
      </c>
    </row>
    <row r="229" spans="1:8" x14ac:dyDescent="0.3">
      <c r="A229" s="161">
        <v>45806</v>
      </c>
      <c r="B229" s="162" t="s">
        <v>1712</v>
      </c>
      <c r="C229" s="162"/>
      <c r="D229" s="162">
        <v>0</v>
      </c>
      <c r="E229" s="162">
        <v>1001</v>
      </c>
      <c r="F229" s="162">
        <v>13045.21</v>
      </c>
      <c r="G229" s="162" t="s">
        <v>1031</v>
      </c>
      <c r="H229" s="162" t="s">
        <v>837</v>
      </c>
    </row>
    <row r="230" spans="1:8" x14ac:dyDescent="0.3">
      <c r="A230" s="161">
        <v>45806</v>
      </c>
      <c r="B230" s="162" t="s">
        <v>1030</v>
      </c>
      <c r="C230" s="162" t="s">
        <v>1005</v>
      </c>
      <c r="D230" s="162">
        <v>0</v>
      </c>
      <c r="E230" s="162">
        <v>1001</v>
      </c>
      <c r="F230" s="162">
        <v>38969.870000000003</v>
      </c>
      <c r="G230" s="162" t="s">
        <v>1031</v>
      </c>
      <c r="H230" s="162" t="s">
        <v>1680</v>
      </c>
    </row>
    <row r="231" spans="1:8" x14ac:dyDescent="0.3">
      <c r="A231" s="161">
        <v>45806</v>
      </c>
      <c r="B231" s="162" t="s">
        <v>1032</v>
      </c>
      <c r="C231" s="162" t="s">
        <v>1005</v>
      </c>
      <c r="D231" s="162">
        <v>1001</v>
      </c>
      <c r="E231" s="162">
        <v>0</v>
      </c>
      <c r="F231" s="162">
        <v>37968.870000000003</v>
      </c>
      <c r="G231" s="162" t="s">
        <v>1031</v>
      </c>
      <c r="H231" s="162" t="s">
        <v>1680</v>
      </c>
    </row>
    <row r="232" spans="1:8" x14ac:dyDescent="0.3">
      <c r="A232" s="161">
        <v>45806</v>
      </c>
      <c r="B232" s="162" t="s">
        <v>50</v>
      </c>
      <c r="C232" s="162" t="s">
        <v>208</v>
      </c>
      <c r="D232" s="162">
        <v>31.84</v>
      </c>
      <c r="E232" s="162">
        <v>0</v>
      </c>
      <c r="F232" s="162">
        <v>29358.68</v>
      </c>
      <c r="G232" s="162" t="s">
        <v>49</v>
      </c>
      <c r="H232" s="162" t="s">
        <v>1779</v>
      </c>
    </row>
    <row r="233" spans="1:8" x14ac:dyDescent="0.3">
      <c r="A233" s="161">
        <v>45806</v>
      </c>
      <c r="B233" s="162" t="s">
        <v>206</v>
      </c>
      <c r="C233" s="162" t="s">
        <v>207</v>
      </c>
      <c r="D233" s="162">
        <v>0</v>
      </c>
      <c r="E233" s="162">
        <v>331.56</v>
      </c>
      <c r="F233" s="162">
        <v>29390.52</v>
      </c>
      <c r="G233" s="162" t="s">
        <v>49</v>
      </c>
      <c r="H233" s="162" t="s">
        <v>1779</v>
      </c>
    </row>
    <row r="234" spans="1:8" x14ac:dyDescent="0.3">
      <c r="A234" s="161">
        <v>45807</v>
      </c>
      <c r="B234" s="162" t="s">
        <v>211</v>
      </c>
      <c r="C234" s="162" t="s">
        <v>212</v>
      </c>
      <c r="D234" s="162">
        <v>5000</v>
      </c>
      <c r="E234" s="162">
        <v>0</v>
      </c>
      <c r="F234" s="162">
        <v>24395.49</v>
      </c>
      <c r="G234" s="162" t="s">
        <v>2</v>
      </c>
      <c r="H234" s="162" t="s">
        <v>1779</v>
      </c>
    </row>
    <row r="235" spans="1:8" x14ac:dyDescent="0.3">
      <c r="A235" s="161">
        <v>45807</v>
      </c>
      <c r="B235" s="162" t="s">
        <v>209</v>
      </c>
      <c r="C235" s="162" t="s">
        <v>210</v>
      </c>
      <c r="D235" s="162">
        <v>0</v>
      </c>
      <c r="E235" s="162">
        <v>36.81</v>
      </c>
      <c r="F235" s="162">
        <v>29395.49</v>
      </c>
      <c r="G235" s="162" t="s">
        <v>49</v>
      </c>
      <c r="H235" s="162" t="s">
        <v>1779</v>
      </c>
    </row>
    <row r="236" spans="1:8" x14ac:dyDescent="0.3">
      <c r="A236" s="161">
        <v>45807</v>
      </c>
      <c r="B236" s="162" t="s">
        <v>50</v>
      </c>
      <c r="C236" s="162" t="s">
        <v>216</v>
      </c>
      <c r="D236" s="162">
        <v>3389.73</v>
      </c>
      <c r="E236" s="162">
        <v>0</v>
      </c>
      <c r="F236" s="162">
        <v>23120.3</v>
      </c>
      <c r="G236" s="162" t="s">
        <v>49</v>
      </c>
      <c r="H236" s="162" t="s">
        <v>1779</v>
      </c>
    </row>
    <row r="237" spans="1:8" x14ac:dyDescent="0.3">
      <c r="A237" s="161">
        <v>45807</v>
      </c>
      <c r="B237" s="162" t="s">
        <v>50</v>
      </c>
      <c r="C237" s="162" t="s">
        <v>215</v>
      </c>
      <c r="D237" s="162">
        <v>31.96</v>
      </c>
      <c r="E237" s="162">
        <v>0</v>
      </c>
      <c r="F237" s="162">
        <v>26510.03</v>
      </c>
      <c r="G237" s="162" t="s">
        <v>49</v>
      </c>
      <c r="H237" s="162" t="s">
        <v>1779</v>
      </c>
    </row>
    <row r="238" spans="1:8" x14ac:dyDescent="0.3">
      <c r="A238" s="161">
        <v>45807</v>
      </c>
      <c r="B238" s="162" t="s">
        <v>213</v>
      </c>
      <c r="C238" s="162" t="s">
        <v>214</v>
      </c>
      <c r="D238" s="162">
        <v>0</v>
      </c>
      <c r="E238" s="162">
        <v>2146.5</v>
      </c>
      <c r="F238" s="162">
        <v>26541.99</v>
      </c>
      <c r="G238" s="162" t="s">
        <v>17</v>
      </c>
      <c r="H238" s="162" t="s">
        <v>1779</v>
      </c>
    </row>
    <row r="239" spans="1:8" x14ac:dyDescent="0.3">
      <c r="A239" s="161">
        <v>45807</v>
      </c>
      <c r="B239" s="162" t="s">
        <v>1714</v>
      </c>
      <c r="C239" s="162"/>
      <c r="D239" s="162">
        <v>437.25</v>
      </c>
      <c r="E239" s="162">
        <v>0</v>
      </c>
      <c r="F239" s="162">
        <v>11606.96</v>
      </c>
      <c r="G239" s="162" t="s">
        <v>1014</v>
      </c>
      <c r="H239" s="162" t="s">
        <v>837</v>
      </c>
    </row>
    <row r="240" spans="1:8" x14ac:dyDescent="0.3">
      <c r="A240" s="161">
        <v>45807.438715277778</v>
      </c>
      <c r="B240" s="162" t="s">
        <v>1994</v>
      </c>
      <c r="C240" s="162" t="s">
        <v>1995</v>
      </c>
      <c r="D240" s="162">
        <v>272.25</v>
      </c>
      <c r="E240" s="162">
        <v>0</v>
      </c>
      <c r="F240" s="162">
        <v>60190.17</v>
      </c>
      <c r="G240" s="162" t="s">
        <v>1014</v>
      </c>
      <c r="H240" s="162" t="s">
        <v>1019</v>
      </c>
    </row>
    <row r="241" spans="1:8" x14ac:dyDescent="0.3">
      <c r="A241" s="161">
        <v>45807.744988425933</v>
      </c>
      <c r="B241" s="162" t="s">
        <v>1996</v>
      </c>
      <c r="C241" s="162" t="s">
        <v>1997</v>
      </c>
      <c r="D241" s="162">
        <v>70</v>
      </c>
      <c r="E241" s="162">
        <v>0</v>
      </c>
      <c r="F241" s="162">
        <v>60120.17</v>
      </c>
      <c r="G241" s="162" t="s">
        <v>91</v>
      </c>
      <c r="H241" s="162" t="s">
        <v>1019</v>
      </c>
    </row>
    <row r="242" spans="1:8" x14ac:dyDescent="0.3">
      <c r="A242" s="161">
        <v>45807.761956018519</v>
      </c>
      <c r="B242" s="162" t="s">
        <v>1999</v>
      </c>
      <c r="C242" s="162" t="s">
        <v>2000</v>
      </c>
      <c r="D242" s="162">
        <v>84</v>
      </c>
      <c r="E242" s="162">
        <v>0</v>
      </c>
      <c r="F242" s="162">
        <v>60036.17</v>
      </c>
      <c r="G242" s="162" t="s">
        <v>131</v>
      </c>
      <c r="H242" s="162" t="s">
        <v>1019</v>
      </c>
    </row>
    <row r="243" spans="1:8" x14ac:dyDescent="0.3">
      <c r="A243" s="161">
        <v>45807.968576388892</v>
      </c>
      <c r="B243" s="162" t="s">
        <v>2001</v>
      </c>
      <c r="C243" s="162" t="s">
        <v>2002</v>
      </c>
      <c r="D243" s="162">
        <v>192.7</v>
      </c>
      <c r="E243" s="162">
        <v>0</v>
      </c>
      <c r="F243" s="162">
        <v>59843.47</v>
      </c>
      <c r="G243" s="162" t="s">
        <v>1014</v>
      </c>
      <c r="H243" s="162" t="s">
        <v>1019</v>
      </c>
    </row>
    <row r="244" spans="1:8" x14ac:dyDescent="0.3">
      <c r="A244" s="161">
        <v>45808.816689814812</v>
      </c>
      <c r="B244" s="162" t="s">
        <v>2003</v>
      </c>
      <c r="C244" s="162" t="s">
        <v>2004</v>
      </c>
      <c r="D244" s="162">
        <v>0</v>
      </c>
      <c r="E244" s="162">
        <v>799</v>
      </c>
      <c r="F244" s="162">
        <v>60642.47</v>
      </c>
      <c r="G244" s="162" t="s">
        <v>181</v>
      </c>
      <c r="H244" s="162" t="s">
        <v>1019</v>
      </c>
    </row>
    <row r="245" spans="1:8" x14ac:dyDescent="0.3">
      <c r="A245" s="161">
        <v>45808.845590277779</v>
      </c>
      <c r="B245" s="162" t="s">
        <v>2005</v>
      </c>
      <c r="C245" s="162" t="s">
        <v>2006</v>
      </c>
      <c r="D245" s="162">
        <v>0</v>
      </c>
      <c r="E245" s="162">
        <v>1000</v>
      </c>
      <c r="F245" s="162">
        <v>61642.47</v>
      </c>
      <c r="G245" s="162" t="s">
        <v>181</v>
      </c>
      <c r="H245" s="162" t="s">
        <v>1019</v>
      </c>
    </row>
    <row r="246" spans="1:8" x14ac:dyDescent="0.3">
      <c r="A246" s="161">
        <v>45808.925555555557</v>
      </c>
      <c r="B246" s="162" t="s">
        <v>2007</v>
      </c>
      <c r="C246" s="162" t="s">
        <v>2008</v>
      </c>
      <c r="D246" s="162">
        <v>1800</v>
      </c>
      <c r="E246" s="162">
        <v>0</v>
      </c>
      <c r="F246" s="162">
        <v>59842.47</v>
      </c>
      <c r="G246" s="162" t="s">
        <v>181</v>
      </c>
      <c r="H246" s="162" t="s">
        <v>1019</v>
      </c>
    </row>
    <row r="247" spans="1:8" x14ac:dyDescent="0.3">
      <c r="A247" s="161">
        <v>45809</v>
      </c>
      <c r="B247" s="162" t="s">
        <v>2469</v>
      </c>
      <c r="C247" s="162"/>
      <c r="D247" s="162">
        <v>0</v>
      </c>
      <c r="E247" s="162">
        <v>1</v>
      </c>
      <c r="F247" s="162">
        <v>239</v>
      </c>
      <c r="G247" s="162" t="s">
        <v>22</v>
      </c>
      <c r="H247" s="162" t="s">
        <v>2224</v>
      </c>
    </row>
    <row r="248" spans="1:8" x14ac:dyDescent="0.3">
      <c r="A248" s="161">
        <v>45809.755925925929</v>
      </c>
      <c r="B248" s="162" t="s">
        <v>2009</v>
      </c>
      <c r="C248" s="162" t="s">
        <v>2010</v>
      </c>
      <c r="D248" s="162">
        <v>66</v>
      </c>
      <c r="E248" s="162">
        <v>0</v>
      </c>
      <c r="F248" s="162">
        <v>59776.47</v>
      </c>
      <c r="G248" s="162" t="s">
        <v>91</v>
      </c>
      <c r="H248" s="162" t="s">
        <v>1019</v>
      </c>
    </row>
    <row r="249" spans="1:8" x14ac:dyDescent="0.3">
      <c r="A249" s="161">
        <v>45809.756689814807</v>
      </c>
      <c r="B249" s="162" t="s">
        <v>2011</v>
      </c>
      <c r="C249" s="162" t="s">
        <v>2012</v>
      </c>
      <c r="D249" s="162">
        <v>24</v>
      </c>
      <c r="E249" s="162">
        <v>0</v>
      </c>
      <c r="F249" s="162">
        <v>59752.47</v>
      </c>
      <c r="G249" s="162" t="s">
        <v>131</v>
      </c>
      <c r="H249" s="162" t="s">
        <v>1019</v>
      </c>
    </row>
    <row r="250" spans="1:8" x14ac:dyDescent="0.3">
      <c r="A250" s="161">
        <v>45810</v>
      </c>
      <c r="B250" s="162" t="s">
        <v>1034</v>
      </c>
      <c r="C250" s="162" t="s">
        <v>1005</v>
      </c>
      <c r="D250" s="162">
        <v>23000</v>
      </c>
      <c r="E250" s="162">
        <v>0</v>
      </c>
      <c r="F250" s="162">
        <v>117516.87</v>
      </c>
      <c r="G250" s="162" t="s">
        <v>990</v>
      </c>
      <c r="H250" s="162" t="s">
        <v>1680</v>
      </c>
    </row>
    <row r="251" spans="1:8" x14ac:dyDescent="0.3">
      <c r="A251" s="161">
        <v>45810</v>
      </c>
      <c r="B251" s="162" t="s">
        <v>1716</v>
      </c>
      <c r="C251" s="162"/>
      <c r="D251" s="162">
        <v>0</v>
      </c>
      <c r="E251" s="162">
        <v>1</v>
      </c>
      <c r="F251" s="162">
        <v>11608.96</v>
      </c>
      <c r="G251" s="162" t="s">
        <v>1046</v>
      </c>
      <c r="H251" s="162" t="s">
        <v>837</v>
      </c>
    </row>
    <row r="252" spans="1:8" x14ac:dyDescent="0.3">
      <c r="A252" s="161">
        <v>45810</v>
      </c>
      <c r="B252" s="162" t="s">
        <v>1033</v>
      </c>
      <c r="C252" s="162" t="s">
        <v>1005</v>
      </c>
      <c r="D252" s="162">
        <v>0</v>
      </c>
      <c r="E252" s="162">
        <v>102548</v>
      </c>
      <c r="F252" s="162">
        <v>140516.87</v>
      </c>
      <c r="G252" s="162" t="s">
        <v>972</v>
      </c>
      <c r="H252" s="162" t="s">
        <v>1680</v>
      </c>
    </row>
    <row r="253" spans="1:8" x14ac:dyDescent="0.3">
      <c r="A253" s="161">
        <v>45810</v>
      </c>
      <c r="B253" s="162" t="s">
        <v>1715</v>
      </c>
      <c r="C253" s="162"/>
      <c r="D253" s="162">
        <v>0</v>
      </c>
      <c r="E253" s="162">
        <v>1</v>
      </c>
      <c r="F253" s="162">
        <v>11607.96</v>
      </c>
      <c r="G253" s="162" t="s">
        <v>1046</v>
      </c>
      <c r="H253" s="162" t="s">
        <v>837</v>
      </c>
    </row>
    <row r="254" spans="1:8" x14ac:dyDescent="0.3">
      <c r="A254" s="161">
        <v>45810</v>
      </c>
      <c r="B254" s="162" t="s">
        <v>50</v>
      </c>
      <c r="C254" s="162" t="s">
        <v>218</v>
      </c>
      <c r="D254" s="162">
        <v>208.43</v>
      </c>
      <c r="E254" s="162">
        <v>0</v>
      </c>
      <c r="F254" s="162">
        <v>22819.59</v>
      </c>
      <c r="G254" s="162" t="s">
        <v>49</v>
      </c>
      <c r="H254" s="162" t="s">
        <v>1779</v>
      </c>
    </row>
    <row r="255" spans="1:8" x14ac:dyDescent="0.3">
      <c r="A255" s="161">
        <v>45810</v>
      </c>
      <c r="B255" s="162" t="s">
        <v>1036</v>
      </c>
      <c r="C255" s="162" t="s">
        <v>1005</v>
      </c>
      <c r="D255" s="162">
        <v>40000</v>
      </c>
      <c r="E255" s="162">
        <v>0</v>
      </c>
      <c r="F255" s="162">
        <v>72516.87</v>
      </c>
      <c r="G255" s="162" t="s">
        <v>1019</v>
      </c>
      <c r="H255" s="162" t="s">
        <v>1680</v>
      </c>
    </row>
    <row r="256" spans="1:8" x14ac:dyDescent="0.3">
      <c r="A256" s="161">
        <v>45810</v>
      </c>
      <c r="B256" s="162" t="s">
        <v>1035</v>
      </c>
      <c r="C256" s="162" t="s">
        <v>1005</v>
      </c>
      <c r="D256" s="162">
        <v>5000</v>
      </c>
      <c r="E256" s="162">
        <v>0</v>
      </c>
      <c r="F256" s="162">
        <v>112516.87</v>
      </c>
      <c r="G256" s="162" t="s">
        <v>1019</v>
      </c>
      <c r="H256" s="162" t="s">
        <v>1680</v>
      </c>
    </row>
    <row r="257" spans="1:8" x14ac:dyDescent="0.3">
      <c r="A257" s="161">
        <v>45810</v>
      </c>
      <c r="B257" s="162" t="s">
        <v>50</v>
      </c>
      <c r="C257" s="162" t="s">
        <v>217</v>
      </c>
      <c r="D257" s="162">
        <v>92.28</v>
      </c>
      <c r="E257" s="162">
        <v>0</v>
      </c>
      <c r="F257" s="162">
        <v>23028.02</v>
      </c>
      <c r="G257" s="162" t="s">
        <v>49</v>
      </c>
      <c r="H257" s="162" t="s">
        <v>1779</v>
      </c>
    </row>
    <row r="258" spans="1:8" x14ac:dyDescent="0.3">
      <c r="A258" s="161">
        <v>45810.543657407397</v>
      </c>
      <c r="B258" s="162" t="s">
        <v>2013</v>
      </c>
      <c r="C258" s="162" t="s">
        <v>2014</v>
      </c>
      <c r="D258" s="162">
        <v>0</v>
      </c>
      <c r="E258" s="162">
        <v>5000</v>
      </c>
      <c r="F258" s="162">
        <v>64752.47</v>
      </c>
      <c r="G258" s="162" t="s">
        <v>1680</v>
      </c>
      <c r="H258" s="162" t="s">
        <v>1019</v>
      </c>
    </row>
    <row r="259" spans="1:8" x14ac:dyDescent="0.3">
      <c r="A259" s="161">
        <v>45810.545717592591</v>
      </c>
      <c r="B259" s="162" t="s">
        <v>2015</v>
      </c>
      <c r="C259" s="162" t="s">
        <v>2016</v>
      </c>
      <c r="D259" s="162">
        <v>0</v>
      </c>
      <c r="E259" s="162">
        <v>40000</v>
      </c>
      <c r="F259" s="162">
        <v>104752.47</v>
      </c>
      <c r="G259" s="162" t="s">
        <v>1680</v>
      </c>
      <c r="H259" s="162" t="s">
        <v>1019</v>
      </c>
    </row>
    <row r="260" spans="1:8" x14ac:dyDescent="0.3">
      <c r="A260" s="161">
        <v>45811</v>
      </c>
      <c r="B260" s="162" t="s">
        <v>50</v>
      </c>
      <c r="C260" s="162" t="s">
        <v>224</v>
      </c>
      <c r="D260" s="162">
        <v>370.41</v>
      </c>
      <c r="E260" s="162">
        <v>0</v>
      </c>
      <c r="F260" s="162">
        <v>49058.32</v>
      </c>
      <c r="G260" s="162" t="s">
        <v>49</v>
      </c>
      <c r="H260" s="162" t="s">
        <v>1779</v>
      </c>
    </row>
    <row r="261" spans="1:8" x14ac:dyDescent="0.3">
      <c r="A261" s="161">
        <v>45811</v>
      </c>
      <c r="B261" s="162" t="s">
        <v>222</v>
      </c>
      <c r="C261" s="162" t="s">
        <v>223</v>
      </c>
      <c r="D261" s="162">
        <v>0</v>
      </c>
      <c r="E261" s="162">
        <v>1215</v>
      </c>
      <c r="F261" s="162">
        <v>49428.73</v>
      </c>
      <c r="G261" s="162" t="s">
        <v>17</v>
      </c>
      <c r="H261" s="162" t="s">
        <v>1779</v>
      </c>
    </row>
    <row r="262" spans="1:8" x14ac:dyDescent="0.3">
      <c r="A262" s="161">
        <v>45811</v>
      </c>
      <c r="B262" s="162" t="s">
        <v>219</v>
      </c>
      <c r="C262" s="162" t="s">
        <v>220</v>
      </c>
      <c r="D262" s="162">
        <v>0</v>
      </c>
      <c r="E262" s="162">
        <v>25427.919999999998</v>
      </c>
      <c r="F262" s="162">
        <v>48247.51</v>
      </c>
      <c r="G262" s="162" t="s">
        <v>49</v>
      </c>
      <c r="H262" s="162" t="s">
        <v>1779</v>
      </c>
    </row>
    <row r="263" spans="1:8" x14ac:dyDescent="0.3">
      <c r="A263" s="161">
        <v>45811</v>
      </c>
      <c r="B263" s="162" t="s">
        <v>50</v>
      </c>
      <c r="C263" s="162" t="s">
        <v>221</v>
      </c>
      <c r="D263" s="162">
        <v>33.78</v>
      </c>
      <c r="E263" s="162">
        <v>0</v>
      </c>
      <c r="F263" s="162">
        <v>48213.73</v>
      </c>
      <c r="G263" s="162" t="s">
        <v>49</v>
      </c>
      <c r="H263" s="162" t="s">
        <v>1779</v>
      </c>
    </row>
    <row r="264" spans="1:8" x14ac:dyDescent="0.3">
      <c r="A264" s="161">
        <v>45811.019166666672</v>
      </c>
      <c r="B264" s="162" t="s">
        <v>2017</v>
      </c>
      <c r="C264" s="162" t="s">
        <v>2018</v>
      </c>
      <c r="D264" s="162">
        <v>0</v>
      </c>
      <c r="E264" s="162">
        <v>49.36</v>
      </c>
      <c r="F264" s="162">
        <v>104801.83</v>
      </c>
      <c r="G264" s="162" t="s">
        <v>1658</v>
      </c>
      <c r="H264" s="162" t="s">
        <v>1019</v>
      </c>
    </row>
    <row r="265" spans="1:8" x14ac:dyDescent="0.3">
      <c r="A265" s="161">
        <v>45811.437858796293</v>
      </c>
      <c r="B265" s="162" t="s">
        <v>2019</v>
      </c>
      <c r="C265" s="162" t="s">
        <v>2020</v>
      </c>
      <c r="D265" s="162">
        <v>72</v>
      </c>
      <c r="E265" s="162">
        <v>0</v>
      </c>
      <c r="F265" s="162">
        <v>104729.83</v>
      </c>
      <c r="G265" s="162" t="s">
        <v>91</v>
      </c>
      <c r="H265" s="162" t="s">
        <v>1019</v>
      </c>
    </row>
    <row r="266" spans="1:8" x14ac:dyDescent="0.3">
      <c r="A266" s="161">
        <v>45811.712777777779</v>
      </c>
      <c r="B266" s="162" t="s">
        <v>2022</v>
      </c>
      <c r="C266" s="162" t="s">
        <v>2023</v>
      </c>
      <c r="D266" s="162">
        <v>47</v>
      </c>
      <c r="E266" s="162">
        <v>0</v>
      </c>
      <c r="F266" s="162">
        <v>104682.83</v>
      </c>
      <c r="G266" s="162" t="s">
        <v>91</v>
      </c>
      <c r="H266" s="162" t="s">
        <v>1019</v>
      </c>
    </row>
    <row r="267" spans="1:8" x14ac:dyDescent="0.3">
      <c r="A267" s="161">
        <v>45811.831724537027</v>
      </c>
      <c r="B267" s="162" t="s">
        <v>2025</v>
      </c>
      <c r="C267" s="162" t="s">
        <v>2026</v>
      </c>
      <c r="D267" s="162">
        <v>260</v>
      </c>
      <c r="E267" s="162">
        <v>0</v>
      </c>
      <c r="F267" s="162">
        <v>104422.83</v>
      </c>
      <c r="G267" s="162" t="s">
        <v>1053</v>
      </c>
      <c r="H267" s="162" t="s">
        <v>1019</v>
      </c>
    </row>
    <row r="268" spans="1:8" x14ac:dyDescent="0.3">
      <c r="A268" s="161">
        <v>45812</v>
      </c>
      <c r="B268" s="162" t="s">
        <v>50</v>
      </c>
      <c r="C268" s="162" t="s">
        <v>228</v>
      </c>
      <c r="D268" s="162">
        <v>21648.28</v>
      </c>
      <c r="E268" s="162">
        <v>0</v>
      </c>
      <c r="F268" s="162">
        <v>27367.43</v>
      </c>
      <c r="G268" s="162" t="s">
        <v>49</v>
      </c>
      <c r="H268" s="162" t="s">
        <v>1779</v>
      </c>
    </row>
    <row r="269" spans="1:8" x14ac:dyDescent="0.3">
      <c r="A269" s="161">
        <v>45812</v>
      </c>
      <c r="B269" s="162" t="s">
        <v>1717</v>
      </c>
      <c r="C269" s="162"/>
      <c r="D269" s="162">
        <v>0</v>
      </c>
      <c r="E269" s="162">
        <v>28</v>
      </c>
      <c r="F269" s="162">
        <v>11636.96</v>
      </c>
      <c r="G269" s="162" t="s">
        <v>91</v>
      </c>
      <c r="H269" s="162" t="s">
        <v>837</v>
      </c>
    </row>
    <row r="270" spans="1:8" x14ac:dyDescent="0.3">
      <c r="A270" s="161">
        <v>45812</v>
      </c>
      <c r="B270" s="162" t="s">
        <v>225</v>
      </c>
      <c r="C270" s="162" t="s">
        <v>226</v>
      </c>
      <c r="D270" s="162">
        <v>8.9600000000000009</v>
      </c>
      <c r="E270" s="162">
        <v>0</v>
      </c>
      <c r="F270" s="162">
        <v>49049.36</v>
      </c>
      <c r="G270" s="162" t="s">
        <v>7</v>
      </c>
      <c r="H270" s="162" t="s">
        <v>1779</v>
      </c>
    </row>
    <row r="271" spans="1:8" x14ac:dyDescent="0.3">
      <c r="A271" s="161">
        <v>45812</v>
      </c>
      <c r="B271" s="162" t="s">
        <v>50</v>
      </c>
      <c r="C271" s="162" t="s">
        <v>227</v>
      </c>
      <c r="D271" s="162">
        <v>33.65</v>
      </c>
      <c r="E271" s="162">
        <v>0</v>
      </c>
      <c r="F271" s="162">
        <v>49015.71</v>
      </c>
      <c r="G271" s="162" t="s">
        <v>49</v>
      </c>
      <c r="H271" s="162" t="s">
        <v>1779</v>
      </c>
    </row>
    <row r="272" spans="1:8" x14ac:dyDescent="0.3">
      <c r="A272" s="161">
        <v>45812.100405092591</v>
      </c>
      <c r="B272" s="162" t="s">
        <v>2027</v>
      </c>
      <c r="C272" s="162" t="s">
        <v>2028</v>
      </c>
      <c r="D272" s="162">
        <v>0</v>
      </c>
      <c r="E272" s="162">
        <v>8</v>
      </c>
      <c r="F272" s="162">
        <v>104430.83</v>
      </c>
      <c r="G272" s="162" t="s">
        <v>1658</v>
      </c>
      <c r="H272" s="162" t="s">
        <v>1019</v>
      </c>
    </row>
    <row r="273" spans="1:8" x14ac:dyDescent="0.3">
      <c r="A273" s="161">
        <v>45812.801701388889</v>
      </c>
      <c r="B273" s="162" t="s">
        <v>2029</v>
      </c>
      <c r="C273" s="162" t="s">
        <v>2030</v>
      </c>
      <c r="D273" s="162">
        <v>20000</v>
      </c>
      <c r="E273" s="162">
        <v>0</v>
      </c>
      <c r="F273" s="162">
        <v>84430.83</v>
      </c>
      <c r="G273" s="162" t="s">
        <v>1701</v>
      </c>
      <c r="H273" s="162" t="s">
        <v>1019</v>
      </c>
    </row>
    <row r="274" spans="1:8" x14ac:dyDescent="0.3">
      <c r="A274" s="161">
        <v>45812.81821759259</v>
      </c>
      <c r="B274" s="162" t="s">
        <v>2031</v>
      </c>
      <c r="C274" s="162" t="s">
        <v>2032</v>
      </c>
      <c r="D274" s="162">
        <v>789</v>
      </c>
      <c r="E274" s="162">
        <v>0</v>
      </c>
      <c r="F274" s="162">
        <v>83641.83</v>
      </c>
      <c r="G274" s="162" t="s">
        <v>91</v>
      </c>
      <c r="H274" s="162" t="s">
        <v>1019</v>
      </c>
    </row>
    <row r="275" spans="1:8" x14ac:dyDescent="0.3">
      <c r="A275" s="161">
        <v>45812.820069444453</v>
      </c>
      <c r="B275" s="162" t="s">
        <v>2034</v>
      </c>
      <c r="C275" s="162" t="s">
        <v>2035</v>
      </c>
      <c r="D275" s="162">
        <v>1001</v>
      </c>
      <c r="E275" s="162">
        <v>0</v>
      </c>
      <c r="F275" s="162">
        <v>82640.83</v>
      </c>
      <c r="G275" s="162" t="s">
        <v>112</v>
      </c>
      <c r="H275" s="162" t="s">
        <v>1019</v>
      </c>
    </row>
    <row r="276" spans="1:8" x14ac:dyDescent="0.3">
      <c r="A276" s="161">
        <v>45813</v>
      </c>
      <c r="B276" s="162" t="s">
        <v>50</v>
      </c>
      <c r="C276" s="162" t="s">
        <v>229</v>
      </c>
      <c r="D276" s="162">
        <v>25.94</v>
      </c>
      <c r="E276" s="162">
        <v>0</v>
      </c>
      <c r="F276" s="162">
        <v>27341.49</v>
      </c>
      <c r="G276" s="162" t="s">
        <v>49</v>
      </c>
      <c r="H276" s="162" t="s">
        <v>1779</v>
      </c>
    </row>
    <row r="277" spans="1:8" x14ac:dyDescent="0.3">
      <c r="A277" s="161">
        <v>45814</v>
      </c>
      <c r="B277" s="162" t="s">
        <v>59</v>
      </c>
      <c r="C277" s="162" t="s">
        <v>233</v>
      </c>
      <c r="D277" s="162">
        <v>0</v>
      </c>
      <c r="E277" s="162">
        <v>144.61000000000001</v>
      </c>
      <c r="F277" s="162">
        <v>27714.09</v>
      </c>
      <c r="G277" s="162" t="s">
        <v>49</v>
      </c>
      <c r="H277" s="162" t="s">
        <v>1779</v>
      </c>
    </row>
    <row r="278" spans="1:8" x14ac:dyDescent="0.3">
      <c r="A278" s="161">
        <v>45814</v>
      </c>
      <c r="B278" s="162" t="s">
        <v>50</v>
      </c>
      <c r="C278" s="162" t="s">
        <v>232</v>
      </c>
      <c r="D278" s="162">
        <v>45.07</v>
      </c>
      <c r="E278" s="162">
        <v>0</v>
      </c>
      <c r="F278" s="162">
        <v>27569.48</v>
      </c>
      <c r="G278" s="162" t="s">
        <v>49</v>
      </c>
      <c r="H278" s="162" t="s">
        <v>1779</v>
      </c>
    </row>
    <row r="279" spans="1:8" x14ac:dyDescent="0.3">
      <c r="A279" s="161">
        <v>45814</v>
      </c>
      <c r="B279" s="162" t="s">
        <v>230</v>
      </c>
      <c r="C279" s="162" t="s">
        <v>231</v>
      </c>
      <c r="D279" s="162">
        <v>0</v>
      </c>
      <c r="E279" s="162">
        <v>273.06</v>
      </c>
      <c r="F279" s="162">
        <v>27614.55</v>
      </c>
      <c r="G279" s="162" t="s">
        <v>49</v>
      </c>
      <c r="H279" s="162" t="s">
        <v>1779</v>
      </c>
    </row>
    <row r="280" spans="1:8" x14ac:dyDescent="0.3">
      <c r="A280" s="161">
        <v>45814.822766203702</v>
      </c>
      <c r="B280" s="162" t="s">
        <v>2036</v>
      </c>
      <c r="C280" s="162" t="s">
        <v>2037</v>
      </c>
      <c r="D280" s="162">
        <v>48</v>
      </c>
      <c r="E280" s="162">
        <v>0</v>
      </c>
      <c r="F280" s="162">
        <v>82592.83</v>
      </c>
      <c r="G280" s="162" t="s">
        <v>131</v>
      </c>
      <c r="H280" s="162" t="s">
        <v>1019</v>
      </c>
    </row>
    <row r="281" spans="1:8" x14ac:dyDescent="0.3">
      <c r="A281" s="161">
        <v>45815</v>
      </c>
      <c r="B281" s="162" t="s">
        <v>234</v>
      </c>
      <c r="C281" s="162" t="s">
        <v>235</v>
      </c>
      <c r="D281" s="162">
        <v>0</v>
      </c>
      <c r="E281" s="162">
        <v>1880</v>
      </c>
      <c r="F281" s="162">
        <v>29594.09</v>
      </c>
      <c r="G281" s="162" t="s">
        <v>63</v>
      </c>
      <c r="H281" s="162" t="s">
        <v>1779</v>
      </c>
    </row>
    <row r="282" spans="1:8" x14ac:dyDescent="0.3">
      <c r="A282" s="161">
        <v>45815.895567129628</v>
      </c>
      <c r="B282" s="162" t="s">
        <v>2038</v>
      </c>
      <c r="C282" s="162" t="s">
        <v>2039</v>
      </c>
      <c r="D282" s="162">
        <v>25</v>
      </c>
      <c r="E282" s="162">
        <v>0</v>
      </c>
      <c r="F282" s="162">
        <v>82567.83</v>
      </c>
      <c r="G282" s="162" t="s">
        <v>91</v>
      </c>
      <c r="H282" s="162" t="s">
        <v>1019</v>
      </c>
    </row>
    <row r="283" spans="1:8" x14ac:dyDescent="0.3">
      <c r="A283" s="161">
        <v>45815.897685185177</v>
      </c>
      <c r="B283" s="162" t="s">
        <v>2040</v>
      </c>
      <c r="C283" s="162" t="s">
        <v>2041</v>
      </c>
      <c r="D283" s="162">
        <v>25</v>
      </c>
      <c r="E283" s="162">
        <v>0</v>
      </c>
      <c r="F283" s="162">
        <v>82542.83</v>
      </c>
      <c r="G283" s="162" t="s">
        <v>91</v>
      </c>
      <c r="H283" s="162" t="s">
        <v>1019</v>
      </c>
    </row>
    <row r="284" spans="1:8" x14ac:dyDescent="0.3">
      <c r="A284" s="161">
        <v>45816.434652777767</v>
      </c>
      <c r="B284" s="162" t="s">
        <v>2042</v>
      </c>
      <c r="C284" s="162" t="s">
        <v>2043</v>
      </c>
      <c r="D284" s="162">
        <v>46</v>
      </c>
      <c r="E284" s="162">
        <v>0</v>
      </c>
      <c r="F284" s="162">
        <v>82496.83</v>
      </c>
      <c r="G284" s="162" t="s">
        <v>131</v>
      </c>
      <c r="H284" s="162" t="s">
        <v>1019</v>
      </c>
    </row>
    <row r="285" spans="1:8" x14ac:dyDescent="0.3">
      <c r="A285" s="161">
        <v>45816.722858796304</v>
      </c>
      <c r="B285" s="162" t="s">
        <v>2044</v>
      </c>
      <c r="C285" s="162" t="s">
        <v>2045</v>
      </c>
      <c r="D285" s="162">
        <v>120</v>
      </c>
      <c r="E285" s="162">
        <v>0</v>
      </c>
      <c r="F285" s="162">
        <v>82376.83</v>
      </c>
      <c r="G285" s="162" t="s">
        <v>91</v>
      </c>
      <c r="H285" s="162" t="s">
        <v>1019</v>
      </c>
    </row>
    <row r="286" spans="1:8" x14ac:dyDescent="0.3">
      <c r="A286" s="161">
        <v>45817</v>
      </c>
      <c r="B286" s="162" t="s">
        <v>50</v>
      </c>
      <c r="C286" s="162" t="s">
        <v>236</v>
      </c>
      <c r="D286" s="162">
        <v>135.63</v>
      </c>
      <c r="E286" s="162">
        <v>0</v>
      </c>
      <c r="F286" s="162">
        <v>29458.46</v>
      </c>
      <c r="G286" s="162" t="s">
        <v>49</v>
      </c>
      <c r="H286" s="162" t="s">
        <v>1779</v>
      </c>
    </row>
    <row r="287" spans="1:8" x14ac:dyDescent="0.3">
      <c r="A287" s="161">
        <v>45817.651921296303</v>
      </c>
      <c r="B287" s="162" t="s">
        <v>2046</v>
      </c>
      <c r="C287" s="162" t="s">
        <v>2047</v>
      </c>
      <c r="D287" s="162">
        <v>0</v>
      </c>
      <c r="E287" s="162">
        <v>122.22</v>
      </c>
      <c r="F287" s="162">
        <v>82499.05</v>
      </c>
      <c r="G287" s="162" t="s">
        <v>2048</v>
      </c>
      <c r="H287" s="162" t="s">
        <v>1019</v>
      </c>
    </row>
    <row r="288" spans="1:8" x14ac:dyDescent="0.3">
      <c r="A288" s="161">
        <v>45818</v>
      </c>
      <c r="B288" s="162" t="s">
        <v>50</v>
      </c>
      <c r="C288" s="162" t="s">
        <v>239</v>
      </c>
      <c r="D288" s="162">
        <v>45.21</v>
      </c>
      <c r="E288" s="162">
        <v>0</v>
      </c>
      <c r="F288" s="162">
        <v>29620.38</v>
      </c>
      <c r="G288" s="162" t="s">
        <v>49</v>
      </c>
      <c r="H288" s="162" t="s">
        <v>1779</v>
      </c>
    </row>
    <row r="289" spans="1:8" x14ac:dyDescent="0.3">
      <c r="A289" s="161">
        <v>45818</v>
      </c>
      <c r="B289" s="162" t="s">
        <v>237</v>
      </c>
      <c r="C289" s="162" t="s">
        <v>238</v>
      </c>
      <c r="D289" s="162">
        <v>0</v>
      </c>
      <c r="E289" s="162">
        <v>207.13</v>
      </c>
      <c r="F289" s="162">
        <v>29665.59</v>
      </c>
      <c r="G289" s="162" t="s">
        <v>49</v>
      </c>
      <c r="H289" s="162" t="s">
        <v>1779</v>
      </c>
    </row>
    <row r="290" spans="1:8" x14ac:dyDescent="0.3">
      <c r="A290" s="161">
        <v>45818.827615740738</v>
      </c>
      <c r="B290" s="162" t="s">
        <v>2049</v>
      </c>
      <c r="C290" s="162" t="s">
        <v>2050</v>
      </c>
      <c r="D290" s="162">
        <v>24</v>
      </c>
      <c r="E290" s="162">
        <v>0</v>
      </c>
      <c r="F290" s="162">
        <v>82475.05</v>
      </c>
      <c r="G290" s="162" t="s">
        <v>131</v>
      </c>
      <c r="H290" s="162" t="s">
        <v>1019</v>
      </c>
    </row>
    <row r="291" spans="1:8" x14ac:dyDescent="0.3">
      <c r="A291" s="161">
        <v>45818.96266203704</v>
      </c>
      <c r="B291" s="162" t="s">
        <v>2051</v>
      </c>
      <c r="C291" s="162" t="s">
        <v>2052</v>
      </c>
      <c r="D291" s="162">
        <v>1010</v>
      </c>
      <c r="E291" s="162">
        <v>0</v>
      </c>
      <c r="F291" s="162">
        <v>81465.05</v>
      </c>
      <c r="G291" s="162" t="s">
        <v>1028</v>
      </c>
      <c r="H291" s="162" t="s">
        <v>1019</v>
      </c>
    </row>
    <row r="292" spans="1:8" x14ac:dyDescent="0.3">
      <c r="A292" s="161">
        <v>45819</v>
      </c>
      <c r="B292" s="162" t="s">
        <v>50</v>
      </c>
      <c r="C292" s="162" t="s">
        <v>242</v>
      </c>
      <c r="D292" s="162">
        <v>45.29</v>
      </c>
      <c r="E292" s="162">
        <v>0</v>
      </c>
      <c r="F292" s="162">
        <v>29939.43</v>
      </c>
      <c r="G292" s="162" t="s">
        <v>49</v>
      </c>
      <c r="H292" s="162" t="s">
        <v>1779</v>
      </c>
    </row>
    <row r="293" spans="1:8" x14ac:dyDescent="0.3">
      <c r="A293" s="161">
        <v>45819</v>
      </c>
      <c r="B293" s="162" t="s">
        <v>240</v>
      </c>
      <c r="C293" s="162" t="s">
        <v>241</v>
      </c>
      <c r="D293" s="162">
        <v>0</v>
      </c>
      <c r="E293" s="162">
        <v>364.34</v>
      </c>
      <c r="F293" s="162">
        <v>29984.720000000001</v>
      </c>
      <c r="G293" s="162" t="s">
        <v>49</v>
      </c>
      <c r="H293" s="162" t="s">
        <v>1779</v>
      </c>
    </row>
    <row r="294" spans="1:8" x14ac:dyDescent="0.3">
      <c r="A294" s="161">
        <v>45819.008379629631</v>
      </c>
      <c r="B294" s="162" t="s">
        <v>2053</v>
      </c>
      <c r="C294" s="162" t="s">
        <v>2054</v>
      </c>
      <c r="D294" s="162">
        <v>1000</v>
      </c>
      <c r="E294" s="162">
        <v>0</v>
      </c>
      <c r="F294" s="162">
        <v>80465.05</v>
      </c>
      <c r="G294" s="162" t="s">
        <v>1028</v>
      </c>
      <c r="H294" s="162" t="s">
        <v>1019</v>
      </c>
    </row>
    <row r="295" spans="1:8" x14ac:dyDescent="0.3">
      <c r="A295" s="161">
        <v>45819.358506944453</v>
      </c>
      <c r="B295" s="162" t="s">
        <v>2055</v>
      </c>
      <c r="C295" s="162" t="s">
        <v>2056</v>
      </c>
      <c r="D295" s="162">
        <v>0</v>
      </c>
      <c r="E295" s="162">
        <v>501</v>
      </c>
      <c r="F295" s="162">
        <v>80966.05</v>
      </c>
      <c r="G295" s="162" t="s">
        <v>606</v>
      </c>
      <c r="H295" s="162" t="s">
        <v>1019</v>
      </c>
    </row>
    <row r="296" spans="1:8" x14ac:dyDescent="0.3">
      <c r="A296" s="161">
        <v>45819.576354166667</v>
      </c>
      <c r="B296" s="162" t="s">
        <v>2057</v>
      </c>
      <c r="C296" s="162" t="s">
        <v>2058</v>
      </c>
      <c r="D296" s="162">
        <v>1000</v>
      </c>
      <c r="E296" s="162">
        <v>0</v>
      </c>
      <c r="F296" s="162">
        <v>79966.05</v>
      </c>
      <c r="G296" s="162" t="s">
        <v>1028</v>
      </c>
      <c r="H296" s="162" t="s">
        <v>1019</v>
      </c>
    </row>
    <row r="297" spans="1:8" x14ac:dyDescent="0.3">
      <c r="A297" s="161">
        <v>45819.579594907409</v>
      </c>
      <c r="B297" s="162" t="s">
        <v>2059</v>
      </c>
      <c r="C297" s="162" t="s">
        <v>2060</v>
      </c>
      <c r="D297" s="162">
        <v>1000</v>
      </c>
      <c r="E297" s="162">
        <v>0</v>
      </c>
      <c r="F297" s="162">
        <v>78966.05</v>
      </c>
      <c r="G297" s="162" t="s">
        <v>1028</v>
      </c>
      <c r="H297" s="162" t="s">
        <v>1019</v>
      </c>
    </row>
    <row r="298" spans="1:8" x14ac:dyDescent="0.3">
      <c r="A298" s="161">
        <v>45819.625787037039</v>
      </c>
      <c r="B298" s="162" t="s">
        <v>2061</v>
      </c>
      <c r="C298" s="162" t="s">
        <v>2062</v>
      </c>
      <c r="D298" s="162">
        <v>1574.5</v>
      </c>
      <c r="E298" s="162">
        <v>0</v>
      </c>
      <c r="F298" s="162">
        <v>77391.55</v>
      </c>
      <c r="G298" s="162" t="s">
        <v>1014</v>
      </c>
      <c r="H298" s="162" t="s">
        <v>1019</v>
      </c>
    </row>
    <row r="299" spans="1:8" x14ac:dyDescent="0.3">
      <c r="A299" s="161">
        <v>45819.651076388887</v>
      </c>
      <c r="B299" s="162" t="s">
        <v>2063</v>
      </c>
      <c r="C299" s="162" t="s">
        <v>2064</v>
      </c>
      <c r="D299" s="162">
        <v>1874.5</v>
      </c>
      <c r="E299" s="162">
        <v>0</v>
      </c>
      <c r="F299" s="162">
        <v>75517.05</v>
      </c>
      <c r="G299" s="162" t="s">
        <v>1014</v>
      </c>
      <c r="H299" s="162" t="s">
        <v>1019</v>
      </c>
    </row>
    <row r="300" spans="1:8" x14ac:dyDescent="0.3">
      <c r="A300" s="161">
        <v>45819.908773148149</v>
      </c>
      <c r="B300" s="162" t="s">
        <v>2065</v>
      </c>
      <c r="C300" s="162" t="s">
        <v>2066</v>
      </c>
      <c r="D300" s="162">
        <v>48</v>
      </c>
      <c r="E300" s="162">
        <v>0</v>
      </c>
      <c r="F300" s="162">
        <v>75469.05</v>
      </c>
      <c r="G300" s="162" t="s">
        <v>131</v>
      </c>
      <c r="H300" s="162" t="s">
        <v>1019</v>
      </c>
    </row>
    <row r="301" spans="1:8" x14ac:dyDescent="0.3">
      <c r="A301" s="161">
        <v>45820</v>
      </c>
      <c r="B301" s="162" t="s">
        <v>50</v>
      </c>
      <c r="C301" s="162" t="s">
        <v>248</v>
      </c>
      <c r="D301" s="162">
        <v>672.11</v>
      </c>
      <c r="E301" s="162">
        <v>0</v>
      </c>
      <c r="F301" s="162">
        <v>29035.26</v>
      </c>
      <c r="G301" s="162" t="s">
        <v>49</v>
      </c>
      <c r="H301" s="162" t="s">
        <v>1779</v>
      </c>
    </row>
    <row r="302" spans="1:8" x14ac:dyDescent="0.3">
      <c r="A302" s="161">
        <v>45820</v>
      </c>
      <c r="B302" s="162" t="s">
        <v>243</v>
      </c>
      <c r="C302" s="162" t="s">
        <v>244</v>
      </c>
      <c r="D302" s="162">
        <v>0</v>
      </c>
      <c r="E302" s="162">
        <v>108.36</v>
      </c>
      <c r="F302" s="162">
        <v>30047.79</v>
      </c>
      <c r="G302" s="162" t="s">
        <v>49</v>
      </c>
      <c r="H302" s="162" t="s">
        <v>1779</v>
      </c>
    </row>
    <row r="303" spans="1:8" x14ac:dyDescent="0.3">
      <c r="A303" s="161">
        <v>45820</v>
      </c>
      <c r="B303" s="162" t="s">
        <v>50</v>
      </c>
      <c r="C303" s="162" t="s">
        <v>247</v>
      </c>
      <c r="D303" s="162">
        <v>45.42</v>
      </c>
      <c r="E303" s="162">
        <v>0</v>
      </c>
      <c r="F303" s="162">
        <v>29707.37</v>
      </c>
      <c r="G303" s="162" t="s">
        <v>49</v>
      </c>
      <c r="H303" s="162" t="s">
        <v>1779</v>
      </c>
    </row>
    <row r="304" spans="1:8" x14ac:dyDescent="0.3">
      <c r="A304" s="161">
        <v>45820</v>
      </c>
      <c r="B304" s="162" t="s">
        <v>245</v>
      </c>
      <c r="C304" s="162" t="s">
        <v>246</v>
      </c>
      <c r="D304" s="162">
        <v>295</v>
      </c>
      <c r="E304" s="162">
        <v>0</v>
      </c>
      <c r="F304" s="162">
        <v>29752.79</v>
      </c>
      <c r="G304" s="162" t="s">
        <v>7</v>
      </c>
      <c r="H304" s="162" t="s">
        <v>1779</v>
      </c>
    </row>
    <row r="305" spans="1:8" x14ac:dyDescent="0.3">
      <c r="A305" s="161">
        <v>45820.35733796296</v>
      </c>
      <c r="B305" s="162" t="s">
        <v>2067</v>
      </c>
      <c r="C305" s="162" t="s">
        <v>2068</v>
      </c>
      <c r="D305" s="162">
        <v>1001</v>
      </c>
      <c r="E305" s="162">
        <v>0</v>
      </c>
      <c r="F305" s="162">
        <v>74468.05</v>
      </c>
      <c r="G305" s="162" t="s">
        <v>1028</v>
      </c>
      <c r="H305" s="162" t="s">
        <v>1019</v>
      </c>
    </row>
    <row r="306" spans="1:8" x14ac:dyDescent="0.3">
      <c r="A306" s="161">
        <v>45820.912361111114</v>
      </c>
      <c r="B306" s="162" t="s">
        <v>2069</v>
      </c>
      <c r="C306" s="162" t="s">
        <v>2070</v>
      </c>
      <c r="D306" s="162">
        <v>1000</v>
      </c>
      <c r="E306" s="162">
        <v>0</v>
      </c>
      <c r="F306" s="162">
        <v>73468.05</v>
      </c>
      <c r="G306" s="162" t="s">
        <v>1028</v>
      </c>
      <c r="H306" s="162" t="s">
        <v>1019</v>
      </c>
    </row>
    <row r="307" spans="1:8" x14ac:dyDescent="0.3">
      <c r="A307" s="161">
        <v>45820.957083333327</v>
      </c>
      <c r="B307" s="162" t="s">
        <v>2071</v>
      </c>
      <c r="C307" s="162" t="s">
        <v>2072</v>
      </c>
      <c r="D307" s="162">
        <v>1000</v>
      </c>
      <c r="E307" s="162">
        <v>0</v>
      </c>
      <c r="F307" s="162">
        <v>72468.05</v>
      </c>
      <c r="G307" s="162" t="s">
        <v>1028</v>
      </c>
      <c r="H307" s="162" t="s">
        <v>1019</v>
      </c>
    </row>
    <row r="308" spans="1:8" x14ac:dyDescent="0.3">
      <c r="A308" s="161">
        <v>45821</v>
      </c>
      <c r="B308" s="162" t="s">
        <v>50</v>
      </c>
      <c r="C308" s="162" t="s">
        <v>249</v>
      </c>
      <c r="D308" s="162">
        <v>45.22</v>
      </c>
      <c r="E308" s="162">
        <v>0</v>
      </c>
      <c r="F308" s="162">
        <v>28990.04</v>
      </c>
      <c r="G308" s="162" t="s">
        <v>49</v>
      </c>
      <c r="H308" s="162" t="s">
        <v>1779</v>
      </c>
    </row>
    <row r="309" spans="1:8" x14ac:dyDescent="0.3">
      <c r="A309" s="161">
        <v>45821</v>
      </c>
      <c r="B309" s="162" t="s">
        <v>1037</v>
      </c>
      <c r="C309" s="162" t="s">
        <v>1005</v>
      </c>
      <c r="D309" s="162">
        <v>15000</v>
      </c>
      <c r="E309" s="162">
        <v>0</v>
      </c>
      <c r="F309" s="162">
        <v>57516.87</v>
      </c>
      <c r="G309" s="162" t="s">
        <v>1019</v>
      </c>
      <c r="H309" s="162" t="s">
        <v>1680</v>
      </c>
    </row>
    <row r="310" spans="1:8" x14ac:dyDescent="0.3">
      <c r="A310" s="161">
        <v>45821.349756944437</v>
      </c>
      <c r="B310" s="162" t="s">
        <v>2073</v>
      </c>
      <c r="C310" s="162" t="s">
        <v>2074</v>
      </c>
      <c r="D310" s="162">
        <v>0</v>
      </c>
      <c r="E310" s="162">
        <v>1470.72</v>
      </c>
      <c r="F310" s="162">
        <v>73938.77</v>
      </c>
      <c r="G310" s="162" t="s">
        <v>1014</v>
      </c>
      <c r="H310" s="162" t="s">
        <v>1019</v>
      </c>
    </row>
    <row r="311" spans="1:8" x14ac:dyDescent="0.3">
      <c r="A311" s="161">
        <v>45821.427210648151</v>
      </c>
      <c r="B311" s="162" t="s">
        <v>2075</v>
      </c>
      <c r="C311" s="162" t="s">
        <v>2076</v>
      </c>
      <c r="D311" s="162">
        <v>1000</v>
      </c>
      <c r="E311" s="162">
        <v>0</v>
      </c>
      <c r="F311" s="162">
        <v>72938.77</v>
      </c>
      <c r="G311" s="162" t="s">
        <v>1028</v>
      </c>
      <c r="H311" s="162" t="s">
        <v>1019</v>
      </c>
    </row>
    <row r="312" spans="1:8" x14ac:dyDescent="0.3">
      <c r="A312" s="161">
        <v>45821.428148148138</v>
      </c>
      <c r="B312" s="162" t="s">
        <v>2077</v>
      </c>
      <c r="C312" s="162" t="s">
        <v>2078</v>
      </c>
      <c r="D312" s="162">
        <v>1000</v>
      </c>
      <c r="E312" s="162">
        <v>0</v>
      </c>
      <c r="F312" s="162">
        <v>71938.77</v>
      </c>
      <c r="G312" s="162" t="s">
        <v>1028</v>
      </c>
      <c r="H312" s="162" t="s">
        <v>1019</v>
      </c>
    </row>
    <row r="313" spans="1:8" x14ac:dyDescent="0.3">
      <c r="A313" s="161">
        <v>45821.590300925927</v>
      </c>
      <c r="B313" s="162" t="s">
        <v>2079</v>
      </c>
      <c r="C313" s="162" t="s">
        <v>2080</v>
      </c>
      <c r="D313" s="162">
        <v>0</v>
      </c>
      <c r="E313" s="162">
        <v>15000</v>
      </c>
      <c r="F313" s="162">
        <v>86938.77</v>
      </c>
      <c r="G313" s="162" t="s">
        <v>1680</v>
      </c>
      <c r="H313" s="162" t="s">
        <v>1019</v>
      </c>
    </row>
    <row r="314" spans="1:8" x14ac:dyDescent="0.3">
      <c r="A314" s="161">
        <v>45822.04928240741</v>
      </c>
      <c r="B314" s="162" t="s">
        <v>2081</v>
      </c>
      <c r="C314" s="162" t="s">
        <v>2082</v>
      </c>
      <c r="D314" s="162">
        <v>1000</v>
      </c>
      <c r="E314" s="162">
        <v>0</v>
      </c>
      <c r="F314" s="162">
        <v>85938.77</v>
      </c>
      <c r="G314" s="162" t="s">
        <v>1028</v>
      </c>
      <c r="H314" s="162" t="s">
        <v>1019</v>
      </c>
    </row>
    <row r="315" spans="1:8" x14ac:dyDescent="0.3">
      <c r="A315" s="161">
        <v>45822.490069444437</v>
      </c>
      <c r="B315" s="162" t="s">
        <v>2083</v>
      </c>
      <c r="C315" s="162" t="s">
        <v>2084</v>
      </c>
      <c r="D315" s="162">
        <v>1000</v>
      </c>
      <c r="E315" s="162">
        <v>0</v>
      </c>
      <c r="F315" s="162">
        <v>84938.77</v>
      </c>
      <c r="G315" s="162" t="s">
        <v>1028</v>
      </c>
      <c r="H315" s="162" t="s">
        <v>1019</v>
      </c>
    </row>
    <row r="316" spans="1:8" x14ac:dyDescent="0.3">
      <c r="A316" s="161">
        <v>45822.574374999997</v>
      </c>
      <c r="B316" s="162" t="s">
        <v>2085</v>
      </c>
      <c r="C316" s="162" t="s">
        <v>2086</v>
      </c>
      <c r="D316" s="162">
        <v>52</v>
      </c>
      <c r="E316" s="162">
        <v>0</v>
      </c>
      <c r="F316" s="162">
        <v>84886.77</v>
      </c>
      <c r="G316" s="162" t="s">
        <v>131</v>
      </c>
      <c r="H316" s="162" t="s">
        <v>1019</v>
      </c>
    </row>
    <row r="317" spans="1:8" x14ac:dyDescent="0.3">
      <c r="A317" s="161">
        <v>45822.742268518523</v>
      </c>
      <c r="B317" s="162" t="s">
        <v>2087</v>
      </c>
      <c r="C317" s="162" t="s">
        <v>2088</v>
      </c>
      <c r="D317" s="162">
        <v>1000</v>
      </c>
      <c r="E317" s="162">
        <v>0</v>
      </c>
      <c r="F317" s="162">
        <v>83886.77</v>
      </c>
      <c r="G317" s="162" t="s">
        <v>1028</v>
      </c>
      <c r="H317" s="162" t="s">
        <v>1019</v>
      </c>
    </row>
    <row r="318" spans="1:8" x14ac:dyDescent="0.3">
      <c r="A318" s="161">
        <v>45823.02480324074</v>
      </c>
      <c r="B318" s="162" t="s">
        <v>2089</v>
      </c>
      <c r="C318" s="162" t="s">
        <v>2090</v>
      </c>
      <c r="D318" s="162">
        <v>1000</v>
      </c>
      <c r="E318" s="162">
        <v>0</v>
      </c>
      <c r="F318" s="162">
        <v>82886.77</v>
      </c>
      <c r="G318" s="162" t="s">
        <v>1028</v>
      </c>
      <c r="H318" s="162" t="s">
        <v>1019</v>
      </c>
    </row>
    <row r="319" spans="1:8" x14ac:dyDescent="0.3">
      <c r="A319" s="161">
        <v>45823.404120370367</v>
      </c>
      <c r="B319" s="162" t="s">
        <v>2091</v>
      </c>
      <c r="C319" s="162" t="s">
        <v>2092</v>
      </c>
      <c r="D319" s="162">
        <v>1000</v>
      </c>
      <c r="E319" s="162">
        <v>0</v>
      </c>
      <c r="F319" s="162">
        <v>81886.77</v>
      </c>
      <c r="G319" s="162" t="s">
        <v>1028</v>
      </c>
      <c r="H319" s="162" t="s">
        <v>1019</v>
      </c>
    </row>
    <row r="320" spans="1:8" x14ac:dyDescent="0.3">
      <c r="A320" s="161">
        <v>45823.628657407397</v>
      </c>
      <c r="B320" s="162" t="s">
        <v>2093</v>
      </c>
      <c r="C320" s="162" t="s">
        <v>2094</v>
      </c>
      <c r="D320" s="162">
        <v>1000</v>
      </c>
      <c r="E320" s="162">
        <v>0</v>
      </c>
      <c r="F320" s="162">
        <v>80886.77</v>
      </c>
      <c r="G320" s="162" t="s">
        <v>1028</v>
      </c>
      <c r="H320" s="162" t="s">
        <v>1019</v>
      </c>
    </row>
    <row r="321" spans="1:8" x14ac:dyDescent="0.3">
      <c r="A321" s="161">
        <v>45823.925532407397</v>
      </c>
      <c r="B321" s="162" t="s">
        <v>2095</v>
      </c>
      <c r="C321" s="162" t="s">
        <v>2096</v>
      </c>
      <c r="D321" s="162">
        <v>2720</v>
      </c>
      <c r="E321" s="162">
        <v>0</v>
      </c>
      <c r="F321" s="162">
        <v>78166.77</v>
      </c>
      <c r="G321" s="162" t="s">
        <v>91</v>
      </c>
      <c r="H321" s="162" t="s">
        <v>1019</v>
      </c>
    </row>
    <row r="322" spans="1:8" x14ac:dyDescent="0.3">
      <c r="A322" s="161">
        <v>45824</v>
      </c>
      <c r="B322" s="162" t="s">
        <v>50</v>
      </c>
      <c r="C322" s="162" t="s">
        <v>252</v>
      </c>
      <c r="D322" s="162">
        <v>135.66</v>
      </c>
      <c r="E322" s="162">
        <v>0</v>
      </c>
      <c r="F322" s="162">
        <v>28871.83</v>
      </c>
      <c r="G322" s="162" t="s">
        <v>49</v>
      </c>
      <c r="H322" s="162" t="s">
        <v>1779</v>
      </c>
    </row>
    <row r="323" spans="1:8" x14ac:dyDescent="0.3">
      <c r="A323" s="161">
        <v>45824</v>
      </c>
      <c r="B323" s="162" t="s">
        <v>250</v>
      </c>
      <c r="C323" s="162" t="s">
        <v>251</v>
      </c>
      <c r="D323" s="162">
        <v>0</v>
      </c>
      <c r="E323" s="162">
        <v>17.45</v>
      </c>
      <c r="F323" s="162">
        <v>29007.49</v>
      </c>
      <c r="G323" s="162" t="s">
        <v>49</v>
      </c>
      <c r="H323" s="162" t="s">
        <v>1779</v>
      </c>
    </row>
    <row r="324" spans="1:8" x14ac:dyDescent="0.3">
      <c r="A324" s="161">
        <v>45824.375613425917</v>
      </c>
      <c r="B324" s="162" t="s">
        <v>2098</v>
      </c>
      <c r="C324" s="162" t="s">
        <v>2099</v>
      </c>
      <c r="D324" s="162">
        <v>1000</v>
      </c>
      <c r="E324" s="162">
        <v>0</v>
      </c>
      <c r="F324" s="162">
        <v>77166.77</v>
      </c>
      <c r="G324" s="162" t="s">
        <v>1028</v>
      </c>
      <c r="H324" s="162" t="s">
        <v>1019</v>
      </c>
    </row>
    <row r="325" spans="1:8" x14ac:dyDescent="0.3">
      <c r="A325" s="161">
        <v>45824.393206018518</v>
      </c>
      <c r="B325" s="162" t="s">
        <v>2100</v>
      </c>
      <c r="C325" s="162" t="s">
        <v>2101</v>
      </c>
      <c r="D325" s="162">
        <v>74</v>
      </c>
      <c r="E325" s="162">
        <v>0</v>
      </c>
      <c r="F325" s="162">
        <v>77092.77</v>
      </c>
      <c r="G325" s="162" t="s">
        <v>131</v>
      </c>
      <c r="H325" s="162" t="s">
        <v>1019</v>
      </c>
    </row>
    <row r="326" spans="1:8" x14ac:dyDescent="0.3">
      <c r="A326" s="161">
        <v>45824.508055555547</v>
      </c>
      <c r="B326" s="162" t="s">
        <v>2102</v>
      </c>
      <c r="C326" s="162" t="s">
        <v>2103</v>
      </c>
      <c r="D326" s="162">
        <v>500</v>
      </c>
      <c r="E326" s="162">
        <v>0</v>
      </c>
      <c r="F326" s="162">
        <v>76592.77</v>
      </c>
      <c r="G326" s="162" t="s">
        <v>91</v>
      </c>
      <c r="H326" s="162" t="s">
        <v>1019</v>
      </c>
    </row>
    <row r="327" spans="1:8" x14ac:dyDescent="0.3">
      <c r="A327" s="161">
        <v>45825</v>
      </c>
      <c r="B327" s="162" t="s">
        <v>50</v>
      </c>
      <c r="C327" s="162" t="s">
        <v>255</v>
      </c>
      <c r="D327" s="162">
        <v>45.22</v>
      </c>
      <c r="E327" s="162">
        <v>0</v>
      </c>
      <c r="F327" s="162">
        <v>29134.16</v>
      </c>
      <c r="G327" s="162" t="s">
        <v>49</v>
      </c>
      <c r="H327" s="162" t="s">
        <v>1779</v>
      </c>
    </row>
    <row r="328" spans="1:8" x14ac:dyDescent="0.3">
      <c r="A328" s="161">
        <v>45825</v>
      </c>
      <c r="B328" s="162" t="s">
        <v>253</v>
      </c>
      <c r="C328" s="162" t="s">
        <v>254</v>
      </c>
      <c r="D328" s="162">
        <v>0</v>
      </c>
      <c r="E328" s="162">
        <v>307.55</v>
      </c>
      <c r="F328" s="162">
        <v>29179.38</v>
      </c>
      <c r="G328" s="162" t="s">
        <v>49</v>
      </c>
      <c r="H328" s="162" t="s">
        <v>1779</v>
      </c>
    </row>
    <row r="329" spans="1:8" x14ac:dyDescent="0.3">
      <c r="A329" s="161">
        <v>45825.382939814823</v>
      </c>
      <c r="B329" s="162" t="s">
        <v>2104</v>
      </c>
      <c r="C329" s="162" t="s">
        <v>2105</v>
      </c>
      <c r="D329" s="162">
        <v>1000</v>
      </c>
      <c r="E329" s="162">
        <v>0</v>
      </c>
      <c r="F329" s="162">
        <v>75592.77</v>
      </c>
      <c r="G329" s="162" t="s">
        <v>1028</v>
      </c>
      <c r="H329" s="162" t="s">
        <v>1019</v>
      </c>
    </row>
    <row r="330" spans="1:8" x14ac:dyDescent="0.3">
      <c r="A330" s="161">
        <v>45825.701041666667</v>
      </c>
      <c r="B330" s="162" t="s">
        <v>2106</v>
      </c>
      <c r="C330" s="162" t="s">
        <v>2107</v>
      </c>
      <c r="D330" s="162">
        <v>1000</v>
      </c>
      <c r="E330" s="162">
        <v>0</v>
      </c>
      <c r="F330" s="162">
        <v>74592.77</v>
      </c>
      <c r="G330" s="162" t="s">
        <v>1028</v>
      </c>
      <c r="H330" s="162" t="s">
        <v>1019</v>
      </c>
    </row>
    <row r="331" spans="1:8" x14ac:dyDescent="0.3">
      <c r="A331" s="161">
        <v>45825.934756944444</v>
      </c>
      <c r="B331" s="162" t="s">
        <v>2108</v>
      </c>
      <c r="C331" s="162" t="s">
        <v>2109</v>
      </c>
      <c r="D331" s="162">
        <v>46</v>
      </c>
      <c r="E331" s="162">
        <v>0</v>
      </c>
      <c r="F331" s="162">
        <v>74546.77</v>
      </c>
      <c r="G331" s="162" t="s">
        <v>131</v>
      </c>
      <c r="H331" s="162" t="s">
        <v>1019</v>
      </c>
    </row>
    <row r="332" spans="1:8" x14ac:dyDescent="0.3">
      <c r="A332" s="161">
        <v>45826</v>
      </c>
      <c r="B332" s="162" t="s">
        <v>50</v>
      </c>
      <c r="C332" s="162" t="s">
        <v>258</v>
      </c>
      <c r="D332" s="162">
        <v>438.99</v>
      </c>
      <c r="E332" s="162">
        <v>0</v>
      </c>
      <c r="F332" s="162">
        <v>28324.28</v>
      </c>
      <c r="G332" s="162" t="s">
        <v>49</v>
      </c>
      <c r="H332" s="162" t="s">
        <v>1779</v>
      </c>
    </row>
    <row r="333" spans="1:8" x14ac:dyDescent="0.3">
      <c r="A333" s="161">
        <v>45826</v>
      </c>
      <c r="B333" s="162" t="s">
        <v>50</v>
      </c>
      <c r="C333" s="162" t="s">
        <v>257</v>
      </c>
      <c r="D333" s="162">
        <v>45.22</v>
      </c>
      <c r="E333" s="162">
        <v>0</v>
      </c>
      <c r="F333" s="162">
        <v>28763.27</v>
      </c>
      <c r="G333" s="162" t="s">
        <v>49</v>
      </c>
      <c r="H333" s="162" t="s">
        <v>1779</v>
      </c>
    </row>
    <row r="334" spans="1:8" x14ac:dyDescent="0.3">
      <c r="A334" s="161">
        <v>45826</v>
      </c>
      <c r="B334" s="162" t="s">
        <v>50</v>
      </c>
      <c r="C334" s="162" t="s">
        <v>256</v>
      </c>
      <c r="D334" s="162">
        <v>325.67</v>
      </c>
      <c r="E334" s="162">
        <v>0</v>
      </c>
      <c r="F334" s="162">
        <v>28808.49</v>
      </c>
      <c r="G334" s="162" t="s">
        <v>49</v>
      </c>
      <c r="H334" s="162" t="s">
        <v>1779</v>
      </c>
    </row>
    <row r="335" spans="1:8" x14ac:dyDescent="0.3">
      <c r="A335" s="161">
        <v>45826.073981481481</v>
      </c>
      <c r="B335" s="162" t="s">
        <v>2110</v>
      </c>
      <c r="C335" s="162" t="s">
        <v>2111</v>
      </c>
      <c r="D335" s="162">
        <v>1000</v>
      </c>
      <c r="E335" s="162">
        <v>0</v>
      </c>
      <c r="F335" s="162">
        <v>73546.77</v>
      </c>
      <c r="G335" s="162" t="s">
        <v>1028</v>
      </c>
      <c r="H335" s="162" t="s">
        <v>1019</v>
      </c>
    </row>
    <row r="336" spans="1:8" x14ac:dyDescent="0.3">
      <c r="A336" s="161">
        <v>45826.46125</v>
      </c>
      <c r="B336" s="162" t="s">
        <v>2112</v>
      </c>
      <c r="C336" s="162" t="s">
        <v>2113</v>
      </c>
      <c r="D336" s="162">
        <v>28</v>
      </c>
      <c r="E336" s="162">
        <v>0</v>
      </c>
      <c r="F336" s="162">
        <v>73518.77</v>
      </c>
      <c r="G336" s="162" t="s">
        <v>131</v>
      </c>
      <c r="H336" s="162" t="s">
        <v>1019</v>
      </c>
    </row>
    <row r="337" spans="1:8" x14ac:dyDescent="0.3">
      <c r="A337" s="161">
        <v>45827</v>
      </c>
      <c r="B337" s="162" t="s">
        <v>50</v>
      </c>
      <c r="C337" s="162" t="s">
        <v>260</v>
      </c>
      <c r="D337" s="162">
        <v>45.06</v>
      </c>
      <c r="E337" s="162">
        <v>0</v>
      </c>
      <c r="F337" s="162">
        <v>27559.42</v>
      </c>
      <c r="G337" s="162" t="s">
        <v>49</v>
      </c>
      <c r="H337" s="162" t="s">
        <v>1779</v>
      </c>
    </row>
    <row r="338" spans="1:8" x14ac:dyDescent="0.3">
      <c r="A338" s="161">
        <v>45827</v>
      </c>
      <c r="B338" s="162" t="s">
        <v>259</v>
      </c>
      <c r="C338" s="162" t="s">
        <v>83</v>
      </c>
      <c r="D338" s="162">
        <v>719.8</v>
      </c>
      <c r="E338" s="162">
        <v>0</v>
      </c>
      <c r="F338" s="162">
        <v>27604.48</v>
      </c>
      <c r="G338" s="162" t="s">
        <v>9</v>
      </c>
      <c r="H338" s="162" t="s">
        <v>1779</v>
      </c>
    </row>
    <row r="339" spans="1:8" x14ac:dyDescent="0.3">
      <c r="A339" s="161">
        <v>45827</v>
      </c>
      <c r="B339" s="162" t="s">
        <v>50</v>
      </c>
      <c r="C339" s="162" t="s">
        <v>261</v>
      </c>
      <c r="D339" s="162">
        <v>772.7</v>
      </c>
      <c r="E339" s="162">
        <v>0</v>
      </c>
      <c r="F339" s="162">
        <v>26786.720000000001</v>
      </c>
      <c r="G339" s="162" t="s">
        <v>49</v>
      </c>
      <c r="H339" s="162" t="s">
        <v>1779</v>
      </c>
    </row>
    <row r="340" spans="1:8" x14ac:dyDescent="0.3">
      <c r="A340" s="161">
        <v>45827.364814814813</v>
      </c>
      <c r="B340" s="162" t="s">
        <v>2114</v>
      </c>
      <c r="C340" s="162" t="s">
        <v>2115</v>
      </c>
      <c r="D340" s="162">
        <v>1000</v>
      </c>
      <c r="E340" s="162">
        <v>0</v>
      </c>
      <c r="F340" s="162">
        <v>72518.77</v>
      </c>
      <c r="G340" s="162" t="s">
        <v>1028</v>
      </c>
      <c r="H340" s="162" t="s">
        <v>1019</v>
      </c>
    </row>
    <row r="341" spans="1:8" x14ac:dyDescent="0.3">
      <c r="A341" s="161">
        <v>45827.907696759263</v>
      </c>
      <c r="B341" s="162" t="s">
        <v>2116</v>
      </c>
      <c r="C341" s="162" t="s">
        <v>2117</v>
      </c>
      <c r="D341" s="162">
        <v>349.07</v>
      </c>
      <c r="E341" s="162">
        <v>0</v>
      </c>
      <c r="F341" s="162">
        <v>72169.7</v>
      </c>
      <c r="G341" s="162" t="s">
        <v>91</v>
      </c>
      <c r="H341" s="162" t="s">
        <v>1019</v>
      </c>
    </row>
    <row r="342" spans="1:8" x14ac:dyDescent="0.3">
      <c r="A342" s="161">
        <v>45827.913877314822</v>
      </c>
      <c r="B342" s="162" t="s">
        <v>2118</v>
      </c>
      <c r="C342" s="162" t="s">
        <v>2119</v>
      </c>
      <c r="D342" s="162">
        <v>40</v>
      </c>
      <c r="E342" s="162">
        <v>0</v>
      </c>
      <c r="F342" s="162">
        <v>72129.7</v>
      </c>
      <c r="G342" s="162" t="s">
        <v>131</v>
      </c>
      <c r="H342" s="162" t="s">
        <v>1019</v>
      </c>
    </row>
    <row r="343" spans="1:8" x14ac:dyDescent="0.3">
      <c r="A343" s="161">
        <v>45828</v>
      </c>
      <c r="B343" s="162" t="s">
        <v>50</v>
      </c>
      <c r="C343" s="162" t="s">
        <v>262</v>
      </c>
      <c r="D343" s="162">
        <v>44.79</v>
      </c>
      <c r="E343" s="162">
        <v>0</v>
      </c>
      <c r="F343" s="162">
        <v>26741.93</v>
      </c>
      <c r="G343" s="162" t="s">
        <v>49</v>
      </c>
      <c r="H343" s="162" t="s">
        <v>1779</v>
      </c>
    </row>
    <row r="344" spans="1:8" x14ac:dyDescent="0.3">
      <c r="A344" s="161">
        <v>45828.443310185183</v>
      </c>
      <c r="B344" s="162" t="s">
        <v>2120</v>
      </c>
      <c r="C344" s="162" t="s">
        <v>2121</v>
      </c>
      <c r="D344" s="162">
        <v>1000</v>
      </c>
      <c r="E344" s="162">
        <v>0</v>
      </c>
      <c r="F344" s="162">
        <v>71129.7</v>
      </c>
      <c r="G344" s="162" t="s">
        <v>1028</v>
      </c>
      <c r="H344" s="162" t="s">
        <v>1019</v>
      </c>
    </row>
    <row r="345" spans="1:8" x14ac:dyDescent="0.3">
      <c r="A345" s="161">
        <v>45829.400347222218</v>
      </c>
      <c r="B345" s="162" t="s">
        <v>2122</v>
      </c>
      <c r="C345" s="162" t="s">
        <v>2123</v>
      </c>
      <c r="D345" s="162">
        <v>1000</v>
      </c>
      <c r="E345" s="162">
        <v>0</v>
      </c>
      <c r="F345" s="162">
        <v>70129.7</v>
      </c>
      <c r="G345" s="162" t="s">
        <v>1028</v>
      </c>
      <c r="H345" s="162" t="s">
        <v>1019</v>
      </c>
    </row>
    <row r="346" spans="1:8" x14ac:dyDescent="0.3">
      <c r="A346" s="161">
        <v>45830.392824074072</v>
      </c>
      <c r="B346" s="162" t="s">
        <v>2124</v>
      </c>
      <c r="C346" s="162" t="s">
        <v>2125</v>
      </c>
      <c r="D346" s="162">
        <v>1000</v>
      </c>
      <c r="E346" s="162">
        <v>0</v>
      </c>
      <c r="F346" s="162">
        <v>69129.7</v>
      </c>
      <c r="G346" s="162" t="s">
        <v>1028</v>
      </c>
      <c r="H346" s="162" t="s">
        <v>1019</v>
      </c>
    </row>
    <row r="347" spans="1:8" x14ac:dyDescent="0.3">
      <c r="A347" s="161">
        <v>45831</v>
      </c>
      <c r="B347" s="162" t="s">
        <v>50</v>
      </c>
      <c r="C347" s="162" t="s">
        <v>265</v>
      </c>
      <c r="D347" s="162">
        <v>134.37</v>
      </c>
      <c r="E347" s="162">
        <v>0</v>
      </c>
      <c r="F347" s="162">
        <v>26743.53</v>
      </c>
      <c r="G347" s="162" t="s">
        <v>49</v>
      </c>
      <c r="H347" s="162" t="s">
        <v>1779</v>
      </c>
    </row>
    <row r="348" spans="1:8" x14ac:dyDescent="0.3">
      <c r="A348" s="161">
        <v>45831</v>
      </c>
      <c r="B348" s="162" t="s">
        <v>263</v>
      </c>
      <c r="C348" s="162" t="s">
        <v>264</v>
      </c>
      <c r="D348" s="162">
        <v>0</v>
      </c>
      <c r="E348" s="162">
        <v>135.97</v>
      </c>
      <c r="F348" s="162">
        <v>26877.9</v>
      </c>
      <c r="G348" s="162" t="s">
        <v>49</v>
      </c>
      <c r="H348" s="162" t="s">
        <v>1779</v>
      </c>
    </row>
    <row r="349" spans="1:8" x14ac:dyDescent="0.3">
      <c r="A349" s="161">
        <v>45831.387511574067</v>
      </c>
      <c r="B349" s="162" t="s">
        <v>2126</v>
      </c>
      <c r="C349" s="162" t="s">
        <v>2127</v>
      </c>
      <c r="D349" s="162">
        <v>1000</v>
      </c>
      <c r="E349" s="162">
        <v>0</v>
      </c>
      <c r="F349" s="162">
        <v>68129.7</v>
      </c>
      <c r="G349" s="162" t="s">
        <v>1028</v>
      </c>
      <c r="H349" s="162" t="s">
        <v>1019</v>
      </c>
    </row>
    <row r="350" spans="1:8" x14ac:dyDescent="0.3">
      <c r="A350" s="161">
        <v>45832</v>
      </c>
      <c r="B350" s="162" t="s">
        <v>50</v>
      </c>
      <c r="C350" s="162" t="s">
        <v>269</v>
      </c>
      <c r="D350" s="162">
        <v>44.72</v>
      </c>
      <c r="E350" s="162">
        <v>0</v>
      </c>
      <c r="F350" s="162">
        <v>26823.57</v>
      </c>
      <c r="G350" s="162" t="s">
        <v>49</v>
      </c>
      <c r="H350" s="162" t="s">
        <v>1779</v>
      </c>
    </row>
    <row r="351" spans="1:8" x14ac:dyDescent="0.3">
      <c r="A351" s="161">
        <v>45832</v>
      </c>
      <c r="B351" s="162" t="s">
        <v>267</v>
      </c>
      <c r="C351" s="162" t="s">
        <v>268</v>
      </c>
      <c r="D351" s="162">
        <v>0</v>
      </c>
      <c r="E351" s="162">
        <v>450</v>
      </c>
      <c r="F351" s="162">
        <v>26868.29</v>
      </c>
      <c r="G351" s="162" t="s">
        <v>17</v>
      </c>
      <c r="H351" s="162" t="s">
        <v>1779</v>
      </c>
    </row>
    <row r="352" spans="1:8" x14ac:dyDescent="0.3">
      <c r="A352" s="161">
        <v>45832</v>
      </c>
      <c r="B352" s="162" t="s">
        <v>50</v>
      </c>
      <c r="C352" s="162" t="s">
        <v>266</v>
      </c>
      <c r="D352" s="162">
        <v>325.24</v>
      </c>
      <c r="E352" s="162">
        <v>0</v>
      </c>
      <c r="F352" s="162">
        <v>26418.29</v>
      </c>
      <c r="G352" s="162" t="s">
        <v>49</v>
      </c>
      <c r="H352" s="162" t="s">
        <v>1779</v>
      </c>
    </row>
    <row r="353" spans="1:8" x14ac:dyDescent="0.3">
      <c r="A353" s="161">
        <v>45832</v>
      </c>
      <c r="B353" s="162" t="s">
        <v>50</v>
      </c>
      <c r="C353" s="162" t="s">
        <v>270</v>
      </c>
      <c r="D353" s="162">
        <v>193.58</v>
      </c>
      <c r="E353" s="162">
        <v>0</v>
      </c>
      <c r="F353" s="162">
        <v>26629.99</v>
      </c>
      <c r="G353" s="162" t="s">
        <v>49</v>
      </c>
      <c r="H353" s="162" t="s">
        <v>1779</v>
      </c>
    </row>
    <row r="354" spans="1:8" x14ac:dyDescent="0.3">
      <c r="A354" s="161">
        <v>45832.380300925928</v>
      </c>
      <c r="B354" s="162" t="s">
        <v>2128</v>
      </c>
      <c r="C354" s="162" t="s">
        <v>2129</v>
      </c>
      <c r="D354" s="162">
        <v>1891.75</v>
      </c>
      <c r="E354" s="162">
        <v>0</v>
      </c>
      <c r="F354" s="162">
        <v>66237.95</v>
      </c>
      <c r="G354" s="162" t="s">
        <v>1028</v>
      </c>
      <c r="H354" s="162" t="s">
        <v>1019</v>
      </c>
    </row>
    <row r="355" spans="1:8" x14ac:dyDescent="0.3">
      <c r="A355" s="161">
        <v>45833</v>
      </c>
      <c r="B355" s="162" t="s">
        <v>50</v>
      </c>
      <c r="C355" s="162" t="s">
        <v>271</v>
      </c>
      <c r="D355" s="162">
        <v>44.65</v>
      </c>
      <c r="E355" s="162">
        <v>0</v>
      </c>
      <c r="F355" s="162">
        <v>26585.34</v>
      </c>
      <c r="G355" s="162" t="s">
        <v>49</v>
      </c>
      <c r="H355" s="162" t="s">
        <v>1779</v>
      </c>
    </row>
    <row r="356" spans="1:8" x14ac:dyDescent="0.3">
      <c r="A356" s="161">
        <v>45833</v>
      </c>
      <c r="B356" s="162" t="s">
        <v>272</v>
      </c>
      <c r="C356" s="162" t="s">
        <v>273</v>
      </c>
      <c r="D356" s="162">
        <v>0</v>
      </c>
      <c r="E356" s="162">
        <v>25000</v>
      </c>
      <c r="F356" s="162">
        <v>51585.34</v>
      </c>
      <c r="G356" s="162" t="s">
        <v>149</v>
      </c>
      <c r="H356" s="162" t="s">
        <v>1779</v>
      </c>
    </row>
    <row r="357" spans="1:8" x14ac:dyDescent="0.3">
      <c r="A357" s="161">
        <v>45833</v>
      </c>
      <c r="B357" s="162" t="s">
        <v>1718</v>
      </c>
      <c r="C357" s="162"/>
      <c r="D357" s="162">
        <v>0</v>
      </c>
      <c r="E357" s="162">
        <v>81</v>
      </c>
      <c r="F357" s="162">
        <v>11717.96</v>
      </c>
      <c r="G357" s="162" t="s">
        <v>22</v>
      </c>
      <c r="H357" s="162" t="s">
        <v>837</v>
      </c>
    </row>
    <row r="358" spans="1:8" x14ac:dyDescent="0.3">
      <c r="A358" s="161">
        <v>45834</v>
      </c>
      <c r="B358" s="162" t="s">
        <v>50</v>
      </c>
      <c r="C358" s="162" t="s">
        <v>277</v>
      </c>
      <c r="D358" s="162">
        <v>19573.55</v>
      </c>
      <c r="E358" s="162">
        <v>0</v>
      </c>
      <c r="F358" s="162">
        <v>32429.64</v>
      </c>
      <c r="G358" s="162" t="s">
        <v>49</v>
      </c>
      <c r="H358" s="162" t="s">
        <v>1779</v>
      </c>
    </row>
    <row r="359" spans="1:8" x14ac:dyDescent="0.3">
      <c r="A359" s="161">
        <v>45834</v>
      </c>
      <c r="B359" s="162" t="s">
        <v>50</v>
      </c>
      <c r="C359" s="162" t="s">
        <v>276</v>
      </c>
      <c r="D359" s="162">
        <v>44.65</v>
      </c>
      <c r="E359" s="162">
        <v>0</v>
      </c>
      <c r="F359" s="162">
        <v>52003.19</v>
      </c>
      <c r="G359" s="162" t="s">
        <v>49</v>
      </c>
      <c r="H359" s="162" t="s">
        <v>1779</v>
      </c>
    </row>
    <row r="360" spans="1:8" x14ac:dyDescent="0.3">
      <c r="A360" s="161">
        <v>45834</v>
      </c>
      <c r="B360" s="162" t="s">
        <v>274</v>
      </c>
      <c r="C360" s="162" t="s">
        <v>275</v>
      </c>
      <c r="D360" s="162">
        <v>0</v>
      </c>
      <c r="E360" s="162">
        <v>462.5</v>
      </c>
      <c r="F360" s="162">
        <v>52047.839999999997</v>
      </c>
      <c r="G360" s="162" t="s">
        <v>49</v>
      </c>
      <c r="H360" s="162" t="s">
        <v>1779</v>
      </c>
    </row>
    <row r="361" spans="1:8" x14ac:dyDescent="0.3">
      <c r="A361" s="161">
        <v>45834.046770833331</v>
      </c>
      <c r="B361" s="162" t="s">
        <v>2130</v>
      </c>
      <c r="C361" s="162">
        <v>517719008897</v>
      </c>
      <c r="D361" s="162">
        <v>2</v>
      </c>
      <c r="E361" s="162">
        <v>0</v>
      </c>
      <c r="F361" s="162">
        <v>66235.95</v>
      </c>
      <c r="G361" s="162" t="s">
        <v>91</v>
      </c>
      <c r="H361" s="162" t="s">
        <v>1019</v>
      </c>
    </row>
    <row r="362" spans="1:8" x14ac:dyDescent="0.3">
      <c r="A362" s="161">
        <v>45835</v>
      </c>
      <c r="B362" s="162" t="s">
        <v>1038</v>
      </c>
      <c r="C362" s="162" t="s">
        <v>1005</v>
      </c>
      <c r="D362" s="162">
        <v>15000</v>
      </c>
      <c r="E362" s="162">
        <v>0</v>
      </c>
      <c r="F362" s="162">
        <v>42516.87</v>
      </c>
      <c r="G362" s="162" t="s">
        <v>1031</v>
      </c>
      <c r="H362" s="162" t="s">
        <v>1680</v>
      </c>
    </row>
    <row r="363" spans="1:8" x14ac:dyDescent="0.3">
      <c r="A363" s="161">
        <v>45835</v>
      </c>
      <c r="B363" s="162" t="s">
        <v>50</v>
      </c>
      <c r="C363" s="162" t="s">
        <v>278</v>
      </c>
      <c r="D363" s="162">
        <v>37.840000000000003</v>
      </c>
      <c r="E363" s="162">
        <v>0</v>
      </c>
      <c r="F363" s="162">
        <v>32391.8</v>
      </c>
      <c r="G363" s="162" t="s">
        <v>49</v>
      </c>
      <c r="H363" s="162" t="s">
        <v>1779</v>
      </c>
    </row>
    <row r="364" spans="1:8" x14ac:dyDescent="0.3">
      <c r="A364" s="161">
        <v>45836</v>
      </c>
      <c r="B364" s="162" t="s">
        <v>279</v>
      </c>
      <c r="C364" s="162" t="s">
        <v>280</v>
      </c>
      <c r="D364" s="162">
        <v>0</v>
      </c>
      <c r="E364" s="162">
        <v>10000</v>
      </c>
      <c r="F364" s="162">
        <v>42391.8</v>
      </c>
      <c r="G364" s="162" t="s">
        <v>181</v>
      </c>
      <c r="H364" s="162" t="s">
        <v>1779</v>
      </c>
    </row>
    <row r="365" spans="1:8" x14ac:dyDescent="0.3">
      <c r="A365" s="161">
        <v>45836.710578703707</v>
      </c>
      <c r="B365" s="162" t="s">
        <v>2131</v>
      </c>
      <c r="C365" s="162" t="s">
        <v>2132</v>
      </c>
      <c r="D365" s="162">
        <v>248</v>
      </c>
      <c r="E365" s="162">
        <v>0</v>
      </c>
      <c r="F365" s="162">
        <v>65987.95</v>
      </c>
      <c r="G365" s="162" t="s">
        <v>91</v>
      </c>
      <c r="H365" s="162" t="s">
        <v>1019</v>
      </c>
    </row>
    <row r="366" spans="1:8" x14ac:dyDescent="0.3">
      <c r="A366" s="161">
        <v>45838</v>
      </c>
      <c r="B366" s="162" t="s">
        <v>283</v>
      </c>
      <c r="C366" s="162" t="s">
        <v>284</v>
      </c>
      <c r="D366" s="162">
        <v>5000</v>
      </c>
      <c r="E366" s="162">
        <v>0</v>
      </c>
      <c r="F366" s="162">
        <v>47463.26</v>
      </c>
      <c r="G366" s="162" t="s">
        <v>2</v>
      </c>
      <c r="H366" s="162" t="s">
        <v>1779</v>
      </c>
    </row>
    <row r="367" spans="1:8" x14ac:dyDescent="0.3">
      <c r="A367" s="161">
        <v>45838</v>
      </c>
      <c r="B367" s="162" t="s">
        <v>285</v>
      </c>
      <c r="C367" s="162" t="s">
        <v>286</v>
      </c>
      <c r="D367" s="162">
        <v>5000</v>
      </c>
      <c r="E367" s="162">
        <v>0</v>
      </c>
      <c r="F367" s="162">
        <v>42463.26</v>
      </c>
      <c r="G367" s="162" t="s">
        <v>2</v>
      </c>
      <c r="H367" s="162" t="s">
        <v>1779</v>
      </c>
    </row>
    <row r="368" spans="1:8" x14ac:dyDescent="0.3">
      <c r="A368" s="161">
        <v>45838</v>
      </c>
      <c r="B368" s="162" t="s">
        <v>288</v>
      </c>
      <c r="C368" s="162" t="s">
        <v>289</v>
      </c>
      <c r="D368" s="162">
        <v>2</v>
      </c>
      <c r="E368" s="162">
        <v>0</v>
      </c>
      <c r="F368" s="162">
        <v>42289.99</v>
      </c>
      <c r="G368" s="162" t="s">
        <v>7</v>
      </c>
      <c r="H368" s="162" t="s">
        <v>1779</v>
      </c>
    </row>
    <row r="369" spans="1:8" x14ac:dyDescent="0.3">
      <c r="A369" s="161">
        <v>45838</v>
      </c>
      <c r="B369" s="162" t="s">
        <v>281</v>
      </c>
      <c r="C369" s="162" t="s">
        <v>282</v>
      </c>
      <c r="D369" s="162">
        <v>0</v>
      </c>
      <c r="E369" s="162">
        <v>10071.459999999999</v>
      </c>
      <c r="F369" s="162">
        <v>52463.26</v>
      </c>
      <c r="G369" s="162" t="s">
        <v>49</v>
      </c>
      <c r="H369" s="162" t="s">
        <v>1779</v>
      </c>
    </row>
    <row r="370" spans="1:8" x14ac:dyDescent="0.3">
      <c r="A370" s="161">
        <v>45838</v>
      </c>
      <c r="B370" s="162" t="s">
        <v>50</v>
      </c>
      <c r="C370" s="162" t="s">
        <v>287</v>
      </c>
      <c r="D370" s="162">
        <v>171.27</v>
      </c>
      <c r="E370" s="162">
        <v>0</v>
      </c>
      <c r="F370" s="162">
        <v>42291.99</v>
      </c>
      <c r="G370" s="162" t="s">
        <v>49</v>
      </c>
      <c r="H370" s="162" t="s">
        <v>1779</v>
      </c>
    </row>
    <row r="371" spans="1:8" x14ac:dyDescent="0.3">
      <c r="A371" s="161">
        <v>45839</v>
      </c>
      <c r="B371" s="162" t="s">
        <v>2470</v>
      </c>
      <c r="C371" s="162"/>
      <c r="D371" s="162">
        <v>0</v>
      </c>
      <c r="E371" s="162">
        <v>1</v>
      </c>
      <c r="F371" s="162">
        <v>240</v>
      </c>
      <c r="G371" s="162" t="s">
        <v>22</v>
      </c>
      <c r="H371" s="162" t="s">
        <v>2224</v>
      </c>
    </row>
    <row r="372" spans="1:8" x14ac:dyDescent="0.3">
      <c r="A372" s="161">
        <v>45839</v>
      </c>
      <c r="B372" s="162" t="s">
        <v>295</v>
      </c>
      <c r="C372" s="162" t="s">
        <v>296</v>
      </c>
      <c r="D372" s="162">
        <v>14800</v>
      </c>
      <c r="E372" s="162">
        <v>0</v>
      </c>
      <c r="F372" s="162">
        <v>78648.539999999994</v>
      </c>
      <c r="G372" s="162" t="s">
        <v>49</v>
      </c>
      <c r="H372" s="162" t="s">
        <v>1779</v>
      </c>
    </row>
    <row r="373" spans="1:8" x14ac:dyDescent="0.3">
      <c r="A373" s="161">
        <v>45839</v>
      </c>
      <c r="B373" s="162" t="s">
        <v>291</v>
      </c>
      <c r="C373" s="162" t="s">
        <v>292</v>
      </c>
      <c r="D373" s="162">
        <v>0</v>
      </c>
      <c r="E373" s="162">
        <v>50881.79</v>
      </c>
      <c r="F373" s="162">
        <v>93441.78</v>
      </c>
      <c r="G373" s="162" t="s">
        <v>49</v>
      </c>
      <c r="H373" s="162" t="s">
        <v>1779</v>
      </c>
    </row>
    <row r="374" spans="1:8" x14ac:dyDescent="0.3">
      <c r="A374" s="161">
        <v>45839</v>
      </c>
      <c r="B374" s="162" t="s">
        <v>293</v>
      </c>
      <c r="C374" s="162" t="s">
        <v>294</v>
      </c>
      <c r="D374" s="162">
        <v>0</v>
      </c>
      <c r="E374" s="162">
        <v>6.76</v>
      </c>
      <c r="F374" s="162">
        <v>93448.54</v>
      </c>
      <c r="G374" s="162" t="s">
        <v>49</v>
      </c>
      <c r="H374" s="162" t="s">
        <v>1779</v>
      </c>
    </row>
    <row r="375" spans="1:8" x14ac:dyDescent="0.3">
      <c r="A375" s="161">
        <v>45839</v>
      </c>
      <c r="B375" s="162" t="s">
        <v>50</v>
      </c>
      <c r="C375" s="162" t="s">
        <v>297</v>
      </c>
      <c r="D375" s="162">
        <v>50.27</v>
      </c>
      <c r="E375" s="162">
        <v>0</v>
      </c>
      <c r="F375" s="162">
        <v>78598.27</v>
      </c>
      <c r="G375" s="162" t="s">
        <v>49</v>
      </c>
      <c r="H375" s="162" t="s">
        <v>1779</v>
      </c>
    </row>
    <row r="376" spans="1:8" x14ac:dyDescent="0.3">
      <c r="A376" s="161">
        <v>45839</v>
      </c>
      <c r="B376" s="162" t="s">
        <v>298</v>
      </c>
      <c r="C376" s="162" t="s">
        <v>299</v>
      </c>
      <c r="D376" s="162">
        <v>0</v>
      </c>
      <c r="E376" s="162">
        <v>350</v>
      </c>
      <c r="F376" s="162">
        <v>78948.27</v>
      </c>
      <c r="G376" s="162" t="s">
        <v>17</v>
      </c>
      <c r="H376" s="162" t="s">
        <v>1779</v>
      </c>
    </row>
    <row r="377" spans="1:8" x14ac:dyDescent="0.3">
      <c r="A377" s="161">
        <v>45839</v>
      </c>
      <c r="B377" s="162" t="s">
        <v>50</v>
      </c>
      <c r="C377" s="162" t="s">
        <v>300</v>
      </c>
      <c r="D377" s="162">
        <v>34712.25</v>
      </c>
      <c r="E377" s="162">
        <v>0</v>
      </c>
      <c r="F377" s="162">
        <v>44236.02</v>
      </c>
      <c r="G377" s="162" t="s">
        <v>49</v>
      </c>
      <c r="H377" s="162" t="s">
        <v>1779</v>
      </c>
    </row>
    <row r="378" spans="1:8" x14ac:dyDescent="0.3">
      <c r="A378" s="161">
        <v>45839</v>
      </c>
      <c r="B378" s="162" t="s">
        <v>1039</v>
      </c>
      <c r="C378" s="162" t="s">
        <v>1005</v>
      </c>
      <c r="D378" s="162">
        <v>0</v>
      </c>
      <c r="E378" s="162">
        <v>291</v>
      </c>
      <c r="F378" s="162">
        <v>42807.87</v>
      </c>
      <c r="G378" s="162" t="s">
        <v>22</v>
      </c>
      <c r="H378" s="162" t="s">
        <v>1680</v>
      </c>
    </row>
    <row r="379" spans="1:8" x14ac:dyDescent="0.3">
      <c r="A379" s="161">
        <v>45839</v>
      </c>
      <c r="B379" s="162" t="s">
        <v>290</v>
      </c>
      <c r="C379" s="162" t="s">
        <v>83</v>
      </c>
      <c r="D379" s="162">
        <v>0</v>
      </c>
      <c r="E379" s="162">
        <v>270</v>
      </c>
      <c r="F379" s="162">
        <v>42559.99</v>
      </c>
      <c r="G379" s="162" t="s">
        <v>22</v>
      </c>
      <c r="H379" s="162" t="s">
        <v>1779</v>
      </c>
    </row>
    <row r="380" spans="1:8" x14ac:dyDescent="0.3">
      <c r="A380" s="161">
        <v>45839</v>
      </c>
      <c r="B380" s="162" t="s">
        <v>1040</v>
      </c>
      <c r="C380" s="162" t="s">
        <v>1005</v>
      </c>
      <c r="D380" s="162">
        <v>0</v>
      </c>
      <c r="E380" s="162">
        <v>98850</v>
      </c>
      <c r="F380" s="162">
        <v>141657.87</v>
      </c>
      <c r="G380" s="162" t="s">
        <v>972</v>
      </c>
      <c r="H380" s="162" t="s">
        <v>1680</v>
      </c>
    </row>
    <row r="381" spans="1:8" x14ac:dyDescent="0.3">
      <c r="A381" s="161">
        <v>45839.246111111112</v>
      </c>
      <c r="B381" s="162" t="s">
        <v>2135</v>
      </c>
      <c r="C381" s="162" t="s">
        <v>2136</v>
      </c>
      <c r="D381" s="162">
        <v>668</v>
      </c>
      <c r="E381" s="162">
        <v>0</v>
      </c>
      <c r="F381" s="162">
        <v>65319.95</v>
      </c>
      <c r="G381" s="162" t="s">
        <v>91</v>
      </c>
      <c r="H381" s="162" t="s">
        <v>1019</v>
      </c>
    </row>
    <row r="382" spans="1:8" x14ac:dyDescent="0.3">
      <c r="A382" s="161">
        <v>45839.270011574074</v>
      </c>
      <c r="B382" s="162" t="s">
        <v>2134</v>
      </c>
      <c r="C382" s="162"/>
      <c r="D382" s="162">
        <v>0</v>
      </c>
      <c r="E382" s="162">
        <v>452</v>
      </c>
      <c r="F382" s="162">
        <v>65771.95</v>
      </c>
      <c r="G382" s="162" t="s">
        <v>22</v>
      </c>
      <c r="H382" s="162" t="s">
        <v>1019</v>
      </c>
    </row>
    <row r="383" spans="1:8" x14ac:dyDescent="0.3">
      <c r="A383" s="161">
        <v>45839.656365740739</v>
      </c>
      <c r="B383" s="162" t="s">
        <v>2138</v>
      </c>
      <c r="C383" s="162" t="s">
        <v>2139</v>
      </c>
      <c r="D383" s="162">
        <v>55</v>
      </c>
      <c r="E383" s="162">
        <v>0</v>
      </c>
      <c r="F383" s="162">
        <v>65716.95</v>
      </c>
      <c r="G383" s="162" t="s">
        <v>91</v>
      </c>
      <c r="H383" s="162" t="s">
        <v>1019</v>
      </c>
    </row>
    <row r="384" spans="1:8" x14ac:dyDescent="0.3">
      <c r="A384" s="161">
        <v>45839.780185185176</v>
      </c>
      <c r="B384" s="162" t="s">
        <v>2141</v>
      </c>
      <c r="C384" s="162" t="s">
        <v>2142</v>
      </c>
      <c r="D384" s="162">
        <v>54</v>
      </c>
      <c r="E384" s="162">
        <v>0</v>
      </c>
      <c r="F384" s="162">
        <v>65662.95</v>
      </c>
      <c r="G384" s="162" t="s">
        <v>131</v>
      </c>
      <c r="H384" s="162" t="s">
        <v>1019</v>
      </c>
    </row>
    <row r="385" spans="1:8" x14ac:dyDescent="0.3">
      <c r="A385" s="161">
        <v>45840</v>
      </c>
      <c r="B385" s="162" t="s">
        <v>1043</v>
      </c>
      <c r="C385" s="162" t="s">
        <v>1005</v>
      </c>
      <c r="D385" s="162">
        <v>0</v>
      </c>
      <c r="E385" s="162">
        <v>40000</v>
      </c>
      <c r="F385" s="162">
        <v>171657.87</v>
      </c>
      <c r="G385" s="162" t="s">
        <v>1031</v>
      </c>
      <c r="H385" s="162" t="s">
        <v>1680</v>
      </c>
    </row>
    <row r="386" spans="1:8" x14ac:dyDescent="0.3">
      <c r="A386" s="161">
        <v>45840</v>
      </c>
      <c r="B386" s="162" t="s">
        <v>301</v>
      </c>
      <c r="C386" s="162" t="s">
        <v>302</v>
      </c>
      <c r="D386" s="162">
        <v>0</v>
      </c>
      <c r="E386" s="162">
        <v>2505</v>
      </c>
      <c r="F386" s="162">
        <v>46741.02</v>
      </c>
      <c r="G386" s="162" t="s">
        <v>17</v>
      </c>
      <c r="H386" s="162" t="s">
        <v>1779</v>
      </c>
    </row>
    <row r="387" spans="1:8" x14ac:dyDescent="0.3">
      <c r="A387" s="161">
        <v>45840</v>
      </c>
      <c r="B387" s="162" t="s">
        <v>50</v>
      </c>
      <c r="C387" s="162" t="s">
        <v>303</v>
      </c>
      <c r="D387" s="162">
        <v>37.909999999999997</v>
      </c>
      <c r="E387" s="162">
        <v>0</v>
      </c>
      <c r="F387" s="162">
        <v>46703.11</v>
      </c>
      <c r="G387" s="162" t="s">
        <v>49</v>
      </c>
      <c r="H387" s="162" t="s">
        <v>1779</v>
      </c>
    </row>
    <row r="388" spans="1:8" x14ac:dyDescent="0.3">
      <c r="A388" s="161">
        <v>45840</v>
      </c>
      <c r="B388" s="162" t="s">
        <v>50</v>
      </c>
      <c r="C388" s="162" t="s">
        <v>304</v>
      </c>
      <c r="D388" s="162">
        <v>4309.99</v>
      </c>
      <c r="E388" s="162">
        <v>0</v>
      </c>
      <c r="F388" s="162">
        <v>42393.120000000003</v>
      </c>
      <c r="G388" s="162" t="s">
        <v>49</v>
      </c>
      <c r="H388" s="162" t="s">
        <v>1779</v>
      </c>
    </row>
    <row r="389" spans="1:8" x14ac:dyDescent="0.3">
      <c r="A389" s="161">
        <v>45840</v>
      </c>
      <c r="B389" s="162" t="s">
        <v>1042</v>
      </c>
      <c r="C389" s="162" t="s">
        <v>1005</v>
      </c>
      <c r="D389" s="162">
        <v>40000</v>
      </c>
      <c r="E389" s="162">
        <v>0</v>
      </c>
      <c r="F389" s="162">
        <v>131657.87</v>
      </c>
      <c r="G389" s="162" t="s">
        <v>1031</v>
      </c>
      <c r="H389" s="162" t="s">
        <v>1680</v>
      </c>
    </row>
    <row r="390" spans="1:8" x14ac:dyDescent="0.3">
      <c r="A390" s="161">
        <v>45840</v>
      </c>
      <c r="B390" s="162" t="s">
        <v>1041</v>
      </c>
      <c r="C390" s="162" t="s">
        <v>1005</v>
      </c>
      <c r="D390" s="162">
        <v>0</v>
      </c>
      <c r="E390" s="162">
        <v>30000</v>
      </c>
      <c r="F390" s="162">
        <v>171657.87</v>
      </c>
      <c r="G390" s="162" t="s">
        <v>1031</v>
      </c>
      <c r="H390" s="162" t="s">
        <v>1680</v>
      </c>
    </row>
    <row r="391" spans="1:8" x14ac:dyDescent="0.3">
      <c r="A391" s="161">
        <v>45840.381921296299</v>
      </c>
      <c r="B391" s="162" t="s">
        <v>2143</v>
      </c>
      <c r="C391" s="162" t="s">
        <v>2144</v>
      </c>
      <c r="D391" s="162">
        <v>1000</v>
      </c>
      <c r="E391" s="162">
        <v>0</v>
      </c>
      <c r="F391" s="162">
        <v>64662.95</v>
      </c>
      <c r="G391" s="162" t="s">
        <v>1028</v>
      </c>
      <c r="H391" s="162" t="s">
        <v>1019</v>
      </c>
    </row>
    <row r="392" spans="1:8" x14ac:dyDescent="0.3">
      <c r="A392" s="161">
        <v>45840.391377314823</v>
      </c>
      <c r="B392" s="162" t="s">
        <v>2145</v>
      </c>
      <c r="C392" s="162" t="s">
        <v>2146</v>
      </c>
      <c r="D392" s="162">
        <v>1800</v>
      </c>
      <c r="E392" s="162">
        <v>0</v>
      </c>
      <c r="F392" s="162">
        <v>62862.95</v>
      </c>
      <c r="G392" s="162" t="s">
        <v>91</v>
      </c>
      <c r="H392" s="162" t="s">
        <v>1019</v>
      </c>
    </row>
    <row r="393" spans="1:8" x14ac:dyDescent="0.3">
      <c r="A393" s="161">
        <v>45841</v>
      </c>
      <c r="B393" s="162" t="s">
        <v>1044</v>
      </c>
      <c r="C393" s="162" t="s">
        <v>1005</v>
      </c>
      <c r="D393" s="162">
        <v>23000</v>
      </c>
      <c r="E393" s="162">
        <v>0</v>
      </c>
      <c r="F393" s="162">
        <v>148657.87</v>
      </c>
      <c r="G393" s="162" t="s">
        <v>990</v>
      </c>
      <c r="H393" s="162" t="s">
        <v>1680</v>
      </c>
    </row>
    <row r="394" spans="1:8" x14ac:dyDescent="0.3">
      <c r="A394" s="161">
        <v>45841</v>
      </c>
      <c r="B394" s="162" t="s">
        <v>305</v>
      </c>
      <c r="C394" s="162" t="s">
        <v>306</v>
      </c>
      <c r="D394" s="162">
        <v>10000</v>
      </c>
      <c r="E394" s="162">
        <v>0</v>
      </c>
      <c r="F394" s="162">
        <v>32393.119999999999</v>
      </c>
      <c r="G394" s="162" t="s">
        <v>149</v>
      </c>
      <c r="H394" s="162" t="s">
        <v>1779</v>
      </c>
    </row>
    <row r="395" spans="1:8" x14ac:dyDescent="0.3">
      <c r="A395" s="161">
        <v>45841</v>
      </c>
      <c r="B395" s="162" t="s">
        <v>307</v>
      </c>
      <c r="C395" s="162" t="s">
        <v>308</v>
      </c>
      <c r="D395" s="162">
        <v>10000</v>
      </c>
      <c r="E395" s="162">
        <v>0</v>
      </c>
      <c r="F395" s="162">
        <v>22393.119999999999</v>
      </c>
      <c r="G395" s="162" t="s">
        <v>157</v>
      </c>
      <c r="H395" s="162" t="s">
        <v>1779</v>
      </c>
    </row>
    <row r="396" spans="1:8" x14ac:dyDescent="0.3">
      <c r="A396" s="161">
        <v>45841</v>
      </c>
      <c r="B396" s="162" t="s">
        <v>50</v>
      </c>
      <c r="C396" s="162" t="s">
        <v>309</v>
      </c>
      <c r="D396" s="162">
        <v>36.380000000000003</v>
      </c>
      <c r="E396" s="162">
        <v>0</v>
      </c>
      <c r="F396" s="162">
        <v>22356.74</v>
      </c>
      <c r="G396" s="162" t="s">
        <v>49</v>
      </c>
      <c r="H396" s="162" t="s">
        <v>1779</v>
      </c>
    </row>
    <row r="397" spans="1:8" x14ac:dyDescent="0.3">
      <c r="A397" s="161">
        <v>45841</v>
      </c>
      <c r="B397" s="162" t="s">
        <v>50</v>
      </c>
      <c r="C397" s="162" t="s">
        <v>310</v>
      </c>
      <c r="D397" s="162">
        <v>994.31</v>
      </c>
      <c r="E397" s="162">
        <v>0</v>
      </c>
      <c r="F397" s="162">
        <v>21362.43</v>
      </c>
      <c r="G397" s="162" t="s">
        <v>49</v>
      </c>
      <c r="H397" s="162" t="s">
        <v>1779</v>
      </c>
    </row>
    <row r="398" spans="1:8" x14ac:dyDescent="0.3">
      <c r="A398" s="161">
        <v>45842</v>
      </c>
      <c r="B398" s="162" t="s">
        <v>1049</v>
      </c>
      <c r="C398" s="162" t="s">
        <v>1005</v>
      </c>
      <c r="D398" s="162">
        <v>0</v>
      </c>
      <c r="E398" s="162">
        <v>1</v>
      </c>
      <c r="F398" s="162">
        <v>148662.1</v>
      </c>
      <c r="G398" s="162" t="s">
        <v>1046</v>
      </c>
      <c r="H398" s="162" t="s">
        <v>1680</v>
      </c>
    </row>
    <row r="399" spans="1:8" x14ac:dyDescent="0.3">
      <c r="A399" s="161">
        <v>45842</v>
      </c>
      <c r="B399" s="162" t="s">
        <v>1048</v>
      </c>
      <c r="C399" s="162" t="s">
        <v>1005</v>
      </c>
      <c r="D399" s="162">
        <v>0</v>
      </c>
      <c r="E399" s="162">
        <v>1</v>
      </c>
      <c r="F399" s="162">
        <v>148661.1</v>
      </c>
      <c r="G399" s="162" t="s">
        <v>1046</v>
      </c>
      <c r="H399" s="162" t="s">
        <v>1680</v>
      </c>
    </row>
    <row r="400" spans="1:8" x14ac:dyDescent="0.3">
      <c r="A400" s="161">
        <v>45842</v>
      </c>
      <c r="B400" s="162" t="s">
        <v>1047</v>
      </c>
      <c r="C400" s="162" t="s">
        <v>1005</v>
      </c>
      <c r="D400" s="162">
        <v>0</v>
      </c>
      <c r="E400" s="162">
        <v>1.19</v>
      </c>
      <c r="F400" s="162">
        <v>148660.1</v>
      </c>
      <c r="G400" s="162" t="s">
        <v>1046</v>
      </c>
      <c r="H400" s="162" t="s">
        <v>1680</v>
      </c>
    </row>
    <row r="401" spans="1:8" x14ac:dyDescent="0.3">
      <c r="A401" s="161">
        <v>45842</v>
      </c>
      <c r="B401" s="162" t="s">
        <v>1045</v>
      </c>
      <c r="C401" s="162" t="s">
        <v>1005</v>
      </c>
      <c r="D401" s="162">
        <v>0</v>
      </c>
      <c r="E401" s="162">
        <v>1.04</v>
      </c>
      <c r="F401" s="162">
        <v>148658.91</v>
      </c>
      <c r="G401" s="162" t="s">
        <v>1046</v>
      </c>
      <c r="H401" s="162" t="s">
        <v>1680</v>
      </c>
    </row>
    <row r="402" spans="1:8" x14ac:dyDescent="0.3">
      <c r="A402" s="161">
        <v>45842</v>
      </c>
      <c r="B402" s="162" t="s">
        <v>50</v>
      </c>
      <c r="C402" s="162" t="s">
        <v>311</v>
      </c>
      <c r="D402" s="162">
        <v>41.56</v>
      </c>
      <c r="E402" s="162">
        <v>0</v>
      </c>
      <c r="F402" s="162">
        <v>21320.87</v>
      </c>
      <c r="G402" s="162" t="s">
        <v>49</v>
      </c>
      <c r="H402" s="162" t="s">
        <v>1779</v>
      </c>
    </row>
    <row r="403" spans="1:8" x14ac:dyDescent="0.3">
      <c r="A403" s="161">
        <v>45842</v>
      </c>
      <c r="B403" s="162" t="s">
        <v>50</v>
      </c>
      <c r="C403" s="162" t="s">
        <v>312</v>
      </c>
      <c r="D403" s="162">
        <v>2.88</v>
      </c>
      <c r="E403" s="162">
        <v>0</v>
      </c>
      <c r="F403" s="162">
        <v>21317.99</v>
      </c>
      <c r="G403" s="162" t="s">
        <v>49</v>
      </c>
      <c r="H403" s="162" t="s">
        <v>1779</v>
      </c>
    </row>
    <row r="404" spans="1:8" x14ac:dyDescent="0.3">
      <c r="A404" s="161">
        <v>45842</v>
      </c>
      <c r="B404" s="162" t="s">
        <v>1050</v>
      </c>
      <c r="C404" s="162" t="s">
        <v>1005</v>
      </c>
      <c r="D404" s="162">
        <v>40000</v>
      </c>
      <c r="E404" s="162">
        <v>0</v>
      </c>
      <c r="F404" s="162">
        <v>108662.1</v>
      </c>
      <c r="G404" s="162" t="s">
        <v>1031</v>
      </c>
      <c r="H404" s="162" t="s">
        <v>1680</v>
      </c>
    </row>
    <row r="405" spans="1:8" x14ac:dyDescent="0.3">
      <c r="A405" s="161">
        <v>45842.49664351852</v>
      </c>
      <c r="B405" s="162" t="s">
        <v>2148</v>
      </c>
      <c r="C405" s="162" t="s">
        <v>2149</v>
      </c>
      <c r="D405" s="162">
        <v>20000</v>
      </c>
      <c r="E405" s="162">
        <v>0</v>
      </c>
      <c r="F405" s="162">
        <v>42862.95</v>
      </c>
      <c r="G405" s="162" t="s">
        <v>1735</v>
      </c>
      <c r="H405" s="162" t="s">
        <v>1019</v>
      </c>
    </row>
    <row r="406" spans="1:8" x14ac:dyDescent="0.3">
      <c r="A406" s="161">
        <v>45842.538703703707</v>
      </c>
      <c r="B406" s="162" t="s">
        <v>2150</v>
      </c>
      <c r="C406" s="162" t="s">
        <v>2151</v>
      </c>
      <c r="D406" s="162">
        <v>28</v>
      </c>
      <c r="E406" s="162">
        <v>0</v>
      </c>
      <c r="F406" s="162">
        <v>42834.95</v>
      </c>
      <c r="G406" s="162" t="s">
        <v>131</v>
      </c>
      <c r="H406" s="162" t="s">
        <v>1019</v>
      </c>
    </row>
    <row r="407" spans="1:8" x14ac:dyDescent="0.3">
      <c r="A407" s="161">
        <v>45843.80133101852</v>
      </c>
      <c r="B407" s="162" t="s">
        <v>2152</v>
      </c>
      <c r="C407" s="162" t="s">
        <v>2153</v>
      </c>
      <c r="D407" s="162">
        <v>2000</v>
      </c>
      <c r="E407" s="162">
        <v>0</v>
      </c>
      <c r="F407" s="162">
        <v>40834.949999999997</v>
      </c>
      <c r="G407" s="162" t="s">
        <v>91</v>
      </c>
      <c r="H407" s="162" t="s">
        <v>1019</v>
      </c>
    </row>
    <row r="408" spans="1:8" x14ac:dyDescent="0.3">
      <c r="A408" s="161">
        <v>45845</v>
      </c>
      <c r="B408" s="162" t="s">
        <v>50</v>
      </c>
      <c r="C408" s="162" t="s">
        <v>315</v>
      </c>
      <c r="D408" s="162">
        <v>124.68</v>
      </c>
      <c r="E408" s="162">
        <v>0</v>
      </c>
      <c r="F408" s="162">
        <v>23073.31</v>
      </c>
      <c r="G408" s="162" t="s">
        <v>49</v>
      </c>
      <c r="H408" s="162" t="s">
        <v>1779</v>
      </c>
    </row>
    <row r="409" spans="1:8" x14ac:dyDescent="0.3">
      <c r="A409" s="161">
        <v>45845</v>
      </c>
      <c r="B409" s="162" t="s">
        <v>50</v>
      </c>
      <c r="C409" s="162" t="s">
        <v>316</v>
      </c>
      <c r="D409" s="162">
        <v>520.97</v>
      </c>
      <c r="E409" s="162">
        <v>0</v>
      </c>
      <c r="F409" s="162">
        <v>22552.34</v>
      </c>
      <c r="G409" s="162" t="s">
        <v>49</v>
      </c>
      <c r="H409" s="162" t="s">
        <v>1779</v>
      </c>
    </row>
    <row r="410" spans="1:8" x14ac:dyDescent="0.3">
      <c r="A410" s="161">
        <v>45845</v>
      </c>
      <c r="B410" s="162" t="s">
        <v>313</v>
      </c>
      <c r="C410" s="162" t="s">
        <v>314</v>
      </c>
      <c r="D410" s="162">
        <v>0</v>
      </c>
      <c r="E410" s="162">
        <v>1880</v>
      </c>
      <c r="F410" s="162">
        <v>23197.99</v>
      </c>
      <c r="G410" s="162" t="s">
        <v>63</v>
      </c>
      <c r="H410" s="162" t="s">
        <v>1779</v>
      </c>
    </row>
    <row r="411" spans="1:8" x14ac:dyDescent="0.3">
      <c r="A411" s="161">
        <v>45845</v>
      </c>
      <c r="B411" s="162" t="s">
        <v>1051</v>
      </c>
      <c r="C411" s="162" t="s">
        <v>1005</v>
      </c>
      <c r="D411" s="162">
        <v>0</v>
      </c>
      <c r="E411" s="162">
        <v>142.85</v>
      </c>
      <c r="F411" s="162">
        <v>108804.95</v>
      </c>
      <c r="G411" s="162" t="s">
        <v>1046</v>
      </c>
      <c r="H411" s="162" t="s">
        <v>1680</v>
      </c>
    </row>
    <row r="412" spans="1:8" x14ac:dyDescent="0.3">
      <c r="A412" s="161">
        <v>45845.765532407408</v>
      </c>
      <c r="B412" s="162" t="s">
        <v>2155</v>
      </c>
      <c r="C412" s="162" t="s">
        <v>2156</v>
      </c>
      <c r="D412" s="162">
        <v>450</v>
      </c>
      <c r="E412" s="162">
        <v>0</v>
      </c>
      <c r="F412" s="162">
        <v>40384.949999999997</v>
      </c>
      <c r="G412" s="162" t="s">
        <v>91</v>
      </c>
      <c r="H412" s="162" t="s">
        <v>1019</v>
      </c>
    </row>
    <row r="413" spans="1:8" x14ac:dyDescent="0.3">
      <c r="A413" s="161">
        <v>45845.771608796298</v>
      </c>
      <c r="B413" s="162" t="s">
        <v>2157</v>
      </c>
      <c r="C413" s="162" t="s">
        <v>2158</v>
      </c>
      <c r="D413" s="162">
        <v>1000</v>
      </c>
      <c r="E413" s="162">
        <v>0</v>
      </c>
      <c r="F413" s="162">
        <v>39384.949999999997</v>
      </c>
      <c r="G413" s="162" t="s">
        <v>1028</v>
      </c>
      <c r="H413" s="162" t="s">
        <v>1019</v>
      </c>
    </row>
    <row r="414" spans="1:8" x14ac:dyDescent="0.3">
      <c r="A414" s="161">
        <v>45846</v>
      </c>
      <c r="B414" s="162" t="s">
        <v>50</v>
      </c>
      <c r="C414" s="162" t="s">
        <v>317</v>
      </c>
      <c r="D414" s="162">
        <v>41.38</v>
      </c>
      <c r="E414" s="162">
        <v>0</v>
      </c>
      <c r="F414" s="162">
        <v>22510.959999999999</v>
      </c>
      <c r="G414" s="162" t="s">
        <v>49</v>
      </c>
      <c r="H414" s="162" t="s">
        <v>1779</v>
      </c>
    </row>
    <row r="415" spans="1:8" x14ac:dyDescent="0.3">
      <c r="A415" s="161">
        <v>45846</v>
      </c>
      <c r="B415" s="162" t="s">
        <v>50</v>
      </c>
      <c r="C415" s="162" t="s">
        <v>318</v>
      </c>
      <c r="D415" s="162">
        <v>139.37</v>
      </c>
      <c r="E415" s="162">
        <v>0</v>
      </c>
      <c r="F415" s="162">
        <v>22371.59</v>
      </c>
      <c r="G415" s="162" t="s">
        <v>49</v>
      </c>
      <c r="H415" s="162" t="s">
        <v>1779</v>
      </c>
    </row>
    <row r="416" spans="1:8" x14ac:dyDescent="0.3">
      <c r="A416" s="161">
        <v>45846.550810185188</v>
      </c>
      <c r="B416" s="162" t="s">
        <v>2159</v>
      </c>
      <c r="C416" s="162" t="s">
        <v>2160</v>
      </c>
      <c r="D416" s="162">
        <v>0</v>
      </c>
      <c r="E416" s="162">
        <v>210</v>
      </c>
      <c r="F416" s="162">
        <v>39594.949999999997</v>
      </c>
      <c r="G416" s="162" t="s">
        <v>17</v>
      </c>
      <c r="H416" s="162" t="s">
        <v>1019</v>
      </c>
    </row>
    <row r="417" spans="1:8" x14ac:dyDescent="0.3">
      <c r="A417" s="161">
        <v>45846.919745370367</v>
      </c>
      <c r="B417" s="162" t="s">
        <v>2161</v>
      </c>
      <c r="C417" s="162" t="s">
        <v>2162</v>
      </c>
      <c r="D417" s="162">
        <v>1000</v>
      </c>
      <c r="E417" s="162">
        <v>0</v>
      </c>
      <c r="F417" s="162">
        <v>38594.949999999997</v>
      </c>
      <c r="G417" s="162" t="s">
        <v>1028</v>
      </c>
      <c r="H417" s="162" t="s">
        <v>1019</v>
      </c>
    </row>
    <row r="418" spans="1:8" x14ac:dyDescent="0.3">
      <c r="A418" s="161">
        <v>45847</v>
      </c>
      <c r="B418" s="162" t="s">
        <v>50</v>
      </c>
      <c r="C418" s="162" t="s">
        <v>319</v>
      </c>
      <c r="D418" s="162">
        <v>41.33</v>
      </c>
      <c r="E418" s="162">
        <v>0</v>
      </c>
      <c r="F418" s="162">
        <v>22330.26</v>
      </c>
      <c r="G418" s="162" t="s">
        <v>49</v>
      </c>
      <c r="H418" s="162" t="s">
        <v>1779</v>
      </c>
    </row>
    <row r="419" spans="1:8" x14ac:dyDescent="0.3">
      <c r="A419" s="161">
        <v>45847</v>
      </c>
      <c r="B419" s="162" t="s">
        <v>50</v>
      </c>
      <c r="C419" s="162" t="s">
        <v>320</v>
      </c>
      <c r="D419" s="162">
        <v>8149.02</v>
      </c>
      <c r="E419" s="162">
        <v>0</v>
      </c>
      <c r="F419" s="162">
        <v>14181.24</v>
      </c>
      <c r="G419" s="162" t="s">
        <v>49</v>
      </c>
      <c r="H419" s="162" t="s">
        <v>1779</v>
      </c>
    </row>
    <row r="420" spans="1:8" x14ac:dyDescent="0.3">
      <c r="A420" s="161">
        <v>45847.346666666657</v>
      </c>
      <c r="B420" s="162" t="s">
        <v>2163</v>
      </c>
      <c r="C420" s="162" t="s">
        <v>2164</v>
      </c>
      <c r="D420" s="162">
        <v>1000</v>
      </c>
      <c r="E420" s="162">
        <v>0</v>
      </c>
      <c r="F420" s="162">
        <v>37594.949999999997</v>
      </c>
      <c r="G420" s="162" t="s">
        <v>1028</v>
      </c>
      <c r="H420" s="162" t="s">
        <v>1019</v>
      </c>
    </row>
    <row r="421" spans="1:8" x14ac:dyDescent="0.3">
      <c r="A421" s="161">
        <v>45848</v>
      </c>
      <c r="B421" s="162" t="s">
        <v>50</v>
      </c>
      <c r="C421" s="162" t="s">
        <v>321</v>
      </c>
      <c r="D421" s="162">
        <v>38.43</v>
      </c>
      <c r="E421" s="162">
        <v>0</v>
      </c>
      <c r="F421" s="162">
        <v>14142.81</v>
      </c>
      <c r="G421" s="162" t="s">
        <v>49</v>
      </c>
      <c r="H421" s="162" t="s">
        <v>1779</v>
      </c>
    </row>
    <row r="422" spans="1:8" x14ac:dyDescent="0.3">
      <c r="A422" s="161">
        <v>45848</v>
      </c>
      <c r="B422" s="162" t="s">
        <v>50</v>
      </c>
      <c r="C422" s="162" t="s">
        <v>322</v>
      </c>
      <c r="D422" s="162">
        <v>454.53</v>
      </c>
      <c r="E422" s="162">
        <v>0</v>
      </c>
      <c r="F422" s="162">
        <v>13688.28</v>
      </c>
      <c r="G422" s="162" t="s">
        <v>49</v>
      </c>
      <c r="H422" s="162" t="s">
        <v>1779</v>
      </c>
    </row>
    <row r="423" spans="1:8" x14ac:dyDescent="0.3">
      <c r="A423" s="161">
        <v>45848.332499999997</v>
      </c>
      <c r="B423" s="162" t="s">
        <v>2165</v>
      </c>
      <c r="C423" s="162" t="s">
        <v>2166</v>
      </c>
      <c r="D423" s="162">
        <v>1000</v>
      </c>
      <c r="E423" s="162">
        <v>0</v>
      </c>
      <c r="F423" s="162">
        <v>36594.949999999997</v>
      </c>
      <c r="G423" s="162" t="s">
        <v>1028</v>
      </c>
      <c r="H423" s="162" t="s">
        <v>1019</v>
      </c>
    </row>
    <row r="424" spans="1:8" x14ac:dyDescent="0.3">
      <c r="A424" s="161">
        <v>45848.357060185182</v>
      </c>
      <c r="B424" s="162" t="s">
        <v>2167</v>
      </c>
      <c r="C424" s="162" t="s">
        <v>2168</v>
      </c>
      <c r="D424" s="162">
        <v>0</v>
      </c>
      <c r="E424" s="162">
        <v>501</v>
      </c>
      <c r="F424" s="162">
        <v>37095.949999999997</v>
      </c>
      <c r="G424" s="162" t="s">
        <v>606</v>
      </c>
      <c r="H424" s="162" t="s">
        <v>1019</v>
      </c>
    </row>
    <row r="425" spans="1:8" x14ac:dyDescent="0.3">
      <c r="A425" s="161">
        <v>45848.578634259262</v>
      </c>
      <c r="B425" s="162" t="s">
        <v>2169</v>
      </c>
      <c r="C425" s="162" t="s">
        <v>2170</v>
      </c>
      <c r="D425" s="162">
        <v>10000</v>
      </c>
      <c r="E425" s="162">
        <v>0</v>
      </c>
      <c r="F425" s="162">
        <v>27095.95</v>
      </c>
      <c r="G425" s="162" t="s">
        <v>1735</v>
      </c>
      <c r="H425" s="162" t="s">
        <v>1019</v>
      </c>
    </row>
    <row r="426" spans="1:8" x14ac:dyDescent="0.3">
      <c r="A426" s="161">
        <v>45849</v>
      </c>
      <c r="B426" s="162" t="s">
        <v>50</v>
      </c>
      <c r="C426" s="162" t="s">
        <v>323</v>
      </c>
      <c r="D426" s="162">
        <v>46.31</v>
      </c>
      <c r="E426" s="162">
        <v>0</v>
      </c>
      <c r="F426" s="162">
        <v>13641.97</v>
      </c>
      <c r="G426" s="162" t="s">
        <v>49</v>
      </c>
      <c r="H426" s="162" t="s">
        <v>1779</v>
      </c>
    </row>
    <row r="427" spans="1:8" x14ac:dyDescent="0.3">
      <c r="A427" s="161">
        <v>45849</v>
      </c>
      <c r="B427" s="162" t="s">
        <v>50</v>
      </c>
      <c r="C427" s="162" t="s">
        <v>324</v>
      </c>
      <c r="D427" s="162">
        <v>2054.4899999999998</v>
      </c>
      <c r="E427" s="162">
        <v>0</v>
      </c>
      <c r="F427" s="162">
        <v>11587.48</v>
      </c>
      <c r="G427" s="162" t="s">
        <v>49</v>
      </c>
      <c r="H427" s="162" t="s">
        <v>1779</v>
      </c>
    </row>
    <row r="428" spans="1:8" x14ac:dyDescent="0.3">
      <c r="A428" s="161">
        <v>45849.322071759263</v>
      </c>
      <c r="B428" s="162" t="s">
        <v>2171</v>
      </c>
      <c r="C428" s="162" t="s">
        <v>2172</v>
      </c>
      <c r="D428" s="162">
        <v>1000</v>
      </c>
      <c r="E428" s="162">
        <v>0</v>
      </c>
      <c r="F428" s="162">
        <v>26095.95</v>
      </c>
      <c r="G428" s="162" t="s">
        <v>1028</v>
      </c>
      <c r="H428" s="162" t="s">
        <v>1019</v>
      </c>
    </row>
    <row r="429" spans="1:8" x14ac:dyDescent="0.3">
      <c r="A429" s="161">
        <v>45849.56726851852</v>
      </c>
      <c r="B429" s="162" t="s">
        <v>2173</v>
      </c>
      <c r="C429" s="162" t="s">
        <v>2174</v>
      </c>
      <c r="D429" s="162">
        <v>20000</v>
      </c>
      <c r="E429" s="162">
        <v>0</v>
      </c>
      <c r="F429" s="162">
        <v>6095.95</v>
      </c>
      <c r="G429" s="162" t="s">
        <v>1735</v>
      </c>
      <c r="H429" s="162" t="s">
        <v>1019</v>
      </c>
    </row>
    <row r="430" spans="1:8" x14ac:dyDescent="0.3">
      <c r="A430" s="161">
        <v>45850.397418981483</v>
      </c>
      <c r="B430" s="162" t="s">
        <v>2175</v>
      </c>
      <c r="C430" s="162" t="s">
        <v>2176</v>
      </c>
      <c r="D430" s="162">
        <v>1000</v>
      </c>
      <c r="E430" s="162">
        <v>0</v>
      </c>
      <c r="F430" s="162">
        <v>5095.95</v>
      </c>
      <c r="G430" s="162" t="s">
        <v>1028</v>
      </c>
      <c r="H430" s="162" t="s">
        <v>1019</v>
      </c>
    </row>
    <row r="431" spans="1:8" x14ac:dyDescent="0.3">
      <c r="A431" s="161">
        <v>45851.380648148152</v>
      </c>
      <c r="B431" s="162" t="s">
        <v>2177</v>
      </c>
      <c r="C431" s="162" t="s">
        <v>2178</v>
      </c>
      <c r="D431" s="162">
        <v>1100</v>
      </c>
      <c r="E431" s="162">
        <v>0</v>
      </c>
      <c r="F431" s="162">
        <v>3995.95</v>
      </c>
      <c r="G431" s="162" t="s">
        <v>1028</v>
      </c>
      <c r="H431" s="162" t="s">
        <v>1019</v>
      </c>
    </row>
    <row r="432" spans="1:8" x14ac:dyDescent="0.3">
      <c r="A432" s="161">
        <v>45851.68074074074</v>
      </c>
      <c r="B432" s="162" t="s">
        <v>2179</v>
      </c>
      <c r="C432" s="162" t="s">
        <v>2180</v>
      </c>
      <c r="D432" s="162">
        <v>150</v>
      </c>
      <c r="E432" s="162">
        <v>0</v>
      </c>
      <c r="F432" s="162">
        <v>3845.95</v>
      </c>
      <c r="G432" s="162" t="s">
        <v>91</v>
      </c>
      <c r="H432" s="162" t="s">
        <v>1019</v>
      </c>
    </row>
    <row r="433" spans="1:8" x14ac:dyDescent="0.3">
      <c r="A433" s="161">
        <v>45851.741793981477</v>
      </c>
      <c r="B433" s="162" t="s">
        <v>2182</v>
      </c>
      <c r="C433" s="162" t="s">
        <v>2183</v>
      </c>
      <c r="D433" s="162">
        <v>250</v>
      </c>
      <c r="E433" s="162">
        <v>0</v>
      </c>
      <c r="F433" s="162">
        <v>3595.95</v>
      </c>
      <c r="G433" s="162" t="s">
        <v>91</v>
      </c>
      <c r="H433" s="162" t="s">
        <v>1019</v>
      </c>
    </row>
    <row r="434" spans="1:8" x14ac:dyDescent="0.3">
      <c r="A434" s="161">
        <v>45852</v>
      </c>
      <c r="B434" s="162" t="s">
        <v>50</v>
      </c>
      <c r="C434" s="162" t="s">
        <v>325</v>
      </c>
      <c r="D434" s="162">
        <v>136.71</v>
      </c>
      <c r="E434" s="162">
        <v>0</v>
      </c>
      <c r="F434" s="162">
        <v>11450.77</v>
      </c>
      <c r="G434" s="162" t="s">
        <v>49</v>
      </c>
      <c r="H434" s="162" t="s">
        <v>1779</v>
      </c>
    </row>
    <row r="435" spans="1:8" x14ac:dyDescent="0.3">
      <c r="A435" s="161">
        <v>45852.362164351849</v>
      </c>
      <c r="B435" s="162" t="s">
        <v>2185</v>
      </c>
      <c r="C435" s="162" t="s">
        <v>2186</v>
      </c>
      <c r="D435" s="162">
        <v>1000</v>
      </c>
      <c r="E435" s="162">
        <v>0</v>
      </c>
      <c r="F435" s="162">
        <v>2595.9499999999998</v>
      </c>
      <c r="G435" s="162" t="s">
        <v>1028</v>
      </c>
      <c r="H435" s="162" t="s">
        <v>1019</v>
      </c>
    </row>
    <row r="436" spans="1:8" x14ac:dyDescent="0.3">
      <c r="A436" s="161">
        <v>45852.5153587963</v>
      </c>
      <c r="B436" s="162" t="s">
        <v>2187</v>
      </c>
      <c r="C436" s="162" t="s">
        <v>2188</v>
      </c>
      <c r="D436" s="162">
        <v>28</v>
      </c>
      <c r="E436" s="162">
        <v>0</v>
      </c>
      <c r="F436" s="162">
        <v>2567.9499999999998</v>
      </c>
      <c r="G436" s="162" t="s">
        <v>131</v>
      </c>
      <c r="H436" s="162" t="s">
        <v>1019</v>
      </c>
    </row>
    <row r="437" spans="1:8" x14ac:dyDescent="0.3">
      <c r="A437" s="161">
        <v>45853</v>
      </c>
      <c r="B437" s="162" t="s">
        <v>50</v>
      </c>
      <c r="C437" s="162" t="s">
        <v>328</v>
      </c>
      <c r="D437" s="162">
        <v>45.57</v>
      </c>
      <c r="E437" s="162">
        <v>0</v>
      </c>
      <c r="F437" s="162">
        <v>11880.76</v>
      </c>
      <c r="G437" s="162" t="s">
        <v>49</v>
      </c>
      <c r="H437" s="162" t="s">
        <v>1779</v>
      </c>
    </row>
    <row r="438" spans="1:8" x14ac:dyDescent="0.3">
      <c r="A438" s="161">
        <v>45853</v>
      </c>
      <c r="B438" s="162" t="s">
        <v>326</v>
      </c>
      <c r="C438" s="162" t="s">
        <v>327</v>
      </c>
      <c r="D438" s="162">
        <v>0</v>
      </c>
      <c r="E438" s="162">
        <v>475.56</v>
      </c>
      <c r="F438" s="162">
        <v>11926.33</v>
      </c>
      <c r="G438" s="162" t="s">
        <v>49</v>
      </c>
      <c r="H438" s="162" t="s">
        <v>1779</v>
      </c>
    </row>
    <row r="439" spans="1:8" x14ac:dyDescent="0.3">
      <c r="A439" s="161">
        <v>45853</v>
      </c>
      <c r="B439" s="162" t="s">
        <v>50</v>
      </c>
      <c r="C439" s="162" t="s">
        <v>329</v>
      </c>
      <c r="D439" s="162">
        <v>11880.76</v>
      </c>
      <c r="E439" s="162">
        <v>0</v>
      </c>
      <c r="F439" s="162">
        <v>0</v>
      </c>
      <c r="G439" s="162" t="s">
        <v>49</v>
      </c>
      <c r="H439" s="162" t="s">
        <v>1779</v>
      </c>
    </row>
    <row r="440" spans="1:8" x14ac:dyDescent="0.3">
      <c r="A440" s="161">
        <v>45853.366365740738</v>
      </c>
      <c r="B440" s="162" t="s">
        <v>2189</v>
      </c>
      <c r="C440" s="162" t="s">
        <v>2190</v>
      </c>
      <c r="D440" s="162">
        <v>1000</v>
      </c>
      <c r="E440" s="162">
        <v>0</v>
      </c>
      <c r="F440" s="162">
        <v>1567.95</v>
      </c>
      <c r="G440" s="162" t="s">
        <v>1028</v>
      </c>
      <c r="H440" s="162" t="s">
        <v>1019</v>
      </c>
    </row>
    <row r="441" spans="1:8" x14ac:dyDescent="0.3">
      <c r="A441" s="161">
        <v>45853.57203703704</v>
      </c>
      <c r="B441" s="162" t="s">
        <v>2191</v>
      </c>
      <c r="C441" s="162" t="s">
        <v>2192</v>
      </c>
      <c r="D441" s="162">
        <v>1</v>
      </c>
      <c r="E441" s="162">
        <v>0</v>
      </c>
      <c r="F441" s="162">
        <v>1566.95</v>
      </c>
      <c r="G441" s="162" t="s">
        <v>1031</v>
      </c>
      <c r="H441" s="162" t="s">
        <v>1019</v>
      </c>
    </row>
    <row r="442" spans="1:8" x14ac:dyDescent="0.3">
      <c r="A442" s="161">
        <v>45853.609224537038</v>
      </c>
      <c r="B442" s="162" t="s">
        <v>2193</v>
      </c>
      <c r="C442" s="162" t="s">
        <v>2194</v>
      </c>
      <c r="D442" s="162">
        <v>101</v>
      </c>
      <c r="E442" s="162">
        <v>0</v>
      </c>
      <c r="F442" s="162">
        <v>1465.95</v>
      </c>
      <c r="G442" s="162" t="s">
        <v>1031</v>
      </c>
      <c r="H442" s="162" t="s">
        <v>1019</v>
      </c>
    </row>
    <row r="443" spans="1:8" x14ac:dyDescent="0.3">
      <c r="A443" s="161">
        <v>45854</v>
      </c>
      <c r="B443" s="162" t="s">
        <v>1052</v>
      </c>
      <c r="C443" s="162" t="s">
        <v>1005</v>
      </c>
      <c r="D443" s="162">
        <v>360</v>
      </c>
      <c r="E443" s="162">
        <v>0</v>
      </c>
      <c r="F443" s="162">
        <v>108444.95</v>
      </c>
      <c r="G443" s="162" t="s">
        <v>1053</v>
      </c>
      <c r="H443" s="162" t="s">
        <v>1680</v>
      </c>
    </row>
    <row r="444" spans="1:8" x14ac:dyDescent="0.3">
      <c r="A444" s="161">
        <v>45854</v>
      </c>
      <c r="B444" s="162" t="s">
        <v>330</v>
      </c>
      <c r="C444" s="162" t="s">
        <v>331</v>
      </c>
      <c r="D444" s="162">
        <v>0</v>
      </c>
      <c r="E444" s="162">
        <v>34922.6</v>
      </c>
      <c r="F444" s="162">
        <v>34922.6</v>
      </c>
      <c r="G444" s="162" t="s">
        <v>49</v>
      </c>
      <c r="H444" s="162" t="s">
        <v>1779</v>
      </c>
    </row>
    <row r="445" spans="1:8" x14ac:dyDescent="0.3">
      <c r="A445" s="161">
        <v>45854</v>
      </c>
      <c r="B445" s="162" t="s">
        <v>50</v>
      </c>
      <c r="C445" s="162" t="s">
        <v>332</v>
      </c>
      <c r="D445" s="162">
        <v>41.51</v>
      </c>
      <c r="E445" s="162">
        <v>0</v>
      </c>
      <c r="F445" s="162">
        <v>34881.089999999997</v>
      </c>
      <c r="G445" s="162" t="s">
        <v>49</v>
      </c>
      <c r="H445" s="162" t="s">
        <v>1779</v>
      </c>
    </row>
    <row r="446" spans="1:8" x14ac:dyDescent="0.3">
      <c r="A446" s="161">
        <v>45854</v>
      </c>
      <c r="B446" s="162" t="s">
        <v>50</v>
      </c>
      <c r="C446" s="162" t="s">
        <v>333</v>
      </c>
      <c r="D446" s="162">
        <v>134.41999999999999</v>
      </c>
      <c r="E446" s="162">
        <v>0</v>
      </c>
      <c r="F446" s="162">
        <v>34746.67</v>
      </c>
      <c r="G446" s="162" t="s">
        <v>49</v>
      </c>
      <c r="H446" s="162" t="s">
        <v>1779</v>
      </c>
    </row>
    <row r="447" spans="1:8" x14ac:dyDescent="0.3">
      <c r="A447" s="161">
        <v>45854</v>
      </c>
      <c r="B447" s="162" t="s">
        <v>1719</v>
      </c>
      <c r="C447" s="162"/>
      <c r="D447" s="162">
        <v>0</v>
      </c>
      <c r="E447" s="162">
        <v>2</v>
      </c>
      <c r="F447" s="162">
        <v>11719.96</v>
      </c>
      <c r="G447" s="162" t="s">
        <v>91</v>
      </c>
      <c r="H447" s="162" t="s">
        <v>837</v>
      </c>
    </row>
    <row r="448" spans="1:8" x14ac:dyDescent="0.3">
      <c r="A448" s="161">
        <v>45854.422673611109</v>
      </c>
      <c r="B448" s="162" t="s">
        <v>2195</v>
      </c>
      <c r="C448" s="162" t="s">
        <v>2196</v>
      </c>
      <c r="D448" s="162">
        <v>2</v>
      </c>
      <c r="E448" s="162">
        <v>0</v>
      </c>
      <c r="F448" s="162">
        <v>1463.95</v>
      </c>
      <c r="G448" s="162" t="s">
        <v>1795</v>
      </c>
      <c r="H448" s="162" t="s">
        <v>1019</v>
      </c>
    </row>
    <row r="449" spans="1:8" x14ac:dyDescent="0.3">
      <c r="A449" s="161">
        <v>45854.51630787037</v>
      </c>
      <c r="B449" s="162" t="s">
        <v>2197</v>
      </c>
      <c r="C449" s="162" t="s">
        <v>2198</v>
      </c>
      <c r="D449" s="162">
        <v>1000</v>
      </c>
      <c r="E449" s="162">
        <v>0</v>
      </c>
      <c r="F449" s="162">
        <v>463.95</v>
      </c>
      <c r="G449" s="162" t="s">
        <v>1028</v>
      </c>
      <c r="H449" s="162" t="s">
        <v>1019</v>
      </c>
    </row>
    <row r="450" spans="1:8" x14ac:dyDescent="0.3">
      <c r="A450" s="161">
        <v>45855</v>
      </c>
      <c r="B450" s="162" t="s">
        <v>1054</v>
      </c>
      <c r="C450" s="162" t="s">
        <v>1005</v>
      </c>
      <c r="D450" s="162">
        <v>1002</v>
      </c>
      <c r="E450" s="162">
        <v>0</v>
      </c>
      <c r="F450" s="162">
        <v>107442.95</v>
      </c>
      <c r="G450" s="162" t="s">
        <v>1028</v>
      </c>
      <c r="H450" s="162" t="s">
        <v>1680</v>
      </c>
    </row>
    <row r="451" spans="1:8" x14ac:dyDescent="0.3">
      <c r="A451" s="161">
        <v>45855</v>
      </c>
      <c r="B451" s="162" t="s">
        <v>50</v>
      </c>
      <c r="C451" s="162" t="s">
        <v>337</v>
      </c>
      <c r="D451" s="162">
        <v>158.94</v>
      </c>
      <c r="E451" s="162">
        <v>0</v>
      </c>
      <c r="F451" s="162">
        <v>66437.59</v>
      </c>
      <c r="G451" s="162" t="s">
        <v>49</v>
      </c>
      <c r="H451" s="162" t="s">
        <v>1779</v>
      </c>
    </row>
    <row r="452" spans="1:8" x14ac:dyDescent="0.3">
      <c r="A452" s="161">
        <v>45855</v>
      </c>
      <c r="B452" s="162" t="s">
        <v>1720</v>
      </c>
      <c r="C452" s="162"/>
      <c r="D452" s="162">
        <v>0</v>
      </c>
      <c r="E452" s="162">
        <v>2</v>
      </c>
      <c r="F452" s="162">
        <v>11721.96</v>
      </c>
      <c r="G452" s="162" t="s">
        <v>91</v>
      </c>
      <c r="H452" s="162" t="s">
        <v>837</v>
      </c>
    </row>
    <row r="453" spans="1:8" x14ac:dyDescent="0.3">
      <c r="A453" s="161">
        <v>45855</v>
      </c>
      <c r="B453" s="162" t="s">
        <v>334</v>
      </c>
      <c r="C453" s="162" t="s">
        <v>335</v>
      </c>
      <c r="D453" s="162">
        <v>0</v>
      </c>
      <c r="E453" s="162">
        <v>31890.2</v>
      </c>
      <c r="F453" s="162">
        <v>66636.87</v>
      </c>
      <c r="G453" s="162" t="s">
        <v>49</v>
      </c>
      <c r="H453" s="162" t="s">
        <v>1779</v>
      </c>
    </row>
    <row r="454" spans="1:8" x14ac:dyDescent="0.3">
      <c r="A454" s="161">
        <v>45855</v>
      </c>
      <c r="B454" s="162" t="s">
        <v>50</v>
      </c>
      <c r="C454" s="162" t="s">
        <v>336</v>
      </c>
      <c r="D454" s="162">
        <v>40.340000000000003</v>
      </c>
      <c r="E454" s="162">
        <v>0</v>
      </c>
      <c r="F454" s="162">
        <v>66596.53</v>
      </c>
      <c r="G454" s="162" t="s">
        <v>49</v>
      </c>
      <c r="H454" s="162" t="s">
        <v>1779</v>
      </c>
    </row>
    <row r="455" spans="1:8" x14ac:dyDescent="0.3">
      <c r="A455" s="161">
        <v>45855.684444444443</v>
      </c>
      <c r="B455" s="162" t="s">
        <v>2199</v>
      </c>
      <c r="C455" s="162" t="s">
        <v>2200</v>
      </c>
      <c r="D455" s="162">
        <v>0</v>
      </c>
      <c r="E455" s="162">
        <v>79.34</v>
      </c>
      <c r="F455" s="162">
        <v>543.29</v>
      </c>
      <c r="G455" s="162" t="s">
        <v>1658</v>
      </c>
      <c r="H455" s="162" t="s">
        <v>1019</v>
      </c>
    </row>
    <row r="456" spans="1:8" x14ac:dyDescent="0.3">
      <c r="A456" s="161">
        <v>45855.922905092593</v>
      </c>
      <c r="B456" s="162" t="s">
        <v>2201</v>
      </c>
      <c r="C456" s="162" t="s">
        <v>2202</v>
      </c>
      <c r="D456" s="162">
        <v>2</v>
      </c>
      <c r="E456" s="162">
        <v>0</v>
      </c>
      <c r="F456" s="162">
        <v>541.29</v>
      </c>
      <c r="G456" s="162" t="s">
        <v>1795</v>
      </c>
      <c r="H456" s="162" t="s">
        <v>1019</v>
      </c>
    </row>
    <row r="457" spans="1:8" x14ac:dyDescent="0.3">
      <c r="A457" s="161">
        <v>45856</v>
      </c>
      <c r="B457" s="162" t="s">
        <v>50</v>
      </c>
      <c r="C457" s="162" t="s">
        <v>338</v>
      </c>
      <c r="D457" s="162">
        <v>40.28</v>
      </c>
      <c r="E457" s="162">
        <v>0</v>
      </c>
      <c r="F457" s="162">
        <v>66397.31</v>
      </c>
      <c r="G457" s="162" t="s">
        <v>49</v>
      </c>
      <c r="H457" s="162" t="s">
        <v>1779</v>
      </c>
    </row>
    <row r="458" spans="1:8" x14ac:dyDescent="0.3">
      <c r="A458" s="161">
        <v>45856</v>
      </c>
      <c r="B458" s="162" t="s">
        <v>50</v>
      </c>
      <c r="C458" s="162" t="s">
        <v>339</v>
      </c>
      <c r="D458" s="162">
        <v>165.54</v>
      </c>
      <c r="E458" s="162">
        <v>0</v>
      </c>
      <c r="F458" s="162">
        <v>66231.77</v>
      </c>
      <c r="G458" s="162" t="s">
        <v>49</v>
      </c>
      <c r="H458" s="162" t="s">
        <v>1779</v>
      </c>
    </row>
    <row r="459" spans="1:8" x14ac:dyDescent="0.3">
      <c r="A459" s="161">
        <v>45856</v>
      </c>
      <c r="B459" s="162" t="s">
        <v>1055</v>
      </c>
      <c r="C459" s="162" t="s">
        <v>1005</v>
      </c>
      <c r="D459" s="162">
        <v>1000</v>
      </c>
      <c r="E459" s="162">
        <v>0</v>
      </c>
      <c r="F459" s="162">
        <v>106442.95</v>
      </c>
      <c r="G459" s="162" t="s">
        <v>1028</v>
      </c>
      <c r="H459" s="162" t="s">
        <v>1680</v>
      </c>
    </row>
    <row r="460" spans="1:8" x14ac:dyDescent="0.3">
      <c r="A460" s="161">
        <v>45856</v>
      </c>
      <c r="B460" s="162" t="s">
        <v>1056</v>
      </c>
      <c r="C460" s="162" t="s">
        <v>1005</v>
      </c>
      <c r="D460" s="162">
        <v>3006</v>
      </c>
      <c r="E460" s="162">
        <v>0</v>
      </c>
      <c r="F460" s="162">
        <v>103436.95</v>
      </c>
      <c r="G460" s="162" t="s">
        <v>131</v>
      </c>
      <c r="H460" s="162" t="s">
        <v>1680</v>
      </c>
    </row>
    <row r="461" spans="1:8" x14ac:dyDescent="0.3">
      <c r="A461" s="161">
        <v>45857</v>
      </c>
      <c r="B461" s="162" t="s">
        <v>1057</v>
      </c>
      <c r="C461" s="162" t="s">
        <v>1005</v>
      </c>
      <c r="D461" s="162">
        <v>108</v>
      </c>
      <c r="E461" s="162">
        <v>0</v>
      </c>
      <c r="F461" s="162">
        <v>103328.95</v>
      </c>
      <c r="G461" s="162" t="s">
        <v>131</v>
      </c>
      <c r="H461" s="162" t="s">
        <v>1680</v>
      </c>
    </row>
    <row r="462" spans="1:8" x14ac:dyDescent="0.3">
      <c r="A462" s="161">
        <v>45858</v>
      </c>
      <c r="B462" s="162" t="s">
        <v>1062</v>
      </c>
      <c r="C462" s="162" t="s">
        <v>1005</v>
      </c>
      <c r="D462" s="162">
        <v>145</v>
      </c>
      <c r="E462" s="162">
        <v>0</v>
      </c>
      <c r="F462" s="162">
        <v>102902.95</v>
      </c>
      <c r="G462" s="162" t="s">
        <v>131</v>
      </c>
      <c r="H462" s="162" t="s">
        <v>1680</v>
      </c>
    </row>
    <row r="463" spans="1:8" x14ac:dyDescent="0.3">
      <c r="A463" s="161">
        <v>45858</v>
      </c>
      <c r="B463" s="162" t="s">
        <v>1060</v>
      </c>
      <c r="C463" s="162" t="s">
        <v>1005</v>
      </c>
      <c r="D463" s="162">
        <v>133</v>
      </c>
      <c r="E463" s="162">
        <v>0</v>
      </c>
      <c r="F463" s="162">
        <v>103047.95</v>
      </c>
      <c r="G463" s="162" t="s">
        <v>91</v>
      </c>
      <c r="H463" s="162" t="s">
        <v>1680</v>
      </c>
    </row>
    <row r="464" spans="1:8" x14ac:dyDescent="0.3">
      <c r="A464" s="161">
        <v>45858</v>
      </c>
      <c r="B464" s="162" t="s">
        <v>1058</v>
      </c>
      <c r="C464" s="162" t="s">
        <v>1005</v>
      </c>
      <c r="D464" s="162">
        <v>148</v>
      </c>
      <c r="E464" s="162">
        <v>0</v>
      </c>
      <c r="F464" s="162">
        <v>103180.95</v>
      </c>
      <c r="G464" s="162" t="s">
        <v>91</v>
      </c>
      <c r="H464" s="162" t="s">
        <v>1680</v>
      </c>
    </row>
    <row r="465" spans="1:8" x14ac:dyDescent="0.3">
      <c r="A465" s="161">
        <v>45859</v>
      </c>
      <c r="B465" s="162" t="s">
        <v>50</v>
      </c>
      <c r="C465" s="162" t="s">
        <v>340</v>
      </c>
      <c r="D465" s="162">
        <v>120.66</v>
      </c>
      <c r="E465" s="162">
        <v>0</v>
      </c>
      <c r="F465" s="162">
        <v>66111.11</v>
      </c>
      <c r="G465" s="162" t="s">
        <v>49</v>
      </c>
      <c r="H465" s="162" t="s">
        <v>1779</v>
      </c>
    </row>
    <row r="466" spans="1:8" x14ac:dyDescent="0.3">
      <c r="A466" s="161">
        <v>45859</v>
      </c>
      <c r="B466" s="162" t="s">
        <v>341</v>
      </c>
      <c r="C466" s="162" t="s">
        <v>342</v>
      </c>
      <c r="D466" s="162">
        <v>50000</v>
      </c>
      <c r="E466" s="162">
        <v>0</v>
      </c>
      <c r="F466" s="162">
        <v>16111.11</v>
      </c>
      <c r="G466" s="162" t="s">
        <v>343</v>
      </c>
      <c r="H466" s="162" t="s">
        <v>1779</v>
      </c>
    </row>
    <row r="467" spans="1:8" x14ac:dyDescent="0.3">
      <c r="A467" s="161">
        <v>45860</v>
      </c>
      <c r="B467" s="162" t="s">
        <v>344</v>
      </c>
      <c r="C467" s="162" t="s">
        <v>345</v>
      </c>
      <c r="D467" s="162">
        <v>0</v>
      </c>
      <c r="E467" s="162">
        <v>374.46</v>
      </c>
      <c r="F467" s="162">
        <v>16485.57</v>
      </c>
      <c r="G467" s="162" t="s">
        <v>49</v>
      </c>
      <c r="H467" s="162" t="s">
        <v>1779</v>
      </c>
    </row>
    <row r="468" spans="1:8" x14ac:dyDescent="0.3">
      <c r="A468" s="161">
        <v>45860</v>
      </c>
      <c r="B468" s="162" t="s">
        <v>1063</v>
      </c>
      <c r="C468" s="162" t="s">
        <v>1005</v>
      </c>
      <c r="D468" s="162">
        <v>1000</v>
      </c>
      <c r="E468" s="162">
        <v>0</v>
      </c>
      <c r="F468" s="162">
        <v>101902.95</v>
      </c>
      <c r="G468" s="162" t="s">
        <v>1028</v>
      </c>
      <c r="H468" s="162" t="s">
        <v>1680</v>
      </c>
    </row>
    <row r="469" spans="1:8" x14ac:dyDescent="0.3">
      <c r="A469" s="161">
        <v>45860</v>
      </c>
      <c r="B469" s="162" t="s">
        <v>50</v>
      </c>
      <c r="C469" s="162" t="s">
        <v>346</v>
      </c>
      <c r="D469" s="162">
        <v>40.22</v>
      </c>
      <c r="E469" s="162">
        <v>0</v>
      </c>
      <c r="F469" s="162">
        <v>16445.349999999999</v>
      </c>
      <c r="G469" s="162" t="s">
        <v>49</v>
      </c>
      <c r="H469" s="162" t="s">
        <v>1779</v>
      </c>
    </row>
    <row r="470" spans="1:8" x14ac:dyDescent="0.3">
      <c r="A470" s="161">
        <v>45860</v>
      </c>
      <c r="B470" s="162" t="s">
        <v>50</v>
      </c>
      <c r="C470" s="162" t="s">
        <v>347</v>
      </c>
      <c r="D470" s="162">
        <v>413.85</v>
      </c>
      <c r="E470" s="162">
        <v>0</v>
      </c>
      <c r="F470" s="162">
        <v>16031.5</v>
      </c>
      <c r="G470" s="162" t="s">
        <v>49</v>
      </c>
      <c r="H470" s="162" t="s">
        <v>1779</v>
      </c>
    </row>
    <row r="471" spans="1:8" x14ac:dyDescent="0.3">
      <c r="A471" s="161">
        <v>45861</v>
      </c>
      <c r="B471" s="162" t="s">
        <v>1065</v>
      </c>
      <c r="C471" s="162" t="s">
        <v>1005</v>
      </c>
      <c r="D471" s="162">
        <v>5000</v>
      </c>
      <c r="E471" s="162">
        <v>0</v>
      </c>
      <c r="F471" s="162">
        <v>95870.52</v>
      </c>
      <c r="G471" s="162" t="s">
        <v>1031</v>
      </c>
      <c r="H471" s="162" t="s">
        <v>1680</v>
      </c>
    </row>
    <row r="472" spans="1:8" x14ac:dyDescent="0.3">
      <c r="A472" s="161">
        <v>45861</v>
      </c>
      <c r="B472" s="162" t="s">
        <v>348</v>
      </c>
      <c r="C472" s="162" t="s">
        <v>83</v>
      </c>
      <c r="D472" s="162">
        <v>330.4</v>
      </c>
      <c r="E472" s="162">
        <v>0</v>
      </c>
      <c r="F472" s="162">
        <v>15701.1</v>
      </c>
      <c r="G472" s="162" t="s">
        <v>9</v>
      </c>
      <c r="H472" s="162" t="s">
        <v>1779</v>
      </c>
    </row>
    <row r="473" spans="1:8" x14ac:dyDescent="0.3">
      <c r="A473" s="161">
        <v>45861</v>
      </c>
      <c r="B473" s="162" t="s">
        <v>50</v>
      </c>
      <c r="C473" s="162" t="s">
        <v>349</v>
      </c>
      <c r="D473" s="162">
        <v>8668.6200000000008</v>
      </c>
      <c r="E473" s="162">
        <v>0</v>
      </c>
      <c r="F473" s="162">
        <v>7032.48</v>
      </c>
      <c r="G473" s="162" t="s">
        <v>49</v>
      </c>
      <c r="H473" s="162" t="s">
        <v>1779</v>
      </c>
    </row>
    <row r="474" spans="1:8" x14ac:dyDescent="0.3">
      <c r="A474" s="161">
        <v>45861</v>
      </c>
      <c r="B474" s="162" t="s">
        <v>1064</v>
      </c>
      <c r="C474" s="162" t="s">
        <v>1005</v>
      </c>
      <c r="D474" s="162">
        <v>1032.43</v>
      </c>
      <c r="E474" s="162">
        <v>0</v>
      </c>
      <c r="F474" s="162">
        <v>100870.52</v>
      </c>
      <c r="G474" s="162" t="s">
        <v>1028</v>
      </c>
      <c r="H474" s="162" t="s">
        <v>1680</v>
      </c>
    </row>
    <row r="475" spans="1:8" x14ac:dyDescent="0.3">
      <c r="A475" s="161">
        <v>45862</v>
      </c>
      <c r="B475" s="162" t="s">
        <v>1066</v>
      </c>
      <c r="C475" s="162" t="s">
        <v>1005</v>
      </c>
      <c r="D475" s="162">
        <v>15000</v>
      </c>
      <c r="E475" s="162">
        <v>0</v>
      </c>
      <c r="F475" s="162">
        <v>80870.52</v>
      </c>
      <c r="G475" s="162" t="s">
        <v>1031</v>
      </c>
      <c r="H475" s="162" t="s">
        <v>1680</v>
      </c>
    </row>
    <row r="476" spans="1:8" x14ac:dyDescent="0.3">
      <c r="A476" s="161">
        <v>45862</v>
      </c>
      <c r="B476" s="162" t="s">
        <v>50</v>
      </c>
      <c r="C476" s="162" t="s">
        <v>353</v>
      </c>
      <c r="D476" s="162">
        <v>179.74</v>
      </c>
      <c r="E476" s="162">
        <v>0</v>
      </c>
      <c r="F476" s="162">
        <v>47424.31</v>
      </c>
      <c r="G476" s="162" t="s">
        <v>49</v>
      </c>
      <c r="H476" s="162" t="s">
        <v>1779</v>
      </c>
    </row>
    <row r="477" spans="1:8" x14ac:dyDescent="0.3">
      <c r="A477" s="161">
        <v>45862</v>
      </c>
      <c r="B477" s="162" t="s">
        <v>50</v>
      </c>
      <c r="C477" s="162" t="s">
        <v>352</v>
      </c>
      <c r="D477" s="162">
        <v>37.130000000000003</v>
      </c>
      <c r="E477" s="162">
        <v>0</v>
      </c>
      <c r="F477" s="162">
        <v>47604.05</v>
      </c>
      <c r="G477" s="162" t="s">
        <v>49</v>
      </c>
      <c r="H477" s="162" t="s">
        <v>1779</v>
      </c>
    </row>
    <row r="478" spans="1:8" x14ac:dyDescent="0.3">
      <c r="A478" s="161">
        <v>45862</v>
      </c>
      <c r="B478" s="162" t="s">
        <v>350</v>
      </c>
      <c r="C478" s="162" t="s">
        <v>351</v>
      </c>
      <c r="D478" s="162">
        <v>0</v>
      </c>
      <c r="E478" s="162">
        <v>40608.699999999997</v>
      </c>
      <c r="F478" s="162">
        <v>47641.18</v>
      </c>
      <c r="G478" s="162" t="s">
        <v>49</v>
      </c>
      <c r="H478" s="162" t="s">
        <v>1779</v>
      </c>
    </row>
    <row r="479" spans="1:8" x14ac:dyDescent="0.3">
      <c r="A479" s="161">
        <v>45862</v>
      </c>
      <c r="B479" s="162" t="s">
        <v>1067</v>
      </c>
      <c r="C479" s="162" t="s">
        <v>1005</v>
      </c>
      <c r="D479" s="162">
        <v>15000</v>
      </c>
      <c r="E479" s="162">
        <v>0</v>
      </c>
      <c r="F479" s="162">
        <v>65870.52</v>
      </c>
      <c r="G479" s="162" t="s">
        <v>1019</v>
      </c>
      <c r="H479" s="162" t="s">
        <v>1680</v>
      </c>
    </row>
    <row r="480" spans="1:8" x14ac:dyDescent="0.3">
      <c r="A480" s="161">
        <v>45862.281018518523</v>
      </c>
      <c r="B480" s="162" t="s">
        <v>2203</v>
      </c>
      <c r="C480" s="162" t="s">
        <v>2204</v>
      </c>
      <c r="D480" s="162">
        <v>0</v>
      </c>
      <c r="E480" s="162">
        <v>50</v>
      </c>
      <c r="F480" s="162">
        <v>591.29</v>
      </c>
      <c r="G480" s="162" t="s">
        <v>17</v>
      </c>
      <c r="H480" s="162" t="s">
        <v>1019</v>
      </c>
    </row>
    <row r="481" spans="1:8" x14ac:dyDescent="0.3">
      <c r="A481" s="161">
        <v>45862.437511574077</v>
      </c>
      <c r="B481" s="162" t="s">
        <v>2205</v>
      </c>
      <c r="C481" s="162" t="s">
        <v>2206</v>
      </c>
      <c r="D481" s="162">
        <v>0</v>
      </c>
      <c r="E481" s="162">
        <v>15000</v>
      </c>
      <c r="F481" s="162">
        <v>15591.29</v>
      </c>
      <c r="G481" s="162" t="s">
        <v>1680</v>
      </c>
      <c r="H481" s="162" t="s">
        <v>1019</v>
      </c>
    </row>
    <row r="482" spans="1:8" x14ac:dyDescent="0.3">
      <c r="A482" s="161">
        <v>45863</v>
      </c>
      <c r="B482" s="162" t="s">
        <v>50</v>
      </c>
      <c r="C482" s="162" t="s">
        <v>355</v>
      </c>
      <c r="D482" s="162">
        <v>2160.5100000000002</v>
      </c>
      <c r="E482" s="162">
        <v>0</v>
      </c>
      <c r="F482" s="162">
        <v>45219.62</v>
      </c>
      <c r="G482" s="162" t="s">
        <v>49</v>
      </c>
      <c r="H482" s="162" t="s">
        <v>1779</v>
      </c>
    </row>
    <row r="483" spans="1:8" x14ac:dyDescent="0.3">
      <c r="A483" s="161">
        <v>45863</v>
      </c>
      <c r="B483" s="162" t="s">
        <v>50</v>
      </c>
      <c r="C483" s="162" t="s">
        <v>354</v>
      </c>
      <c r="D483" s="162">
        <v>44.18</v>
      </c>
      <c r="E483" s="162">
        <v>0</v>
      </c>
      <c r="F483" s="162">
        <v>47380.13</v>
      </c>
      <c r="G483" s="162" t="s">
        <v>49</v>
      </c>
      <c r="H483" s="162" t="s">
        <v>1779</v>
      </c>
    </row>
    <row r="484" spans="1:8" x14ac:dyDescent="0.3">
      <c r="A484" s="161">
        <v>45863</v>
      </c>
      <c r="B484" s="162" t="s">
        <v>1068</v>
      </c>
      <c r="C484" s="162" t="s">
        <v>1005</v>
      </c>
      <c r="D484" s="162">
        <v>100</v>
      </c>
      <c r="E484" s="162">
        <v>0</v>
      </c>
      <c r="F484" s="162">
        <v>65770.52</v>
      </c>
      <c r="G484" s="162" t="s">
        <v>91</v>
      </c>
      <c r="H484" s="162" t="s">
        <v>1680</v>
      </c>
    </row>
    <row r="485" spans="1:8" x14ac:dyDescent="0.3">
      <c r="A485" s="161">
        <v>45863.284282407411</v>
      </c>
      <c r="B485" s="162" t="s">
        <v>2207</v>
      </c>
      <c r="C485" s="162" t="s">
        <v>2208</v>
      </c>
      <c r="D485" s="162">
        <v>0</v>
      </c>
      <c r="E485" s="162">
        <v>228</v>
      </c>
      <c r="F485" s="162">
        <v>15819.29</v>
      </c>
      <c r="G485" s="162" t="s">
        <v>17</v>
      </c>
      <c r="H485" s="162" t="s">
        <v>1019</v>
      </c>
    </row>
    <row r="486" spans="1:8" x14ac:dyDescent="0.3">
      <c r="A486" s="161">
        <v>45863.631574074083</v>
      </c>
      <c r="B486" s="162" t="s">
        <v>2209</v>
      </c>
      <c r="C486" s="162" t="s">
        <v>2210</v>
      </c>
      <c r="D486" s="162">
        <v>0</v>
      </c>
      <c r="E486" s="162">
        <v>88</v>
      </c>
      <c r="F486" s="162">
        <v>15907.29</v>
      </c>
      <c r="G486" s="162" t="s">
        <v>17</v>
      </c>
      <c r="H486" s="162" t="s">
        <v>1019</v>
      </c>
    </row>
    <row r="487" spans="1:8" x14ac:dyDescent="0.3">
      <c r="A487" s="161">
        <v>45863.858078703714</v>
      </c>
      <c r="B487" s="162" t="s">
        <v>2211</v>
      </c>
      <c r="C487" s="162" t="s">
        <v>2212</v>
      </c>
      <c r="D487" s="162">
        <v>28</v>
      </c>
      <c r="E487" s="162">
        <v>0</v>
      </c>
      <c r="F487" s="162">
        <v>15879.29</v>
      </c>
      <c r="G487" s="162" t="s">
        <v>131</v>
      </c>
      <c r="H487" s="162" t="s">
        <v>1019</v>
      </c>
    </row>
    <row r="488" spans="1:8" x14ac:dyDescent="0.3">
      <c r="A488" s="161">
        <v>45864</v>
      </c>
      <c r="B488" s="162" t="s">
        <v>1071</v>
      </c>
      <c r="C488" s="162" t="s">
        <v>1005</v>
      </c>
      <c r="D488" s="162">
        <v>220</v>
      </c>
      <c r="E488" s="162">
        <v>0</v>
      </c>
      <c r="F488" s="162">
        <v>58550.52</v>
      </c>
      <c r="G488" s="162" t="s">
        <v>91</v>
      </c>
      <c r="H488" s="162" t="s">
        <v>1680</v>
      </c>
    </row>
    <row r="489" spans="1:8" x14ac:dyDescent="0.3">
      <c r="A489" s="161">
        <v>45864</v>
      </c>
      <c r="B489" s="162" t="s">
        <v>1070</v>
      </c>
      <c r="C489" s="162" t="s">
        <v>1005</v>
      </c>
      <c r="D489" s="162">
        <v>7000</v>
      </c>
      <c r="E489" s="162">
        <v>0</v>
      </c>
      <c r="F489" s="162">
        <v>58770.52</v>
      </c>
      <c r="G489" s="162" t="s">
        <v>1019</v>
      </c>
      <c r="H489" s="162" t="s">
        <v>1680</v>
      </c>
    </row>
    <row r="490" spans="1:8" x14ac:dyDescent="0.3">
      <c r="A490" s="161">
        <v>45864.35832175926</v>
      </c>
      <c r="B490" s="162" t="s">
        <v>2213</v>
      </c>
      <c r="C490" s="162" t="s">
        <v>2214</v>
      </c>
      <c r="D490" s="162">
        <v>0</v>
      </c>
      <c r="E490" s="162">
        <v>7000</v>
      </c>
      <c r="F490" s="162">
        <v>22879.29</v>
      </c>
      <c r="G490" s="162" t="s">
        <v>1680</v>
      </c>
      <c r="H490" s="162" t="s">
        <v>1019</v>
      </c>
    </row>
    <row r="491" spans="1:8" x14ac:dyDescent="0.3">
      <c r="A491" s="161">
        <v>45866</v>
      </c>
      <c r="B491" s="162" t="s">
        <v>50</v>
      </c>
      <c r="C491" s="162" t="s">
        <v>359</v>
      </c>
      <c r="D491" s="162">
        <v>1732.45</v>
      </c>
      <c r="E491" s="162">
        <v>0</v>
      </c>
      <c r="F491" s="162">
        <v>38356.94</v>
      </c>
      <c r="G491" s="162" t="s">
        <v>49</v>
      </c>
      <c r="H491" s="162" t="s">
        <v>1779</v>
      </c>
    </row>
    <row r="492" spans="1:8" x14ac:dyDescent="0.3">
      <c r="A492" s="161">
        <v>45866</v>
      </c>
      <c r="B492" s="162" t="s">
        <v>50</v>
      </c>
      <c r="C492" s="162" t="s">
        <v>358</v>
      </c>
      <c r="D492" s="162">
        <v>130.22999999999999</v>
      </c>
      <c r="E492" s="162">
        <v>0</v>
      </c>
      <c r="F492" s="162">
        <v>40089.39</v>
      </c>
      <c r="G492" s="162" t="s">
        <v>49</v>
      </c>
      <c r="H492" s="162" t="s">
        <v>1779</v>
      </c>
    </row>
    <row r="493" spans="1:8" x14ac:dyDescent="0.3">
      <c r="A493" s="161">
        <v>45866</v>
      </c>
      <c r="B493" s="162" t="s">
        <v>356</v>
      </c>
      <c r="C493" s="162" t="s">
        <v>357</v>
      </c>
      <c r="D493" s="162">
        <v>5000</v>
      </c>
      <c r="E493" s="162">
        <v>0</v>
      </c>
      <c r="F493" s="162">
        <v>40219.620000000003</v>
      </c>
      <c r="G493" s="162" t="s">
        <v>2</v>
      </c>
      <c r="H493" s="162" t="s">
        <v>1779</v>
      </c>
    </row>
    <row r="494" spans="1:8" x14ac:dyDescent="0.3">
      <c r="A494" s="161">
        <v>45866.285624999997</v>
      </c>
      <c r="B494" s="162" t="s">
        <v>2215</v>
      </c>
      <c r="C494" s="162" t="s">
        <v>2216</v>
      </c>
      <c r="D494" s="162">
        <v>7000</v>
      </c>
      <c r="E494" s="162">
        <v>0</v>
      </c>
      <c r="F494" s="162">
        <v>15879.29</v>
      </c>
      <c r="G494" s="162" t="s">
        <v>2</v>
      </c>
      <c r="H494" s="162" t="s">
        <v>1019</v>
      </c>
    </row>
    <row r="495" spans="1:8" x14ac:dyDescent="0.3">
      <c r="A495" s="161">
        <v>45867</v>
      </c>
      <c r="B495" s="162" t="s">
        <v>50</v>
      </c>
      <c r="C495" s="162" t="s">
        <v>360</v>
      </c>
      <c r="D495" s="162">
        <v>42.79</v>
      </c>
      <c r="E495" s="162">
        <v>0</v>
      </c>
      <c r="F495" s="162">
        <v>38314.15</v>
      </c>
      <c r="G495" s="162" t="s">
        <v>49</v>
      </c>
      <c r="H495" s="162" t="s">
        <v>1779</v>
      </c>
    </row>
    <row r="496" spans="1:8" x14ac:dyDescent="0.3">
      <c r="A496" s="161">
        <v>45867</v>
      </c>
      <c r="B496" s="162" t="s">
        <v>1073</v>
      </c>
      <c r="C496" s="162" t="s">
        <v>1005</v>
      </c>
      <c r="D496" s="162">
        <v>471.75</v>
      </c>
      <c r="E496" s="162">
        <v>0</v>
      </c>
      <c r="F496" s="162">
        <v>58078.77</v>
      </c>
      <c r="G496" s="162" t="s">
        <v>91</v>
      </c>
      <c r="H496" s="162" t="s">
        <v>1680</v>
      </c>
    </row>
    <row r="497" spans="1:8" x14ac:dyDescent="0.3">
      <c r="A497" s="161">
        <v>45867.551354166673</v>
      </c>
      <c r="B497" s="162" t="s">
        <v>2217</v>
      </c>
      <c r="C497" s="162" t="s">
        <v>2218</v>
      </c>
      <c r="D497" s="162">
        <v>35</v>
      </c>
      <c r="E497" s="162">
        <v>0</v>
      </c>
      <c r="F497" s="162">
        <v>15844.29</v>
      </c>
      <c r="G497" s="162" t="s">
        <v>91</v>
      </c>
      <c r="H497" s="162" t="s">
        <v>1019</v>
      </c>
    </row>
    <row r="498" spans="1:8" x14ac:dyDescent="0.3">
      <c r="A498" s="161">
        <v>45868</v>
      </c>
      <c r="B498" s="162" t="s">
        <v>50</v>
      </c>
      <c r="C498" s="162" t="s">
        <v>366</v>
      </c>
      <c r="D498" s="162">
        <v>708.12</v>
      </c>
      <c r="E498" s="162">
        <v>0</v>
      </c>
      <c r="F498" s="162">
        <v>32880.44</v>
      </c>
      <c r="G498" s="162" t="s">
        <v>49</v>
      </c>
      <c r="H498" s="162" t="s">
        <v>1779</v>
      </c>
    </row>
    <row r="499" spans="1:8" x14ac:dyDescent="0.3">
      <c r="A499" s="161">
        <v>45868</v>
      </c>
      <c r="B499" s="162" t="s">
        <v>50</v>
      </c>
      <c r="C499" s="162" t="s">
        <v>365</v>
      </c>
      <c r="D499" s="162">
        <v>42.79</v>
      </c>
      <c r="E499" s="162">
        <v>0</v>
      </c>
      <c r="F499" s="162">
        <v>33588.559999999998</v>
      </c>
      <c r="G499" s="162" t="s">
        <v>49</v>
      </c>
      <c r="H499" s="162" t="s">
        <v>1779</v>
      </c>
    </row>
    <row r="500" spans="1:8" x14ac:dyDescent="0.3">
      <c r="A500" s="161">
        <v>45868</v>
      </c>
      <c r="B500" s="162" t="s">
        <v>363</v>
      </c>
      <c r="C500" s="162" t="s">
        <v>364</v>
      </c>
      <c r="D500" s="162">
        <v>5000</v>
      </c>
      <c r="E500" s="162">
        <v>0</v>
      </c>
      <c r="F500" s="162">
        <v>33631.35</v>
      </c>
      <c r="G500" s="162" t="s">
        <v>2</v>
      </c>
      <c r="H500" s="162" t="s">
        <v>1779</v>
      </c>
    </row>
    <row r="501" spans="1:8" x14ac:dyDescent="0.3">
      <c r="A501" s="161">
        <v>45868</v>
      </c>
      <c r="B501" s="162" t="s">
        <v>361</v>
      </c>
      <c r="C501" s="162" t="s">
        <v>362</v>
      </c>
      <c r="D501" s="162">
        <v>0</v>
      </c>
      <c r="E501" s="162">
        <v>317.2</v>
      </c>
      <c r="F501" s="162">
        <v>38631.35</v>
      </c>
      <c r="G501" s="162" t="s">
        <v>49</v>
      </c>
      <c r="H501" s="162" t="s">
        <v>1779</v>
      </c>
    </row>
    <row r="502" spans="1:8" x14ac:dyDescent="0.3">
      <c r="A502" s="161">
        <v>45868.541030092587</v>
      </c>
      <c r="B502" s="162" t="s">
        <v>2220</v>
      </c>
      <c r="C502" s="162" t="s">
        <v>2221</v>
      </c>
      <c r="D502" s="162">
        <v>0</v>
      </c>
      <c r="E502" s="162">
        <v>157</v>
      </c>
      <c r="F502" s="162">
        <v>16001.29</v>
      </c>
      <c r="G502" s="162" t="s">
        <v>17</v>
      </c>
      <c r="H502" s="162" t="s">
        <v>1019</v>
      </c>
    </row>
    <row r="503" spans="1:8" x14ac:dyDescent="0.3">
      <c r="A503" s="161">
        <v>45869</v>
      </c>
      <c r="B503" s="162" t="s">
        <v>50</v>
      </c>
      <c r="C503" s="162" t="s">
        <v>368</v>
      </c>
      <c r="D503" s="162">
        <v>1260.79</v>
      </c>
      <c r="E503" s="162">
        <v>0</v>
      </c>
      <c r="F503" s="162">
        <v>31577</v>
      </c>
      <c r="G503" s="162" t="s">
        <v>49</v>
      </c>
      <c r="H503" s="162" t="s">
        <v>1779</v>
      </c>
    </row>
    <row r="504" spans="1:8" x14ac:dyDescent="0.3">
      <c r="A504" s="161">
        <v>45869</v>
      </c>
      <c r="B504" s="162" t="s">
        <v>50</v>
      </c>
      <c r="C504" s="162" t="s">
        <v>367</v>
      </c>
      <c r="D504" s="162">
        <v>42.65</v>
      </c>
      <c r="E504" s="162">
        <v>0</v>
      </c>
      <c r="F504" s="162">
        <v>32837.79</v>
      </c>
      <c r="G504" s="162" t="s">
        <v>49</v>
      </c>
      <c r="H504" s="162" t="s">
        <v>1779</v>
      </c>
    </row>
    <row r="505" spans="1:8" x14ac:dyDescent="0.3">
      <c r="A505" s="161">
        <v>45870</v>
      </c>
      <c r="B505" s="162" t="s">
        <v>2471</v>
      </c>
      <c r="C505" s="162"/>
      <c r="D505" s="162">
        <v>0</v>
      </c>
      <c r="E505" s="162">
        <v>1</v>
      </c>
      <c r="F505" s="162">
        <v>241</v>
      </c>
      <c r="G505" s="162" t="s">
        <v>22</v>
      </c>
      <c r="H505" s="162" t="s">
        <v>2224</v>
      </c>
    </row>
    <row r="506" spans="1:8" x14ac:dyDescent="0.3">
      <c r="A506" s="161">
        <v>45870</v>
      </c>
      <c r="B506" s="162" t="s">
        <v>1078</v>
      </c>
      <c r="C506" s="162" t="s">
        <v>1005</v>
      </c>
      <c r="D506" s="162">
        <v>23000</v>
      </c>
      <c r="E506" s="162">
        <v>0</v>
      </c>
      <c r="F506" s="162">
        <v>97486.52</v>
      </c>
      <c r="G506" s="162" t="s">
        <v>990</v>
      </c>
      <c r="H506" s="162" t="s">
        <v>1680</v>
      </c>
    </row>
    <row r="507" spans="1:8" x14ac:dyDescent="0.3">
      <c r="A507" s="161">
        <v>45870</v>
      </c>
      <c r="B507" s="162" t="s">
        <v>1075</v>
      </c>
      <c r="C507" s="162" t="s">
        <v>1005</v>
      </c>
      <c r="D507" s="162">
        <v>0</v>
      </c>
      <c r="E507" s="162">
        <v>99850</v>
      </c>
      <c r="F507" s="162">
        <v>157928.76999999999</v>
      </c>
      <c r="G507" s="162" t="s">
        <v>972</v>
      </c>
      <c r="H507" s="162" t="s">
        <v>1680</v>
      </c>
    </row>
    <row r="508" spans="1:8" x14ac:dyDescent="0.3">
      <c r="A508" s="161">
        <v>45870</v>
      </c>
      <c r="B508" s="162" t="s">
        <v>1076</v>
      </c>
      <c r="C508" s="162" t="s">
        <v>1005</v>
      </c>
      <c r="D508" s="162">
        <v>442.25</v>
      </c>
      <c r="E508" s="162">
        <v>0</v>
      </c>
      <c r="F508" s="162">
        <v>157486.51999999999</v>
      </c>
      <c r="G508" s="162" t="s">
        <v>1014</v>
      </c>
      <c r="H508" s="162" t="s">
        <v>1680</v>
      </c>
    </row>
    <row r="509" spans="1:8" x14ac:dyDescent="0.3">
      <c r="A509" s="161">
        <v>45870</v>
      </c>
      <c r="B509" s="162" t="s">
        <v>1077</v>
      </c>
      <c r="C509" s="162" t="s">
        <v>1005</v>
      </c>
      <c r="D509" s="162">
        <v>37000</v>
      </c>
      <c r="E509" s="162">
        <v>0</v>
      </c>
      <c r="F509" s="162">
        <v>120486.52</v>
      </c>
      <c r="G509" s="162" t="s">
        <v>1019</v>
      </c>
      <c r="H509" s="162" t="s">
        <v>1680</v>
      </c>
    </row>
    <row r="510" spans="1:8" x14ac:dyDescent="0.3">
      <c r="A510" s="161">
        <v>45870</v>
      </c>
      <c r="B510" s="162" t="s">
        <v>2472</v>
      </c>
      <c r="C510" s="162" t="s">
        <v>2473</v>
      </c>
      <c r="D510" s="162">
        <v>241</v>
      </c>
      <c r="E510" s="162">
        <v>0</v>
      </c>
      <c r="F510" s="162">
        <v>0</v>
      </c>
      <c r="G510" s="162" t="s">
        <v>1019</v>
      </c>
      <c r="H510" s="162" t="s">
        <v>2224</v>
      </c>
    </row>
    <row r="511" spans="1:8" x14ac:dyDescent="0.3">
      <c r="A511" s="161">
        <v>45870</v>
      </c>
      <c r="B511" s="162" t="s">
        <v>50</v>
      </c>
      <c r="C511" s="162" t="s">
        <v>369</v>
      </c>
      <c r="D511" s="162">
        <v>42.2</v>
      </c>
      <c r="E511" s="162">
        <v>0</v>
      </c>
      <c r="F511" s="162">
        <v>31534.799999999999</v>
      </c>
      <c r="G511" s="162" t="s">
        <v>49</v>
      </c>
      <c r="H511" s="162" t="s">
        <v>1779</v>
      </c>
    </row>
    <row r="512" spans="1:8" x14ac:dyDescent="0.3">
      <c r="A512" s="161">
        <v>45870</v>
      </c>
      <c r="B512" s="162" t="s">
        <v>370</v>
      </c>
      <c r="C512" s="162" t="s">
        <v>371</v>
      </c>
      <c r="D512" s="162">
        <v>0</v>
      </c>
      <c r="E512" s="162">
        <v>112</v>
      </c>
      <c r="F512" s="162">
        <v>31646.799999999999</v>
      </c>
      <c r="G512" s="162" t="s">
        <v>17</v>
      </c>
      <c r="H512" s="162" t="s">
        <v>1779</v>
      </c>
    </row>
    <row r="513" spans="1:8" x14ac:dyDescent="0.3">
      <c r="A513" s="161">
        <v>45870</v>
      </c>
      <c r="B513" s="162" t="s">
        <v>50</v>
      </c>
      <c r="C513" s="162" t="s">
        <v>372</v>
      </c>
      <c r="D513" s="162">
        <v>6780.27</v>
      </c>
      <c r="E513" s="162">
        <v>0</v>
      </c>
      <c r="F513" s="162">
        <v>24866.53</v>
      </c>
      <c r="G513" s="162" t="s">
        <v>49</v>
      </c>
      <c r="H513" s="162" t="s">
        <v>1779</v>
      </c>
    </row>
    <row r="514" spans="1:8" x14ac:dyDescent="0.3">
      <c r="A514" s="161">
        <v>45870.274930555563</v>
      </c>
      <c r="B514" s="162" t="s">
        <v>2222</v>
      </c>
      <c r="C514" s="162" t="s">
        <v>2223</v>
      </c>
      <c r="D514" s="162">
        <v>0</v>
      </c>
      <c r="E514" s="162">
        <v>241</v>
      </c>
      <c r="F514" s="162">
        <v>16242.29</v>
      </c>
      <c r="G514" s="162" t="s">
        <v>2224</v>
      </c>
      <c r="H514" s="162" t="s">
        <v>1019</v>
      </c>
    </row>
    <row r="515" spans="1:8" x14ac:dyDescent="0.3">
      <c r="A515" s="161">
        <v>45870.464687500003</v>
      </c>
      <c r="B515" s="162" t="s">
        <v>2225</v>
      </c>
      <c r="C515" s="162" t="s">
        <v>2226</v>
      </c>
      <c r="D515" s="162">
        <v>0</v>
      </c>
      <c r="E515" s="162">
        <v>30</v>
      </c>
      <c r="F515" s="162">
        <v>16272.29</v>
      </c>
      <c r="G515" s="162" t="s">
        <v>17</v>
      </c>
      <c r="H515" s="162" t="s">
        <v>1019</v>
      </c>
    </row>
    <row r="516" spans="1:8" x14ac:dyDescent="0.3">
      <c r="A516" s="161">
        <v>45870.497789351852</v>
      </c>
      <c r="B516" s="162" t="s">
        <v>2227</v>
      </c>
      <c r="C516" s="162" t="s">
        <v>2228</v>
      </c>
      <c r="D516" s="162">
        <v>0</v>
      </c>
      <c r="E516" s="162">
        <v>37000</v>
      </c>
      <c r="F516" s="162">
        <v>53272.29</v>
      </c>
      <c r="G516" s="162" t="s">
        <v>1680</v>
      </c>
      <c r="H516" s="162" t="s">
        <v>1019</v>
      </c>
    </row>
    <row r="517" spans="1:8" x14ac:dyDescent="0.3">
      <c r="A517" s="161">
        <v>45870.49832175926</v>
      </c>
      <c r="B517" s="162" t="s">
        <v>2229</v>
      </c>
      <c r="C517" s="162" t="s">
        <v>2230</v>
      </c>
      <c r="D517" s="162">
        <v>37000</v>
      </c>
      <c r="E517" s="162">
        <v>0</v>
      </c>
      <c r="F517" s="162">
        <v>16272.29</v>
      </c>
      <c r="G517" s="162" t="s">
        <v>1735</v>
      </c>
      <c r="H517" s="162" t="s">
        <v>1019</v>
      </c>
    </row>
    <row r="518" spans="1:8" x14ac:dyDescent="0.3">
      <c r="A518" s="161">
        <v>45873</v>
      </c>
      <c r="B518" s="162" t="s">
        <v>373</v>
      </c>
      <c r="C518" s="162" t="s">
        <v>374</v>
      </c>
      <c r="D518" s="162">
        <v>0</v>
      </c>
      <c r="E518" s="162">
        <v>165</v>
      </c>
      <c r="F518" s="162">
        <v>25031.53</v>
      </c>
      <c r="G518" s="162" t="s">
        <v>17</v>
      </c>
      <c r="H518" s="162" t="s">
        <v>1779</v>
      </c>
    </row>
    <row r="519" spans="1:8" x14ac:dyDescent="0.3">
      <c r="A519" s="161">
        <v>45873</v>
      </c>
      <c r="B519" s="162" t="s">
        <v>50</v>
      </c>
      <c r="C519" s="162" t="s">
        <v>375</v>
      </c>
      <c r="D519" s="162">
        <v>119.37</v>
      </c>
      <c r="E519" s="162">
        <v>0</v>
      </c>
      <c r="F519" s="162">
        <v>24912.16</v>
      </c>
      <c r="G519" s="162" t="s">
        <v>49</v>
      </c>
      <c r="H519" s="162" t="s">
        <v>1779</v>
      </c>
    </row>
    <row r="520" spans="1:8" x14ac:dyDescent="0.3">
      <c r="A520" s="161">
        <v>45873.846747685187</v>
      </c>
      <c r="B520" s="162" t="s">
        <v>2231</v>
      </c>
      <c r="C520" s="162" t="s">
        <v>2232</v>
      </c>
      <c r="D520" s="162">
        <v>178</v>
      </c>
      <c r="E520" s="162">
        <v>0</v>
      </c>
      <c r="F520" s="162">
        <v>16094.29</v>
      </c>
      <c r="G520" s="162" t="s">
        <v>91</v>
      </c>
      <c r="H520" s="162" t="s">
        <v>1019</v>
      </c>
    </row>
    <row r="521" spans="1:8" x14ac:dyDescent="0.3">
      <c r="A521" s="161">
        <v>45874</v>
      </c>
      <c r="B521" s="162" t="s">
        <v>379</v>
      </c>
      <c r="C521" s="162" t="s">
        <v>380</v>
      </c>
      <c r="D521" s="162">
        <v>0</v>
      </c>
      <c r="E521" s="162">
        <v>1771</v>
      </c>
      <c r="F521" s="162">
        <v>28986.94</v>
      </c>
      <c r="G521" s="162" t="s">
        <v>17</v>
      </c>
      <c r="H521" s="162" t="s">
        <v>1779</v>
      </c>
    </row>
    <row r="522" spans="1:8" x14ac:dyDescent="0.3">
      <c r="A522" s="161">
        <v>45874</v>
      </c>
      <c r="B522" s="162" t="s">
        <v>50</v>
      </c>
      <c r="C522" s="162" t="s">
        <v>378</v>
      </c>
      <c r="D522" s="162">
        <v>44.58</v>
      </c>
      <c r="E522" s="162">
        <v>0</v>
      </c>
      <c r="F522" s="162">
        <v>27215.94</v>
      </c>
      <c r="G522" s="162" t="s">
        <v>49</v>
      </c>
      <c r="H522" s="162" t="s">
        <v>1779</v>
      </c>
    </row>
    <row r="523" spans="1:8" x14ac:dyDescent="0.3">
      <c r="A523" s="161">
        <v>45874</v>
      </c>
      <c r="B523" s="162" t="s">
        <v>376</v>
      </c>
      <c r="C523" s="162" t="s">
        <v>377</v>
      </c>
      <c r="D523" s="162">
        <v>0</v>
      </c>
      <c r="E523" s="162">
        <v>2348.36</v>
      </c>
      <c r="F523" s="162">
        <v>27260.52</v>
      </c>
      <c r="G523" s="162" t="s">
        <v>49</v>
      </c>
      <c r="H523" s="162" t="s">
        <v>1779</v>
      </c>
    </row>
    <row r="524" spans="1:8" x14ac:dyDescent="0.3">
      <c r="A524" s="161">
        <v>45874.543680555558</v>
      </c>
      <c r="B524" s="162" t="s">
        <v>2234</v>
      </c>
      <c r="C524" s="162" t="s">
        <v>2235</v>
      </c>
      <c r="D524" s="162">
        <v>45</v>
      </c>
      <c r="E524" s="162">
        <v>0</v>
      </c>
      <c r="F524" s="162">
        <v>16049.29</v>
      </c>
      <c r="G524" s="162" t="s">
        <v>91</v>
      </c>
      <c r="H524" s="162" t="s">
        <v>1019</v>
      </c>
    </row>
    <row r="525" spans="1:8" x14ac:dyDescent="0.3">
      <c r="A525" s="161">
        <v>45875</v>
      </c>
      <c r="B525" s="162" t="s">
        <v>383</v>
      </c>
      <c r="C525" s="162" t="s">
        <v>384</v>
      </c>
      <c r="D525" s="162">
        <v>0</v>
      </c>
      <c r="E525" s="162">
        <v>350</v>
      </c>
      <c r="F525" s="162">
        <v>29661.54</v>
      </c>
      <c r="G525" s="162" t="s">
        <v>17</v>
      </c>
      <c r="H525" s="162" t="s">
        <v>1779</v>
      </c>
    </row>
    <row r="526" spans="1:8" x14ac:dyDescent="0.3">
      <c r="A526" s="161">
        <v>45875</v>
      </c>
      <c r="B526" s="162" t="s">
        <v>50</v>
      </c>
      <c r="C526" s="162" t="s">
        <v>385</v>
      </c>
      <c r="D526" s="162">
        <v>45.41</v>
      </c>
      <c r="E526" s="162">
        <v>0</v>
      </c>
      <c r="F526" s="162">
        <v>29616.13</v>
      </c>
      <c r="G526" s="162" t="s">
        <v>49</v>
      </c>
      <c r="H526" s="162" t="s">
        <v>1779</v>
      </c>
    </row>
    <row r="527" spans="1:8" x14ac:dyDescent="0.3">
      <c r="A527" s="161">
        <v>45875</v>
      </c>
      <c r="B527" s="162" t="s">
        <v>50</v>
      </c>
      <c r="C527" s="162" t="s">
        <v>386</v>
      </c>
      <c r="D527" s="162">
        <v>1067.8699999999999</v>
      </c>
      <c r="E527" s="162">
        <v>0</v>
      </c>
      <c r="F527" s="162">
        <v>28548.26</v>
      </c>
      <c r="G527" s="162" t="s">
        <v>49</v>
      </c>
      <c r="H527" s="162" t="s">
        <v>1779</v>
      </c>
    </row>
    <row r="528" spans="1:8" x14ac:dyDescent="0.3">
      <c r="A528" s="161">
        <v>45875</v>
      </c>
      <c r="B528" s="162" t="s">
        <v>381</v>
      </c>
      <c r="C528" s="162" t="s">
        <v>382</v>
      </c>
      <c r="D528" s="162">
        <v>0</v>
      </c>
      <c r="E528" s="162">
        <v>324.60000000000002</v>
      </c>
      <c r="F528" s="162">
        <v>29311.54</v>
      </c>
      <c r="G528" s="162" t="s">
        <v>49</v>
      </c>
      <c r="H528" s="162" t="s">
        <v>1779</v>
      </c>
    </row>
    <row r="529" spans="1:8" x14ac:dyDescent="0.3">
      <c r="A529" s="161">
        <v>45876</v>
      </c>
      <c r="B529" s="162" t="s">
        <v>50</v>
      </c>
      <c r="C529" s="162" t="s">
        <v>389</v>
      </c>
      <c r="D529" s="162">
        <v>45.15</v>
      </c>
      <c r="E529" s="162">
        <v>0</v>
      </c>
      <c r="F529" s="162">
        <v>30383.11</v>
      </c>
      <c r="G529" s="162" t="s">
        <v>49</v>
      </c>
      <c r="H529" s="162" t="s">
        <v>1779</v>
      </c>
    </row>
    <row r="530" spans="1:8" x14ac:dyDescent="0.3">
      <c r="A530" s="161">
        <v>45876</v>
      </c>
      <c r="B530" s="162" t="s">
        <v>390</v>
      </c>
      <c r="C530" s="162" t="s">
        <v>391</v>
      </c>
      <c r="D530" s="162">
        <v>0</v>
      </c>
      <c r="E530" s="162">
        <v>220</v>
      </c>
      <c r="F530" s="162">
        <v>30603.11</v>
      </c>
      <c r="G530" s="162" t="s">
        <v>17</v>
      </c>
      <c r="H530" s="162" t="s">
        <v>1779</v>
      </c>
    </row>
    <row r="531" spans="1:8" x14ac:dyDescent="0.3">
      <c r="A531" s="161">
        <v>45876</v>
      </c>
      <c r="B531" s="162" t="s">
        <v>387</v>
      </c>
      <c r="C531" s="162" t="s">
        <v>388</v>
      </c>
      <c r="D531" s="162">
        <v>0</v>
      </c>
      <c r="E531" s="162">
        <v>1880</v>
      </c>
      <c r="F531" s="162">
        <v>30428.26</v>
      </c>
      <c r="G531" s="162" t="s">
        <v>63</v>
      </c>
      <c r="H531" s="162" t="s">
        <v>1779</v>
      </c>
    </row>
    <row r="532" spans="1:8" x14ac:dyDescent="0.3">
      <c r="A532" s="161">
        <v>45876</v>
      </c>
      <c r="B532" s="162" t="s">
        <v>1079</v>
      </c>
      <c r="C532" s="162" t="s">
        <v>1005</v>
      </c>
      <c r="D532" s="162">
        <v>10000</v>
      </c>
      <c r="E532" s="162">
        <v>0</v>
      </c>
      <c r="F532" s="162">
        <v>87486.52</v>
      </c>
      <c r="G532" s="162" t="s">
        <v>1031</v>
      </c>
      <c r="H532" s="162" t="s">
        <v>1680</v>
      </c>
    </row>
    <row r="533" spans="1:8" x14ac:dyDescent="0.3">
      <c r="A533" s="161">
        <v>45876.710532407407</v>
      </c>
      <c r="B533" s="162" t="s">
        <v>2237</v>
      </c>
      <c r="C533" s="162" t="s">
        <v>2238</v>
      </c>
      <c r="D533" s="162">
        <v>35</v>
      </c>
      <c r="E533" s="162">
        <v>0</v>
      </c>
      <c r="F533" s="162">
        <v>16014.29</v>
      </c>
      <c r="G533" s="162" t="s">
        <v>91</v>
      </c>
      <c r="H533" s="162" t="s">
        <v>1019</v>
      </c>
    </row>
    <row r="534" spans="1:8" x14ac:dyDescent="0.3">
      <c r="A534" s="161">
        <v>45876.838726851849</v>
      </c>
      <c r="B534" s="162" t="s">
        <v>2239</v>
      </c>
      <c r="C534" s="162" t="s">
        <v>2240</v>
      </c>
      <c r="D534" s="162">
        <v>40</v>
      </c>
      <c r="E534" s="162">
        <v>0</v>
      </c>
      <c r="F534" s="162">
        <v>15974.29</v>
      </c>
      <c r="G534" s="162" t="s">
        <v>91</v>
      </c>
      <c r="H534" s="162" t="s">
        <v>1019</v>
      </c>
    </row>
    <row r="535" spans="1:8" x14ac:dyDescent="0.3">
      <c r="A535" s="161">
        <v>45877</v>
      </c>
      <c r="B535" s="162" t="s">
        <v>50</v>
      </c>
      <c r="C535" s="162" t="s">
        <v>397</v>
      </c>
      <c r="D535" s="162">
        <v>1733.69</v>
      </c>
      <c r="E535" s="162">
        <v>0</v>
      </c>
      <c r="F535" s="162">
        <v>33020.58</v>
      </c>
      <c r="G535" s="162" t="s">
        <v>49</v>
      </c>
      <c r="H535" s="162" t="s">
        <v>1779</v>
      </c>
    </row>
    <row r="536" spans="1:8" x14ac:dyDescent="0.3">
      <c r="A536" s="161">
        <v>45877</v>
      </c>
      <c r="B536" s="162" t="s">
        <v>395</v>
      </c>
      <c r="C536" s="162" t="s">
        <v>396</v>
      </c>
      <c r="D536" s="162">
        <v>0</v>
      </c>
      <c r="E536" s="162">
        <v>3780</v>
      </c>
      <c r="F536" s="162">
        <v>34754.269999999997</v>
      </c>
      <c r="G536" s="162" t="s">
        <v>17</v>
      </c>
      <c r="H536" s="162" t="s">
        <v>1779</v>
      </c>
    </row>
    <row r="537" spans="1:8" x14ac:dyDescent="0.3">
      <c r="A537" s="161">
        <v>45877</v>
      </c>
      <c r="B537" s="162" t="s">
        <v>1080</v>
      </c>
      <c r="C537" s="162" t="s">
        <v>1005</v>
      </c>
      <c r="D537" s="162">
        <v>10000</v>
      </c>
      <c r="E537" s="162">
        <v>0</v>
      </c>
      <c r="F537" s="162">
        <v>77486.52</v>
      </c>
      <c r="G537" s="162" t="s">
        <v>1019</v>
      </c>
      <c r="H537" s="162" t="s">
        <v>1680</v>
      </c>
    </row>
    <row r="538" spans="1:8" x14ac:dyDescent="0.3">
      <c r="A538" s="161">
        <v>45877</v>
      </c>
      <c r="B538" s="162" t="s">
        <v>50</v>
      </c>
      <c r="C538" s="162" t="s">
        <v>394</v>
      </c>
      <c r="D538" s="162">
        <v>45.15</v>
      </c>
      <c r="E538" s="162">
        <v>0</v>
      </c>
      <c r="F538" s="162">
        <v>30974.27</v>
      </c>
      <c r="G538" s="162" t="s">
        <v>49</v>
      </c>
      <c r="H538" s="162" t="s">
        <v>1779</v>
      </c>
    </row>
    <row r="539" spans="1:8" x14ac:dyDescent="0.3">
      <c r="A539" s="161">
        <v>45877</v>
      </c>
      <c r="B539" s="162" t="s">
        <v>392</v>
      </c>
      <c r="C539" s="162" t="s">
        <v>393</v>
      </c>
      <c r="D539" s="162">
        <v>0</v>
      </c>
      <c r="E539" s="162">
        <v>416.31</v>
      </c>
      <c r="F539" s="162">
        <v>31019.42</v>
      </c>
      <c r="G539" s="162" t="s">
        <v>49</v>
      </c>
      <c r="H539" s="162" t="s">
        <v>1779</v>
      </c>
    </row>
    <row r="540" spans="1:8" x14ac:dyDescent="0.3">
      <c r="A540" s="161">
        <v>45877.630520833343</v>
      </c>
      <c r="B540" s="162" t="s">
        <v>2242</v>
      </c>
      <c r="C540" s="162" t="s">
        <v>2243</v>
      </c>
      <c r="D540" s="162">
        <v>0</v>
      </c>
      <c r="E540" s="162">
        <v>10000</v>
      </c>
      <c r="F540" s="162">
        <v>25974.29</v>
      </c>
      <c r="G540" s="162" t="s">
        <v>1680</v>
      </c>
      <c r="H540" s="162" t="s">
        <v>1019</v>
      </c>
    </row>
    <row r="541" spans="1:8" x14ac:dyDescent="0.3">
      <c r="A541" s="161">
        <v>45877.631122685183</v>
      </c>
      <c r="B541" s="162" t="s">
        <v>2244</v>
      </c>
      <c r="C541" s="162" t="s">
        <v>2245</v>
      </c>
      <c r="D541" s="162">
        <v>10000</v>
      </c>
      <c r="E541" s="162">
        <v>0</v>
      </c>
      <c r="F541" s="162">
        <v>15974.29</v>
      </c>
      <c r="G541" s="162" t="s">
        <v>1735</v>
      </c>
      <c r="H541" s="162" t="s">
        <v>1019</v>
      </c>
    </row>
    <row r="542" spans="1:8" x14ac:dyDescent="0.3">
      <c r="A542" s="161">
        <v>45878</v>
      </c>
      <c r="B542" s="162" t="s">
        <v>1087</v>
      </c>
      <c r="C542" s="162" t="s">
        <v>1005</v>
      </c>
      <c r="D542" s="162">
        <v>202.7</v>
      </c>
      <c r="E542" s="162">
        <v>0</v>
      </c>
      <c r="F542" s="162">
        <v>63657.62</v>
      </c>
      <c r="G542" s="162" t="s">
        <v>1014</v>
      </c>
      <c r="H542" s="162" t="s">
        <v>1680</v>
      </c>
    </row>
    <row r="543" spans="1:8" x14ac:dyDescent="0.3">
      <c r="A543" s="161">
        <v>45878</v>
      </c>
      <c r="B543" s="162" t="s">
        <v>1086</v>
      </c>
      <c r="C543" s="162" t="s">
        <v>1005</v>
      </c>
      <c r="D543" s="162">
        <v>2813.6</v>
      </c>
      <c r="E543" s="162">
        <v>0</v>
      </c>
      <c r="F543" s="162">
        <v>63860.32</v>
      </c>
      <c r="G543" s="162" t="s">
        <v>1014</v>
      </c>
      <c r="H543" s="162" t="s">
        <v>1680</v>
      </c>
    </row>
    <row r="544" spans="1:8" x14ac:dyDescent="0.3">
      <c r="A544" s="161">
        <v>45878</v>
      </c>
      <c r="B544" s="162" t="s">
        <v>1084</v>
      </c>
      <c r="C544" s="162" t="s">
        <v>1005</v>
      </c>
      <c r="D544" s="162">
        <v>198</v>
      </c>
      <c r="E544" s="162">
        <v>0</v>
      </c>
      <c r="F544" s="162">
        <v>66673.919999999998</v>
      </c>
      <c r="G544" s="162" t="s">
        <v>91</v>
      </c>
      <c r="H544" s="162" t="s">
        <v>1680</v>
      </c>
    </row>
    <row r="545" spans="1:8" x14ac:dyDescent="0.3">
      <c r="A545" s="161">
        <v>45878</v>
      </c>
      <c r="B545" s="162" t="s">
        <v>1083</v>
      </c>
      <c r="C545" s="162" t="s">
        <v>1005</v>
      </c>
      <c r="D545" s="162">
        <v>2613.6</v>
      </c>
      <c r="E545" s="162">
        <v>0</v>
      </c>
      <c r="F545" s="162">
        <v>66871.92</v>
      </c>
      <c r="G545" s="162" t="s">
        <v>1014</v>
      </c>
      <c r="H545" s="162" t="s">
        <v>1680</v>
      </c>
    </row>
    <row r="546" spans="1:8" x14ac:dyDescent="0.3">
      <c r="A546" s="161">
        <v>45878</v>
      </c>
      <c r="B546" s="162" t="s">
        <v>1088</v>
      </c>
      <c r="C546" s="162" t="s">
        <v>1005</v>
      </c>
      <c r="D546" s="162">
        <v>0</v>
      </c>
      <c r="E546" s="162">
        <v>2460</v>
      </c>
      <c r="F546" s="162">
        <v>66117.62</v>
      </c>
      <c r="G546" s="162" t="s">
        <v>1014</v>
      </c>
      <c r="H546" s="162" t="s">
        <v>1680</v>
      </c>
    </row>
    <row r="547" spans="1:8" x14ac:dyDescent="0.3">
      <c r="A547" s="161">
        <v>45878</v>
      </c>
      <c r="B547" s="162" t="s">
        <v>1082</v>
      </c>
      <c r="C547" s="162" t="s">
        <v>1005</v>
      </c>
      <c r="D547" s="162">
        <v>1001</v>
      </c>
      <c r="E547" s="162">
        <v>0</v>
      </c>
      <c r="F547" s="162">
        <v>69485.52</v>
      </c>
      <c r="G547" s="162" t="s">
        <v>1028</v>
      </c>
      <c r="H547" s="162" t="s">
        <v>1680</v>
      </c>
    </row>
    <row r="548" spans="1:8" x14ac:dyDescent="0.3">
      <c r="A548" s="161">
        <v>45878</v>
      </c>
      <c r="B548" s="162" t="s">
        <v>1081</v>
      </c>
      <c r="C548" s="162" t="s">
        <v>1005</v>
      </c>
      <c r="D548" s="162">
        <v>7000</v>
      </c>
      <c r="E548" s="162">
        <v>0</v>
      </c>
      <c r="F548" s="162">
        <v>70486.52</v>
      </c>
      <c r="G548" s="162" t="s">
        <v>1019</v>
      </c>
      <c r="H548" s="162" t="s">
        <v>1680</v>
      </c>
    </row>
    <row r="549" spans="1:8" x14ac:dyDescent="0.3">
      <c r="A549" s="161">
        <v>45878.404641203713</v>
      </c>
      <c r="B549" s="162" t="s">
        <v>2246</v>
      </c>
      <c r="C549" s="162" t="s">
        <v>2247</v>
      </c>
      <c r="D549" s="162">
        <v>0</v>
      </c>
      <c r="E549" s="162">
        <v>7000</v>
      </c>
      <c r="F549" s="162">
        <v>22974.29</v>
      </c>
      <c r="G549" s="162" t="s">
        <v>1680</v>
      </c>
      <c r="H549" s="162" t="s">
        <v>1019</v>
      </c>
    </row>
    <row r="550" spans="1:8" x14ac:dyDescent="0.3">
      <c r="A550" s="161">
        <v>45880</v>
      </c>
      <c r="B550" s="162" t="s">
        <v>50</v>
      </c>
      <c r="C550" s="162" t="s">
        <v>402</v>
      </c>
      <c r="D550" s="162">
        <v>134.04</v>
      </c>
      <c r="E550" s="162">
        <v>0</v>
      </c>
      <c r="F550" s="162">
        <v>34456.54</v>
      </c>
      <c r="G550" s="162" t="s">
        <v>49</v>
      </c>
      <c r="H550" s="162" t="s">
        <v>1779</v>
      </c>
    </row>
    <row r="551" spans="1:8" x14ac:dyDescent="0.3">
      <c r="A551" s="161">
        <v>45880</v>
      </c>
      <c r="B551" s="162" t="s">
        <v>400</v>
      </c>
      <c r="C551" s="162" t="s">
        <v>401</v>
      </c>
      <c r="D551" s="162">
        <v>0</v>
      </c>
      <c r="E551" s="162">
        <v>1320</v>
      </c>
      <c r="F551" s="162">
        <v>34590.58</v>
      </c>
      <c r="G551" s="162" t="s">
        <v>17</v>
      </c>
      <c r="H551" s="162" t="s">
        <v>1779</v>
      </c>
    </row>
    <row r="552" spans="1:8" x14ac:dyDescent="0.3">
      <c r="A552" s="161">
        <v>45880</v>
      </c>
      <c r="B552" s="162" t="s">
        <v>398</v>
      </c>
      <c r="C552" s="162" t="s">
        <v>399</v>
      </c>
      <c r="D552" s="162">
        <v>0</v>
      </c>
      <c r="E552" s="162">
        <v>250</v>
      </c>
      <c r="F552" s="162">
        <v>33270.58</v>
      </c>
      <c r="G552" s="162" t="s">
        <v>17</v>
      </c>
      <c r="H552" s="162" t="s">
        <v>1779</v>
      </c>
    </row>
    <row r="553" spans="1:8" x14ac:dyDescent="0.3">
      <c r="A553" s="161">
        <v>45880</v>
      </c>
      <c r="B553" s="162" t="s">
        <v>1089</v>
      </c>
      <c r="C553" s="162" t="s">
        <v>1005</v>
      </c>
      <c r="D553" s="162">
        <v>1164.5</v>
      </c>
      <c r="E553" s="162">
        <v>0</v>
      </c>
      <c r="F553" s="162">
        <v>64953.120000000003</v>
      </c>
      <c r="G553" s="162" t="s">
        <v>1014</v>
      </c>
      <c r="H553" s="162" t="s">
        <v>1680</v>
      </c>
    </row>
    <row r="554" spans="1:8" x14ac:dyDescent="0.3">
      <c r="A554" s="161">
        <v>45880</v>
      </c>
      <c r="B554" s="162" t="s">
        <v>403</v>
      </c>
      <c r="C554" s="162" t="s">
        <v>404</v>
      </c>
      <c r="D554" s="162">
        <v>0</v>
      </c>
      <c r="E554" s="162">
        <v>2375</v>
      </c>
      <c r="F554" s="162">
        <v>36831.54</v>
      </c>
      <c r="G554" s="162" t="s">
        <v>17</v>
      </c>
      <c r="H554" s="162" t="s">
        <v>1779</v>
      </c>
    </row>
    <row r="555" spans="1:8" x14ac:dyDescent="0.3">
      <c r="A555" s="161">
        <v>45880</v>
      </c>
      <c r="B555" s="162" t="s">
        <v>1721</v>
      </c>
      <c r="C555" s="162"/>
      <c r="D555" s="162">
        <v>283</v>
      </c>
      <c r="E555" s="162">
        <v>0</v>
      </c>
      <c r="F555" s="162">
        <v>11438.96</v>
      </c>
      <c r="G555" s="162" t="s">
        <v>1189</v>
      </c>
      <c r="H555" s="162" t="s">
        <v>837</v>
      </c>
    </row>
    <row r="556" spans="1:8" x14ac:dyDescent="0.3">
      <c r="A556" s="161">
        <v>45880.417800925927</v>
      </c>
      <c r="B556" s="162" t="s">
        <v>2248</v>
      </c>
      <c r="C556" s="162" t="s">
        <v>2249</v>
      </c>
      <c r="D556" s="162">
        <v>0</v>
      </c>
      <c r="E556" s="162">
        <v>120</v>
      </c>
      <c r="F556" s="162">
        <v>23094.29</v>
      </c>
      <c r="G556" s="162" t="s">
        <v>91</v>
      </c>
      <c r="H556" s="162" t="s">
        <v>1019</v>
      </c>
    </row>
    <row r="557" spans="1:8" x14ac:dyDescent="0.3">
      <c r="A557" s="161">
        <v>45881</v>
      </c>
      <c r="B557" s="162" t="s">
        <v>1090</v>
      </c>
      <c r="C557" s="162" t="s">
        <v>1005</v>
      </c>
      <c r="D557" s="162">
        <v>310</v>
      </c>
      <c r="E557" s="162">
        <v>0</v>
      </c>
      <c r="F557" s="162">
        <v>64643.12</v>
      </c>
      <c r="G557" s="162" t="s">
        <v>1053</v>
      </c>
      <c r="H557" s="162" t="s">
        <v>1680</v>
      </c>
    </row>
    <row r="558" spans="1:8" x14ac:dyDescent="0.3">
      <c r="A558" s="161">
        <v>45881</v>
      </c>
      <c r="B558" s="162" t="s">
        <v>405</v>
      </c>
      <c r="C558" s="162" t="s">
        <v>406</v>
      </c>
      <c r="D558" s="162">
        <v>0</v>
      </c>
      <c r="E558" s="162">
        <v>52763.88</v>
      </c>
      <c r="F558" s="162">
        <v>89595.42</v>
      </c>
      <c r="G558" s="162" t="s">
        <v>49</v>
      </c>
      <c r="H558" s="162" t="s">
        <v>1779</v>
      </c>
    </row>
    <row r="559" spans="1:8" x14ac:dyDescent="0.3">
      <c r="A559" s="161">
        <v>45881</v>
      </c>
      <c r="B559" s="162" t="s">
        <v>407</v>
      </c>
      <c r="C559" s="162" t="s">
        <v>408</v>
      </c>
      <c r="D559" s="162">
        <v>0</v>
      </c>
      <c r="E559" s="162">
        <v>1157.2</v>
      </c>
      <c r="F559" s="162">
        <v>90752.62</v>
      </c>
      <c r="G559" s="162" t="s">
        <v>49</v>
      </c>
      <c r="H559" s="162" t="s">
        <v>1779</v>
      </c>
    </row>
    <row r="560" spans="1:8" x14ac:dyDescent="0.3">
      <c r="A560" s="161">
        <v>45881</v>
      </c>
      <c r="B560" s="162" t="s">
        <v>410</v>
      </c>
      <c r="C560" s="162" t="s">
        <v>411</v>
      </c>
      <c r="D560" s="162">
        <v>0</v>
      </c>
      <c r="E560" s="162">
        <v>650</v>
      </c>
      <c r="F560" s="162">
        <v>91357.94</v>
      </c>
      <c r="G560" s="162" t="s">
        <v>17</v>
      </c>
      <c r="H560" s="162" t="s">
        <v>1779</v>
      </c>
    </row>
    <row r="561" spans="1:8" x14ac:dyDescent="0.3">
      <c r="A561" s="161">
        <v>45881</v>
      </c>
      <c r="B561" s="162" t="s">
        <v>1091</v>
      </c>
      <c r="C561" s="162" t="s">
        <v>1005</v>
      </c>
      <c r="D561" s="162">
        <v>140</v>
      </c>
      <c r="E561" s="162">
        <v>0</v>
      </c>
      <c r="F561" s="162">
        <v>64503.12</v>
      </c>
      <c r="G561" s="162" t="s">
        <v>91</v>
      </c>
      <c r="H561" s="162" t="s">
        <v>1680</v>
      </c>
    </row>
    <row r="562" spans="1:8" x14ac:dyDescent="0.3">
      <c r="A562" s="161">
        <v>45881</v>
      </c>
      <c r="B562" s="162" t="s">
        <v>50</v>
      </c>
      <c r="C562" s="162" t="s">
        <v>412</v>
      </c>
      <c r="D562" s="162">
        <v>16461.12</v>
      </c>
      <c r="E562" s="162">
        <v>0</v>
      </c>
      <c r="F562" s="162">
        <v>74896.820000000007</v>
      </c>
      <c r="G562" s="162" t="s">
        <v>49</v>
      </c>
      <c r="H562" s="162" t="s">
        <v>1779</v>
      </c>
    </row>
    <row r="563" spans="1:8" x14ac:dyDescent="0.3">
      <c r="A563" s="161">
        <v>45881</v>
      </c>
      <c r="B563" s="162" t="s">
        <v>50</v>
      </c>
      <c r="C563" s="162" t="s">
        <v>409</v>
      </c>
      <c r="D563" s="162">
        <v>44.68</v>
      </c>
      <c r="E563" s="162">
        <v>0</v>
      </c>
      <c r="F563" s="162">
        <v>90707.94</v>
      </c>
      <c r="G563" s="162" t="s">
        <v>49</v>
      </c>
      <c r="H563" s="162" t="s">
        <v>1779</v>
      </c>
    </row>
    <row r="564" spans="1:8" x14ac:dyDescent="0.3">
      <c r="A564" s="161">
        <v>45881</v>
      </c>
      <c r="B564" s="162" t="s">
        <v>50</v>
      </c>
      <c r="C564" s="162" t="s">
        <v>413</v>
      </c>
      <c r="D564" s="162">
        <v>5806.54</v>
      </c>
      <c r="E564" s="162">
        <v>0</v>
      </c>
      <c r="F564" s="162">
        <v>69090.28</v>
      </c>
      <c r="G564" s="162" t="s">
        <v>49</v>
      </c>
      <c r="H564" s="162" t="s">
        <v>1779</v>
      </c>
    </row>
    <row r="565" spans="1:8" x14ac:dyDescent="0.3">
      <c r="A565" s="161">
        <v>45881.335833333331</v>
      </c>
      <c r="B565" s="162" t="s">
        <v>2250</v>
      </c>
      <c r="C565" s="162" t="s">
        <v>2251</v>
      </c>
      <c r="D565" s="162">
        <v>0</v>
      </c>
      <c r="E565" s="162">
        <v>501</v>
      </c>
      <c r="F565" s="162">
        <v>23595.29</v>
      </c>
      <c r="G565" s="162" t="s">
        <v>606</v>
      </c>
      <c r="H565" s="162" t="s">
        <v>1019</v>
      </c>
    </row>
    <row r="566" spans="1:8" x14ac:dyDescent="0.3">
      <c r="A566" s="161">
        <v>45882</v>
      </c>
      <c r="B566" s="162" t="s">
        <v>50</v>
      </c>
      <c r="C566" s="162" t="s">
        <v>414</v>
      </c>
      <c r="D566" s="162">
        <v>37.159999999999997</v>
      </c>
      <c r="E566" s="162">
        <v>0</v>
      </c>
      <c r="F566" s="162">
        <v>69053.119999999995</v>
      </c>
      <c r="G566" s="162" t="s">
        <v>49</v>
      </c>
      <c r="H566" s="162" t="s">
        <v>1779</v>
      </c>
    </row>
    <row r="567" spans="1:8" x14ac:dyDescent="0.3">
      <c r="A567" s="161">
        <v>45882</v>
      </c>
      <c r="B567" s="162" t="s">
        <v>415</v>
      </c>
      <c r="C567" s="162" t="s">
        <v>416</v>
      </c>
      <c r="D567" s="162">
        <v>14994</v>
      </c>
      <c r="E567" s="162">
        <v>0</v>
      </c>
      <c r="F567" s="162">
        <v>54059.12</v>
      </c>
      <c r="G567" s="162" t="s">
        <v>417</v>
      </c>
      <c r="H567" s="162" t="s">
        <v>1779</v>
      </c>
    </row>
    <row r="568" spans="1:8" x14ac:dyDescent="0.3">
      <c r="A568" s="161">
        <v>45882</v>
      </c>
      <c r="B568" s="162" t="s">
        <v>50</v>
      </c>
      <c r="C568" s="162" t="s">
        <v>418</v>
      </c>
      <c r="D568" s="162">
        <v>10011.120000000001</v>
      </c>
      <c r="E568" s="162">
        <v>0</v>
      </c>
      <c r="F568" s="162">
        <v>44048</v>
      </c>
      <c r="G568" s="162" t="s">
        <v>49</v>
      </c>
      <c r="H568" s="162" t="s">
        <v>1779</v>
      </c>
    </row>
    <row r="569" spans="1:8" x14ac:dyDescent="0.3">
      <c r="A569" s="161">
        <v>45883</v>
      </c>
      <c r="B569" s="162" t="s">
        <v>419</v>
      </c>
      <c r="C569" s="162" t="s">
        <v>420</v>
      </c>
      <c r="D569" s="162">
        <v>0</v>
      </c>
      <c r="E569" s="162">
        <v>15603.92</v>
      </c>
      <c r="F569" s="162">
        <v>59651.92</v>
      </c>
      <c r="G569" s="162" t="s">
        <v>49</v>
      </c>
      <c r="H569" s="162" t="s">
        <v>1779</v>
      </c>
    </row>
    <row r="570" spans="1:8" x14ac:dyDescent="0.3">
      <c r="A570" s="161">
        <v>45883</v>
      </c>
      <c r="B570" s="162" t="s">
        <v>50</v>
      </c>
      <c r="C570" s="162" t="s">
        <v>421</v>
      </c>
      <c r="D570" s="162">
        <v>43.31</v>
      </c>
      <c r="E570" s="162">
        <v>0</v>
      </c>
      <c r="F570" s="162">
        <v>59608.61</v>
      </c>
      <c r="G570" s="162" t="s">
        <v>49</v>
      </c>
      <c r="H570" s="162" t="s">
        <v>1779</v>
      </c>
    </row>
    <row r="571" spans="1:8" x14ac:dyDescent="0.3">
      <c r="A571" s="161">
        <v>45883</v>
      </c>
      <c r="B571" s="162" t="s">
        <v>1722</v>
      </c>
      <c r="C571" s="162"/>
      <c r="D571" s="162">
        <v>0</v>
      </c>
      <c r="E571" s="162">
        <v>100</v>
      </c>
      <c r="F571" s="162">
        <v>11538.96</v>
      </c>
      <c r="G571" s="162" t="s">
        <v>91</v>
      </c>
      <c r="H571" s="162" t="s">
        <v>837</v>
      </c>
    </row>
    <row r="572" spans="1:8" x14ac:dyDescent="0.3">
      <c r="A572" s="161">
        <v>45883</v>
      </c>
      <c r="B572" s="162" t="s">
        <v>422</v>
      </c>
      <c r="C572" s="162" t="s">
        <v>423</v>
      </c>
      <c r="D572" s="162">
        <v>0</v>
      </c>
      <c r="E572" s="162">
        <v>210</v>
      </c>
      <c r="F572" s="162">
        <v>59818.61</v>
      </c>
      <c r="G572" s="162" t="s">
        <v>17</v>
      </c>
      <c r="H572" s="162" t="s">
        <v>1779</v>
      </c>
    </row>
    <row r="573" spans="1:8" x14ac:dyDescent="0.3">
      <c r="A573" s="161">
        <v>45883</v>
      </c>
      <c r="B573" s="162" t="s">
        <v>424</v>
      </c>
      <c r="C573" s="162" t="s">
        <v>425</v>
      </c>
      <c r="D573" s="162">
        <v>0</v>
      </c>
      <c r="E573" s="162">
        <v>30000</v>
      </c>
      <c r="F573" s="162">
        <v>89818.61</v>
      </c>
      <c r="G573" s="162" t="s">
        <v>91</v>
      </c>
      <c r="H573" s="162" t="s">
        <v>1779</v>
      </c>
    </row>
    <row r="574" spans="1:8" x14ac:dyDescent="0.3">
      <c r="A574" s="161">
        <v>45883</v>
      </c>
      <c r="B574" s="162" t="s">
        <v>50</v>
      </c>
      <c r="C574" s="162" t="s">
        <v>426</v>
      </c>
      <c r="D574" s="162">
        <v>330</v>
      </c>
      <c r="E574" s="162">
        <v>0</v>
      </c>
      <c r="F574" s="162">
        <v>89488.61</v>
      </c>
      <c r="G574" s="162" t="s">
        <v>49</v>
      </c>
      <c r="H574" s="162" t="s">
        <v>1779</v>
      </c>
    </row>
    <row r="575" spans="1:8" x14ac:dyDescent="0.3">
      <c r="A575" s="161">
        <v>45884</v>
      </c>
      <c r="B575" s="162" t="s">
        <v>1723</v>
      </c>
      <c r="C575" s="162"/>
      <c r="D575" s="162">
        <v>0</v>
      </c>
      <c r="E575" s="162">
        <v>150</v>
      </c>
      <c r="F575" s="162">
        <v>11688.96</v>
      </c>
      <c r="G575" s="162" t="s">
        <v>91</v>
      </c>
      <c r="H575" s="162" t="s">
        <v>837</v>
      </c>
    </row>
    <row r="576" spans="1:8" x14ac:dyDescent="0.3">
      <c r="A576" s="161">
        <v>45884</v>
      </c>
      <c r="B576" s="162" t="s">
        <v>1093</v>
      </c>
      <c r="C576" s="162" t="s">
        <v>1005</v>
      </c>
      <c r="D576" s="162">
        <v>100</v>
      </c>
      <c r="E576" s="162">
        <v>0</v>
      </c>
      <c r="F576" s="162">
        <v>64403.12</v>
      </c>
      <c r="G576" s="162" t="s">
        <v>91</v>
      </c>
      <c r="H576" s="162" t="s">
        <v>1680</v>
      </c>
    </row>
    <row r="577" spans="1:8" x14ac:dyDescent="0.3">
      <c r="A577" s="161">
        <v>45884</v>
      </c>
      <c r="B577" s="162" t="s">
        <v>427</v>
      </c>
      <c r="C577" s="162" t="s">
        <v>428</v>
      </c>
      <c r="D577" s="162">
        <v>30000</v>
      </c>
      <c r="E577" s="162">
        <v>0</v>
      </c>
      <c r="F577" s="162">
        <v>59488.61</v>
      </c>
      <c r="G577" s="162" t="s">
        <v>157</v>
      </c>
      <c r="H577" s="162" t="s">
        <v>1779</v>
      </c>
    </row>
    <row r="578" spans="1:8" x14ac:dyDescent="0.3">
      <c r="A578" s="161">
        <v>45885.301423611112</v>
      </c>
      <c r="B578" s="162" t="s">
        <v>2252</v>
      </c>
      <c r="C578" s="162" t="s">
        <v>2253</v>
      </c>
      <c r="D578" s="162">
        <v>0</v>
      </c>
      <c r="E578" s="162">
        <v>275</v>
      </c>
      <c r="F578" s="162">
        <v>23870.29</v>
      </c>
      <c r="G578" s="162" t="s">
        <v>17</v>
      </c>
      <c r="H578" s="162" t="s">
        <v>1019</v>
      </c>
    </row>
    <row r="579" spans="1:8" x14ac:dyDescent="0.3">
      <c r="A579" s="161">
        <v>45886</v>
      </c>
      <c r="B579" s="162" t="s">
        <v>1095</v>
      </c>
      <c r="C579" s="162" t="s">
        <v>1005</v>
      </c>
      <c r="D579" s="162">
        <v>80</v>
      </c>
      <c r="E579" s="162">
        <v>0</v>
      </c>
      <c r="F579" s="162">
        <v>64323.12</v>
      </c>
      <c r="G579" s="162" t="s">
        <v>91</v>
      </c>
      <c r="H579" s="162" t="s">
        <v>1680</v>
      </c>
    </row>
    <row r="580" spans="1:8" x14ac:dyDescent="0.3">
      <c r="A580" s="161">
        <v>45887</v>
      </c>
      <c r="B580" s="162" t="s">
        <v>50</v>
      </c>
      <c r="C580" s="162" t="s">
        <v>429</v>
      </c>
      <c r="D580" s="162">
        <v>211.32</v>
      </c>
      <c r="E580" s="162">
        <v>0</v>
      </c>
      <c r="F580" s="162">
        <v>59277.29</v>
      </c>
      <c r="G580" s="162" t="s">
        <v>49</v>
      </c>
      <c r="H580" s="162" t="s">
        <v>1779</v>
      </c>
    </row>
    <row r="581" spans="1:8" x14ac:dyDescent="0.3">
      <c r="A581" s="161">
        <v>45887</v>
      </c>
      <c r="B581" s="162" t="s">
        <v>50</v>
      </c>
      <c r="C581" s="162" t="s">
        <v>430</v>
      </c>
      <c r="D581" s="162">
        <v>9465.2800000000007</v>
      </c>
      <c r="E581" s="162">
        <v>0</v>
      </c>
      <c r="F581" s="162">
        <v>49812.01</v>
      </c>
      <c r="G581" s="162" t="s">
        <v>49</v>
      </c>
      <c r="H581" s="162" t="s">
        <v>1779</v>
      </c>
    </row>
    <row r="582" spans="1:8" x14ac:dyDescent="0.3">
      <c r="A582" s="161">
        <v>45888</v>
      </c>
      <c r="B582" s="162" t="s">
        <v>50</v>
      </c>
      <c r="C582" s="162" t="s">
        <v>431</v>
      </c>
      <c r="D582" s="162">
        <v>49.46</v>
      </c>
      <c r="E582" s="162">
        <v>0</v>
      </c>
      <c r="F582" s="162">
        <v>49762.55</v>
      </c>
      <c r="G582" s="162" t="s">
        <v>49</v>
      </c>
      <c r="H582" s="162" t="s">
        <v>1779</v>
      </c>
    </row>
    <row r="583" spans="1:8" x14ac:dyDescent="0.3">
      <c r="A583" s="161">
        <v>45888</v>
      </c>
      <c r="B583" s="162" t="s">
        <v>1097</v>
      </c>
      <c r="C583" s="162" t="s">
        <v>1005</v>
      </c>
      <c r="D583" s="162">
        <v>1000</v>
      </c>
      <c r="E583" s="162">
        <v>0</v>
      </c>
      <c r="F583" s="162">
        <v>63323.12</v>
      </c>
      <c r="G583" s="162" t="s">
        <v>1028</v>
      </c>
      <c r="H583" s="162" t="s">
        <v>1680</v>
      </c>
    </row>
    <row r="584" spans="1:8" x14ac:dyDescent="0.3">
      <c r="A584" s="161">
        <v>45889</v>
      </c>
      <c r="B584" s="162" t="s">
        <v>50</v>
      </c>
      <c r="C584" s="162" t="s">
        <v>434</v>
      </c>
      <c r="D584" s="162">
        <v>60.58</v>
      </c>
      <c r="E584" s="162">
        <v>0</v>
      </c>
      <c r="F584" s="162">
        <v>50600.87</v>
      </c>
      <c r="G584" s="162" t="s">
        <v>49</v>
      </c>
      <c r="H584" s="162" t="s">
        <v>1779</v>
      </c>
    </row>
    <row r="585" spans="1:8" x14ac:dyDescent="0.3">
      <c r="A585" s="161">
        <v>45889</v>
      </c>
      <c r="B585" s="162" t="s">
        <v>1098</v>
      </c>
      <c r="C585" s="162" t="s">
        <v>1005</v>
      </c>
      <c r="D585" s="162">
        <v>870</v>
      </c>
      <c r="E585" s="162">
        <v>0</v>
      </c>
      <c r="F585" s="162">
        <v>62453.120000000003</v>
      </c>
      <c r="G585" s="162" t="s">
        <v>91</v>
      </c>
      <c r="H585" s="162" t="s">
        <v>1680</v>
      </c>
    </row>
    <row r="586" spans="1:8" x14ac:dyDescent="0.3">
      <c r="A586" s="161">
        <v>45889</v>
      </c>
      <c r="B586" s="162" t="s">
        <v>1100</v>
      </c>
      <c r="C586" s="162" t="s">
        <v>1005</v>
      </c>
      <c r="D586" s="162">
        <v>1000</v>
      </c>
      <c r="E586" s="162">
        <v>0</v>
      </c>
      <c r="F586" s="162">
        <v>61453.120000000003</v>
      </c>
      <c r="G586" s="162" t="s">
        <v>1028</v>
      </c>
      <c r="H586" s="162" t="s">
        <v>1680</v>
      </c>
    </row>
    <row r="587" spans="1:8" x14ac:dyDescent="0.3">
      <c r="A587" s="161">
        <v>45889</v>
      </c>
      <c r="B587" s="162" t="s">
        <v>435</v>
      </c>
      <c r="C587" s="162" t="s">
        <v>436</v>
      </c>
      <c r="D587" s="162">
        <v>0</v>
      </c>
      <c r="E587" s="162">
        <v>21</v>
      </c>
      <c r="F587" s="162">
        <v>50621.87</v>
      </c>
      <c r="G587" s="162" t="s">
        <v>17</v>
      </c>
      <c r="H587" s="162" t="s">
        <v>1779</v>
      </c>
    </row>
    <row r="588" spans="1:8" x14ac:dyDescent="0.3">
      <c r="A588" s="161">
        <v>45889</v>
      </c>
      <c r="B588" s="162" t="s">
        <v>432</v>
      </c>
      <c r="C588" s="162" t="s">
        <v>433</v>
      </c>
      <c r="D588" s="162">
        <v>0</v>
      </c>
      <c r="E588" s="162">
        <v>898.9</v>
      </c>
      <c r="F588" s="162">
        <v>50661.45</v>
      </c>
      <c r="G588" s="162" t="s">
        <v>49</v>
      </c>
      <c r="H588" s="162" t="s">
        <v>1779</v>
      </c>
    </row>
    <row r="589" spans="1:8" x14ac:dyDescent="0.3">
      <c r="A589" s="161">
        <v>45890</v>
      </c>
      <c r="B589" s="162" t="s">
        <v>50</v>
      </c>
      <c r="C589" s="162" t="s">
        <v>439</v>
      </c>
      <c r="D589" s="162">
        <v>60.9</v>
      </c>
      <c r="E589" s="162">
        <v>0</v>
      </c>
      <c r="F589" s="162">
        <v>50878.22</v>
      </c>
      <c r="G589" s="162" t="s">
        <v>49</v>
      </c>
      <c r="H589" s="162" t="s">
        <v>1779</v>
      </c>
    </row>
    <row r="590" spans="1:8" x14ac:dyDescent="0.3">
      <c r="A590" s="161">
        <v>45890</v>
      </c>
      <c r="B590" s="162" t="s">
        <v>437</v>
      </c>
      <c r="C590" s="162" t="s">
        <v>438</v>
      </c>
      <c r="D590" s="162">
        <v>0</v>
      </c>
      <c r="E590" s="162">
        <v>317.25</v>
      </c>
      <c r="F590" s="162">
        <v>50939.12</v>
      </c>
      <c r="G590" s="162" t="s">
        <v>49</v>
      </c>
      <c r="H590" s="162" t="s">
        <v>1779</v>
      </c>
    </row>
    <row r="591" spans="1:8" x14ac:dyDescent="0.3">
      <c r="A591" s="161">
        <v>45890</v>
      </c>
      <c r="B591" s="162" t="s">
        <v>1101</v>
      </c>
      <c r="C591" s="162" t="s">
        <v>1005</v>
      </c>
      <c r="D591" s="162">
        <v>1500</v>
      </c>
      <c r="E591" s="162">
        <v>0</v>
      </c>
      <c r="F591" s="162">
        <v>59953.120000000003</v>
      </c>
      <c r="G591" s="162" t="s">
        <v>91</v>
      </c>
      <c r="H591" s="162" t="s">
        <v>1680</v>
      </c>
    </row>
    <row r="592" spans="1:8" x14ac:dyDescent="0.3">
      <c r="A592" s="161">
        <v>45890</v>
      </c>
      <c r="B592" s="162" t="s">
        <v>1103</v>
      </c>
      <c r="C592" s="162" t="s">
        <v>1005</v>
      </c>
      <c r="D592" s="162">
        <v>1000</v>
      </c>
      <c r="E592" s="162">
        <v>0</v>
      </c>
      <c r="F592" s="162">
        <v>58953.120000000003</v>
      </c>
      <c r="G592" s="162" t="s">
        <v>1028</v>
      </c>
      <c r="H592" s="162" t="s">
        <v>1680</v>
      </c>
    </row>
    <row r="593" spans="1:8" x14ac:dyDescent="0.3">
      <c r="A593" s="161">
        <v>45890</v>
      </c>
      <c r="B593" s="162" t="s">
        <v>50</v>
      </c>
      <c r="C593" s="162" t="s">
        <v>440</v>
      </c>
      <c r="D593" s="162">
        <v>44.35</v>
      </c>
      <c r="E593" s="162">
        <v>0</v>
      </c>
      <c r="F593" s="162">
        <v>50833.87</v>
      </c>
      <c r="G593" s="162" t="s">
        <v>49</v>
      </c>
      <c r="H593" s="162" t="s">
        <v>1779</v>
      </c>
    </row>
    <row r="594" spans="1:8" x14ac:dyDescent="0.3">
      <c r="A594" s="161">
        <v>45890.472812499997</v>
      </c>
      <c r="B594" s="162" t="s">
        <v>2254</v>
      </c>
      <c r="C594" s="162" t="s">
        <v>2255</v>
      </c>
      <c r="D594" s="162">
        <v>0</v>
      </c>
      <c r="E594" s="162">
        <v>154</v>
      </c>
      <c r="F594" s="162">
        <v>24024.29</v>
      </c>
      <c r="G594" s="162" t="s">
        <v>17</v>
      </c>
      <c r="H594" s="162" t="s">
        <v>1019</v>
      </c>
    </row>
    <row r="595" spans="1:8" x14ac:dyDescent="0.3">
      <c r="A595" s="161">
        <v>45891</v>
      </c>
      <c r="B595" s="162" t="s">
        <v>1104</v>
      </c>
      <c r="C595" s="162" t="s">
        <v>1005</v>
      </c>
      <c r="D595" s="162">
        <v>1000</v>
      </c>
      <c r="E595" s="162">
        <v>0</v>
      </c>
      <c r="F595" s="162">
        <v>57953.120000000003</v>
      </c>
      <c r="G595" s="162" t="s">
        <v>1028</v>
      </c>
      <c r="H595" s="162" t="s">
        <v>1680</v>
      </c>
    </row>
    <row r="596" spans="1:8" x14ac:dyDescent="0.3">
      <c r="A596" s="161">
        <v>45891</v>
      </c>
      <c r="B596" s="162" t="s">
        <v>50</v>
      </c>
      <c r="C596" s="162" t="s">
        <v>441</v>
      </c>
      <c r="D596" s="162">
        <v>61</v>
      </c>
      <c r="E596" s="162">
        <v>0</v>
      </c>
      <c r="F596" s="162">
        <v>50772.87</v>
      </c>
      <c r="G596" s="162" t="s">
        <v>49</v>
      </c>
      <c r="H596" s="162" t="s">
        <v>1779</v>
      </c>
    </row>
    <row r="597" spans="1:8" x14ac:dyDescent="0.3">
      <c r="A597" s="161">
        <v>45891</v>
      </c>
      <c r="B597" s="162" t="s">
        <v>442</v>
      </c>
      <c r="C597" s="162" t="s">
        <v>83</v>
      </c>
      <c r="D597" s="162">
        <v>460.2</v>
      </c>
      <c r="E597" s="162">
        <v>0</v>
      </c>
      <c r="F597" s="162">
        <v>50312.67</v>
      </c>
      <c r="G597" s="162" t="s">
        <v>9</v>
      </c>
      <c r="H597" s="162" t="s">
        <v>1779</v>
      </c>
    </row>
    <row r="598" spans="1:8" x14ac:dyDescent="0.3">
      <c r="A598" s="161">
        <v>45892</v>
      </c>
      <c r="B598" s="162" t="s">
        <v>1108</v>
      </c>
      <c r="C598" s="162" t="s">
        <v>1005</v>
      </c>
      <c r="D598" s="162">
        <v>30</v>
      </c>
      <c r="E598" s="162">
        <v>0</v>
      </c>
      <c r="F598" s="162">
        <v>56723.12</v>
      </c>
      <c r="G598" s="162" t="s">
        <v>91</v>
      </c>
      <c r="H598" s="162" t="s">
        <v>1680</v>
      </c>
    </row>
    <row r="599" spans="1:8" x14ac:dyDescent="0.3">
      <c r="A599" s="161">
        <v>45892</v>
      </c>
      <c r="B599" s="162" t="s">
        <v>1110</v>
      </c>
      <c r="C599" s="162" t="s">
        <v>1005</v>
      </c>
      <c r="D599" s="162">
        <v>1000</v>
      </c>
      <c r="E599" s="162">
        <v>0</v>
      </c>
      <c r="F599" s="162">
        <v>55723.12</v>
      </c>
      <c r="G599" s="162" t="s">
        <v>1028</v>
      </c>
      <c r="H599" s="162" t="s">
        <v>1680</v>
      </c>
    </row>
    <row r="600" spans="1:8" x14ac:dyDescent="0.3">
      <c r="A600" s="161">
        <v>45892</v>
      </c>
      <c r="B600" s="162" t="s">
        <v>1106</v>
      </c>
      <c r="C600" s="162" t="s">
        <v>1005</v>
      </c>
      <c r="D600" s="162">
        <v>200</v>
      </c>
      <c r="E600" s="162">
        <v>0</v>
      </c>
      <c r="F600" s="162">
        <v>56753.120000000003</v>
      </c>
      <c r="G600" s="162" t="s">
        <v>91</v>
      </c>
      <c r="H600" s="162" t="s">
        <v>1680</v>
      </c>
    </row>
    <row r="601" spans="1:8" x14ac:dyDescent="0.3">
      <c r="A601" s="161">
        <v>45892</v>
      </c>
      <c r="B601" s="162" t="s">
        <v>1105</v>
      </c>
      <c r="C601" s="162" t="s">
        <v>1005</v>
      </c>
      <c r="D601" s="162">
        <v>1000</v>
      </c>
      <c r="E601" s="162">
        <v>0</v>
      </c>
      <c r="F601" s="162">
        <v>56953.120000000003</v>
      </c>
      <c r="G601" s="162" t="s">
        <v>1028</v>
      </c>
      <c r="H601" s="162" t="s">
        <v>1680</v>
      </c>
    </row>
    <row r="602" spans="1:8" x14ac:dyDescent="0.3">
      <c r="A602" s="161">
        <v>45893</v>
      </c>
      <c r="B602" s="162" t="s">
        <v>443</v>
      </c>
      <c r="C602" s="162" t="s">
        <v>444</v>
      </c>
      <c r="D602" s="162">
        <v>35000</v>
      </c>
      <c r="E602" s="162">
        <v>0</v>
      </c>
      <c r="F602" s="162">
        <v>15312.67</v>
      </c>
      <c r="G602" s="162" t="s">
        <v>157</v>
      </c>
      <c r="H602" s="162" t="s">
        <v>1779</v>
      </c>
    </row>
    <row r="603" spans="1:8" x14ac:dyDescent="0.3">
      <c r="A603" s="161">
        <v>45894</v>
      </c>
      <c r="B603" s="162" t="s">
        <v>50</v>
      </c>
      <c r="C603" s="162" t="s">
        <v>447</v>
      </c>
      <c r="D603" s="162">
        <v>183</v>
      </c>
      <c r="E603" s="162">
        <v>0</v>
      </c>
      <c r="F603" s="162">
        <v>27237.56</v>
      </c>
      <c r="G603" s="162" t="s">
        <v>49</v>
      </c>
      <c r="H603" s="162" t="s">
        <v>1779</v>
      </c>
    </row>
    <row r="604" spans="1:8" x14ac:dyDescent="0.3">
      <c r="A604" s="161">
        <v>45894</v>
      </c>
      <c r="B604" s="162" t="s">
        <v>50</v>
      </c>
      <c r="C604" s="162" t="s">
        <v>448</v>
      </c>
      <c r="D604" s="162">
        <v>244.42</v>
      </c>
      <c r="E604" s="162">
        <v>0</v>
      </c>
      <c r="F604" s="162">
        <v>26993.14</v>
      </c>
      <c r="G604" s="162" t="s">
        <v>49</v>
      </c>
      <c r="H604" s="162" t="s">
        <v>1779</v>
      </c>
    </row>
    <row r="605" spans="1:8" x14ac:dyDescent="0.3">
      <c r="A605" s="161">
        <v>45894</v>
      </c>
      <c r="B605" s="162" t="s">
        <v>1111</v>
      </c>
      <c r="C605" s="162" t="s">
        <v>1005</v>
      </c>
      <c r="D605" s="162">
        <v>1875.87</v>
      </c>
      <c r="E605" s="162">
        <v>0</v>
      </c>
      <c r="F605" s="162">
        <v>53847.25</v>
      </c>
      <c r="G605" s="162" t="s">
        <v>1028</v>
      </c>
      <c r="H605" s="162" t="s">
        <v>1680</v>
      </c>
    </row>
    <row r="606" spans="1:8" x14ac:dyDescent="0.3">
      <c r="A606" s="161">
        <v>45894</v>
      </c>
      <c r="B606" s="162" t="s">
        <v>445</v>
      </c>
      <c r="C606" s="162" t="s">
        <v>446</v>
      </c>
      <c r="D606" s="162">
        <v>0</v>
      </c>
      <c r="E606" s="162">
        <v>12107.89</v>
      </c>
      <c r="F606" s="162">
        <v>27420.560000000001</v>
      </c>
      <c r="G606" s="162" t="s">
        <v>49</v>
      </c>
      <c r="H606" s="162" t="s">
        <v>1779</v>
      </c>
    </row>
    <row r="607" spans="1:8" x14ac:dyDescent="0.3">
      <c r="A607" s="161">
        <v>45895</v>
      </c>
      <c r="B607" s="162" t="s">
        <v>50</v>
      </c>
      <c r="C607" s="162" t="s">
        <v>449</v>
      </c>
      <c r="D607" s="162">
        <v>57.24</v>
      </c>
      <c r="E607" s="162">
        <v>0</v>
      </c>
      <c r="F607" s="162">
        <v>26935.9</v>
      </c>
      <c r="G607" s="162" t="s">
        <v>49</v>
      </c>
      <c r="H607" s="162" t="s">
        <v>1779</v>
      </c>
    </row>
    <row r="608" spans="1:8" x14ac:dyDescent="0.3">
      <c r="A608" s="161">
        <v>45895</v>
      </c>
      <c r="B608" s="162" t="s">
        <v>50</v>
      </c>
      <c r="C608" s="162" t="s">
        <v>450</v>
      </c>
      <c r="D608" s="162">
        <v>2406.0700000000002</v>
      </c>
      <c r="E608" s="162">
        <v>0</v>
      </c>
      <c r="F608" s="162">
        <v>24529.83</v>
      </c>
      <c r="G608" s="162" t="s">
        <v>49</v>
      </c>
      <c r="H608" s="162" t="s">
        <v>1779</v>
      </c>
    </row>
    <row r="609" spans="1:8" x14ac:dyDescent="0.3">
      <c r="A609" s="161">
        <v>45895</v>
      </c>
      <c r="B609" s="162" t="s">
        <v>1112</v>
      </c>
      <c r="C609" s="162" t="s">
        <v>1005</v>
      </c>
      <c r="D609" s="162">
        <v>87</v>
      </c>
      <c r="E609" s="162">
        <v>0</v>
      </c>
      <c r="F609" s="162">
        <v>53760.25</v>
      </c>
      <c r="G609" s="162" t="s">
        <v>91</v>
      </c>
      <c r="H609" s="162" t="s">
        <v>1680</v>
      </c>
    </row>
    <row r="610" spans="1:8" x14ac:dyDescent="0.3">
      <c r="A610" s="161">
        <v>45895</v>
      </c>
      <c r="B610" s="162" t="s">
        <v>1114</v>
      </c>
      <c r="C610" s="162" t="s">
        <v>1005</v>
      </c>
      <c r="D610" s="162">
        <v>80</v>
      </c>
      <c r="E610" s="162">
        <v>0</v>
      </c>
      <c r="F610" s="162">
        <v>53680.25</v>
      </c>
      <c r="G610" s="162" t="s">
        <v>91</v>
      </c>
      <c r="H610" s="162" t="s">
        <v>1680</v>
      </c>
    </row>
    <row r="611" spans="1:8" x14ac:dyDescent="0.3">
      <c r="A611" s="161">
        <v>45896</v>
      </c>
      <c r="B611" s="162" t="s">
        <v>1120</v>
      </c>
      <c r="C611" s="162" t="s">
        <v>1005</v>
      </c>
      <c r="D611" s="162">
        <v>67</v>
      </c>
      <c r="E611" s="162">
        <v>0</v>
      </c>
      <c r="F611" s="162">
        <v>53363.25</v>
      </c>
      <c r="G611" s="162" t="s">
        <v>91</v>
      </c>
      <c r="H611" s="162" t="s">
        <v>1680</v>
      </c>
    </row>
    <row r="612" spans="1:8" x14ac:dyDescent="0.3">
      <c r="A612" s="161">
        <v>45896</v>
      </c>
      <c r="B612" s="162" t="s">
        <v>1116</v>
      </c>
      <c r="C612" s="162" t="s">
        <v>1005</v>
      </c>
      <c r="D612" s="162">
        <v>150</v>
      </c>
      <c r="E612" s="162">
        <v>0</v>
      </c>
      <c r="F612" s="162">
        <v>53530.25</v>
      </c>
      <c r="G612" s="162" t="s">
        <v>91</v>
      </c>
      <c r="H612" s="162" t="s">
        <v>1680</v>
      </c>
    </row>
    <row r="613" spans="1:8" x14ac:dyDescent="0.3">
      <c r="A613" s="161">
        <v>45896</v>
      </c>
      <c r="B613" s="162" t="s">
        <v>1118</v>
      </c>
      <c r="C613" s="162" t="s">
        <v>1005</v>
      </c>
      <c r="D613" s="162">
        <v>100</v>
      </c>
      <c r="E613" s="162">
        <v>0</v>
      </c>
      <c r="F613" s="162">
        <v>53430.25</v>
      </c>
      <c r="G613" s="162" t="s">
        <v>91</v>
      </c>
      <c r="H613" s="162" t="s">
        <v>1680</v>
      </c>
    </row>
    <row r="614" spans="1:8" x14ac:dyDescent="0.3">
      <c r="A614" s="161">
        <v>45896</v>
      </c>
      <c r="B614" s="162" t="s">
        <v>1122</v>
      </c>
      <c r="C614" s="162" t="s">
        <v>1005</v>
      </c>
      <c r="D614" s="162">
        <v>210</v>
      </c>
      <c r="E614" s="162">
        <v>0</v>
      </c>
      <c r="F614" s="162">
        <v>53153.25</v>
      </c>
      <c r="G614" s="162" t="s">
        <v>91</v>
      </c>
      <c r="H614" s="162" t="s">
        <v>1680</v>
      </c>
    </row>
    <row r="615" spans="1:8" x14ac:dyDescent="0.3">
      <c r="A615" s="161">
        <v>45896</v>
      </c>
      <c r="B615" s="162" t="s">
        <v>1124</v>
      </c>
      <c r="C615" s="162" t="s">
        <v>1005</v>
      </c>
      <c r="D615" s="162">
        <v>150</v>
      </c>
      <c r="E615" s="162">
        <v>0</v>
      </c>
      <c r="F615" s="162">
        <v>53003.25</v>
      </c>
      <c r="G615" s="162" t="s">
        <v>91</v>
      </c>
      <c r="H615" s="162" t="s">
        <v>1680</v>
      </c>
    </row>
    <row r="616" spans="1:8" x14ac:dyDescent="0.3">
      <c r="A616" s="161">
        <v>45896</v>
      </c>
      <c r="B616" s="162" t="s">
        <v>1126</v>
      </c>
      <c r="C616" s="162" t="s">
        <v>1005</v>
      </c>
      <c r="D616" s="162">
        <v>87</v>
      </c>
      <c r="E616" s="162">
        <v>0</v>
      </c>
      <c r="F616" s="162">
        <v>52916.25</v>
      </c>
      <c r="G616" s="162" t="s">
        <v>91</v>
      </c>
      <c r="H616" s="162" t="s">
        <v>1680</v>
      </c>
    </row>
    <row r="617" spans="1:8" x14ac:dyDescent="0.3">
      <c r="A617" s="161">
        <v>45897</v>
      </c>
      <c r="B617" s="162" t="s">
        <v>451</v>
      </c>
      <c r="C617" s="162" t="s">
        <v>452</v>
      </c>
      <c r="D617" s="162">
        <v>5000</v>
      </c>
      <c r="E617" s="162">
        <v>0</v>
      </c>
      <c r="F617" s="162">
        <v>19529.830000000002</v>
      </c>
      <c r="G617" s="162" t="s">
        <v>2</v>
      </c>
      <c r="H617" s="162" t="s">
        <v>1779</v>
      </c>
    </row>
    <row r="618" spans="1:8" x14ac:dyDescent="0.3">
      <c r="A618" s="161">
        <v>45897</v>
      </c>
      <c r="B618" s="162" t="s">
        <v>1134</v>
      </c>
      <c r="C618" s="162" t="s">
        <v>1005</v>
      </c>
      <c r="D618" s="162">
        <v>100</v>
      </c>
      <c r="E618" s="162">
        <v>0</v>
      </c>
      <c r="F618" s="162">
        <v>52515.25</v>
      </c>
      <c r="G618" s="162" t="s">
        <v>91</v>
      </c>
      <c r="H618" s="162" t="s">
        <v>1680</v>
      </c>
    </row>
    <row r="619" spans="1:8" x14ac:dyDescent="0.3">
      <c r="A619" s="161">
        <v>45897</v>
      </c>
      <c r="B619" s="162" t="s">
        <v>1132</v>
      </c>
      <c r="C619" s="162" t="s">
        <v>1005</v>
      </c>
      <c r="D619" s="162">
        <v>95</v>
      </c>
      <c r="E619" s="162">
        <v>0</v>
      </c>
      <c r="F619" s="162">
        <v>52615.25</v>
      </c>
      <c r="G619" s="162" t="s">
        <v>91</v>
      </c>
      <c r="H619" s="162" t="s">
        <v>1680</v>
      </c>
    </row>
    <row r="620" spans="1:8" x14ac:dyDescent="0.3">
      <c r="A620" s="161">
        <v>45897</v>
      </c>
      <c r="B620" s="162" t="s">
        <v>1128</v>
      </c>
      <c r="C620" s="162" t="s">
        <v>1005</v>
      </c>
      <c r="D620" s="162">
        <v>181</v>
      </c>
      <c r="E620" s="162">
        <v>0</v>
      </c>
      <c r="F620" s="162">
        <v>52735.25</v>
      </c>
      <c r="G620" s="162" t="s">
        <v>91</v>
      </c>
      <c r="H620" s="162" t="s">
        <v>1680</v>
      </c>
    </row>
    <row r="621" spans="1:8" x14ac:dyDescent="0.3">
      <c r="A621" s="161">
        <v>45897</v>
      </c>
      <c r="B621" s="162" t="s">
        <v>1130</v>
      </c>
      <c r="C621" s="162" t="s">
        <v>1005</v>
      </c>
      <c r="D621" s="162">
        <v>25</v>
      </c>
      <c r="E621" s="162">
        <v>0</v>
      </c>
      <c r="F621" s="162">
        <v>52710.25</v>
      </c>
      <c r="G621" s="162" t="s">
        <v>91</v>
      </c>
      <c r="H621" s="162" t="s">
        <v>1680</v>
      </c>
    </row>
    <row r="622" spans="1:8" x14ac:dyDescent="0.3">
      <c r="A622" s="161">
        <v>45897</v>
      </c>
      <c r="B622" s="162" t="s">
        <v>50</v>
      </c>
      <c r="C622" s="162" t="s">
        <v>453</v>
      </c>
      <c r="D622" s="162">
        <v>112.76</v>
      </c>
      <c r="E622" s="162">
        <v>0</v>
      </c>
      <c r="F622" s="162">
        <v>19417.07</v>
      </c>
      <c r="G622" s="162" t="s">
        <v>49</v>
      </c>
      <c r="H622" s="162" t="s">
        <v>1779</v>
      </c>
    </row>
    <row r="623" spans="1:8" x14ac:dyDescent="0.3">
      <c r="A623" s="161">
        <v>45897</v>
      </c>
      <c r="B623" s="162" t="s">
        <v>454</v>
      </c>
      <c r="C623" s="162" t="s">
        <v>455</v>
      </c>
      <c r="D623" s="162">
        <v>0</v>
      </c>
      <c r="E623" s="162">
        <v>1</v>
      </c>
      <c r="F623" s="162">
        <v>19418.07</v>
      </c>
      <c r="G623" s="162" t="s">
        <v>17</v>
      </c>
      <c r="H623" s="162" t="s">
        <v>1779</v>
      </c>
    </row>
    <row r="624" spans="1:8" x14ac:dyDescent="0.3">
      <c r="A624" s="161">
        <v>45897</v>
      </c>
      <c r="B624" s="162" t="s">
        <v>50</v>
      </c>
      <c r="C624" s="162" t="s">
        <v>456</v>
      </c>
      <c r="D624" s="162">
        <v>1661.64</v>
      </c>
      <c r="E624" s="162">
        <v>0</v>
      </c>
      <c r="F624" s="162">
        <v>17756.43</v>
      </c>
      <c r="G624" s="162" t="s">
        <v>49</v>
      </c>
      <c r="H624" s="162" t="s">
        <v>1779</v>
      </c>
    </row>
    <row r="625" spans="1:8" x14ac:dyDescent="0.3">
      <c r="A625" s="161">
        <v>45897.259502314817</v>
      </c>
      <c r="B625" s="162" t="s">
        <v>2256</v>
      </c>
      <c r="C625" s="162" t="s">
        <v>2257</v>
      </c>
      <c r="D625" s="162">
        <v>238</v>
      </c>
      <c r="E625" s="162">
        <v>0</v>
      </c>
      <c r="F625" s="162">
        <v>23786.29</v>
      </c>
      <c r="G625" s="162" t="s">
        <v>91</v>
      </c>
      <c r="H625" s="162" t="s">
        <v>1019</v>
      </c>
    </row>
    <row r="626" spans="1:8" x14ac:dyDescent="0.3">
      <c r="A626" s="161">
        <v>45897.315370370372</v>
      </c>
      <c r="B626" s="162" t="s">
        <v>2258</v>
      </c>
      <c r="C626" s="162" t="s">
        <v>2259</v>
      </c>
      <c r="D626" s="162">
        <v>7000</v>
      </c>
      <c r="E626" s="162">
        <v>0</v>
      </c>
      <c r="F626" s="162">
        <v>16786.29</v>
      </c>
      <c r="G626" s="162" t="s">
        <v>2</v>
      </c>
      <c r="H626" s="162" t="s">
        <v>1019</v>
      </c>
    </row>
    <row r="627" spans="1:8" x14ac:dyDescent="0.3">
      <c r="A627" s="161">
        <v>45897.584131944437</v>
      </c>
      <c r="B627" s="162" t="s">
        <v>2260</v>
      </c>
      <c r="C627" s="162" t="s">
        <v>2261</v>
      </c>
      <c r="D627" s="162">
        <v>0</v>
      </c>
      <c r="E627" s="162">
        <v>82.79</v>
      </c>
      <c r="F627" s="162">
        <v>16869.080000000002</v>
      </c>
      <c r="G627" s="162" t="s">
        <v>1658</v>
      </c>
      <c r="H627" s="162" t="s">
        <v>1019</v>
      </c>
    </row>
    <row r="628" spans="1:8" x14ac:dyDescent="0.3">
      <c r="A628" s="161">
        <v>45898</v>
      </c>
      <c r="B628" s="162" t="s">
        <v>1136</v>
      </c>
      <c r="C628" s="162" t="s">
        <v>1005</v>
      </c>
      <c r="D628" s="162">
        <v>800</v>
      </c>
      <c r="E628" s="162">
        <v>0</v>
      </c>
      <c r="F628" s="162">
        <v>51715.25</v>
      </c>
      <c r="G628" s="162" t="s">
        <v>137</v>
      </c>
      <c r="H628" s="162" t="s">
        <v>1680</v>
      </c>
    </row>
    <row r="629" spans="1:8" x14ac:dyDescent="0.3">
      <c r="A629" s="161">
        <v>45898</v>
      </c>
      <c r="B629" s="162" t="s">
        <v>1137</v>
      </c>
      <c r="C629" s="162" t="s">
        <v>1005</v>
      </c>
      <c r="D629" s="162">
        <v>80</v>
      </c>
      <c r="E629" s="162">
        <v>0</v>
      </c>
      <c r="F629" s="162">
        <v>51635.25</v>
      </c>
      <c r="G629" s="162" t="s">
        <v>91</v>
      </c>
      <c r="H629" s="162" t="s">
        <v>1680</v>
      </c>
    </row>
    <row r="630" spans="1:8" x14ac:dyDescent="0.3">
      <c r="A630" s="161">
        <v>45898</v>
      </c>
      <c r="B630" s="162" t="s">
        <v>1139</v>
      </c>
      <c r="C630" s="162" t="s">
        <v>1005</v>
      </c>
      <c r="D630" s="162">
        <v>15</v>
      </c>
      <c r="E630" s="162">
        <v>0</v>
      </c>
      <c r="F630" s="162">
        <v>51620.25</v>
      </c>
      <c r="G630" s="162" t="s">
        <v>91</v>
      </c>
      <c r="H630" s="162" t="s">
        <v>1680</v>
      </c>
    </row>
    <row r="631" spans="1:8" x14ac:dyDescent="0.3">
      <c r="A631" s="161">
        <v>45898</v>
      </c>
      <c r="B631" s="162" t="s">
        <v>458</v>
      </c>
      <c r="C631" s="162" t="s">
        <v>459</v>
      </c>
      <c r="D631" s="162">
        <v>0</v>
      </c>
      <c r="E631" s="162">
        <v>22</v>
      </c>
      <c r="F631" s="162">
        <v>17722.64</v>
      </c>
      <c r="G631" s="162" t="s">
        <v>17</v>
      </c>
      <c r="H631" s="162" t="s">
        <v>1779</v>
      </c>
    </row>
    <row r="632" spans="1:8" x14ac:dyDescent="0.3">
      <c r="A632" s="161">
        <v>45898</v>
      </c>
      <c r="B632" s="162" t="s">
        <v>50</v>
      </c>
      <c r="C632" s="162" t="s">
        <v>460</v>
      </c>
      <c r="D632" s="162">
        <v>722.74</v>
      </c>
      <c r="E632" s="162">
        <v>0</v>
      </c>
      <c r="F632" s="162">
        <v>16999.900000000001</v>
      </c>
      <c r="G632" s="162" t="s">
        <v>49</v>
      </c>
      <c r="H632" s="162" t="s">
        <v>1779</v>
      </c>
    </row>
    <row r="633" spans="1:8" x14ac:dyDescent="0.3">
      <c r="A633" s="161">
        <v>45898</v>
      </c>
      <c r="B633" s="162" t="s">
        <v>50</v>
      </c>
      <c r="C633" s="162" t="s">
        <v>457</v>
      </c>
      <c r="D633" s="162">
        <v>55.79</v>
      </c>
      <c r="E633" s="162">
        <v>0</v>
      </c>
      <c r="F633" s="162">
        <v>17700.64</v>
      </c>
      <c r="G633" s="162" t="s">
        <v>49</v>
      </c>
      <c r="H633" s="162" t="s">
        <v>1779</v>
      </c>
    </row>
    <row r="634" spans="1:8" x14ac:dyDescent="0.3">
      <c r="A634" s="161">
        <v>45898.81658564815</v>
      </c>
      <c r="B634" s="162" t="s">
        <v>2262</v>
      </c>
      <c r="C634" s="162" t="s">
        <v>2263</v>
      </c>
      <c r="D634" s="162">
        <v>0</v>
      </c>
      <c r="E634" s="162">
        <v>110</v>
      </c>
      <c r="F634" s="162">
        <v>16979.080000000002</v>
      </c>
      <c r="G634" s="162" t="s">
        <v>17</v>
      </c>
      <c r="H634" s="162" t="s">
        <v>1019</v>
      </c>
    </row>
    <row r="635" spans="1:8" x14ac:dyDescent="0.3">
      <c r="A635" s="161">
        <v>45899</v>
      </c>
      <c r="B635" s="162" t="s">
        <v>1143</v>
      </c>
      <c r="C635" s="162" t="s">
        <v>1005</v>
      </c>
      <c r="D635" s="162">
        <v>1000</v>
      </c>
      <c r="E635" s="162">
        <v>0</v>
      </c>
      <c r="F635" s="162">
        <v>50593.25</v>
      </c>
      <c r="G635" s="162" t="s">
        <v>1028</v>
      </c>
      <c r="H635" s="162" t="s">
        <v>1680</v>
      </c>
    </row>
    <row r="636" spans="1:8" x14ac:dyDescent="0.3">
      <c r="A636" s="161">
        <v>45899</v>
      </c>
      <c r="B636" s="162" t="s">
        <v>1141</v>
      </c>
      <c r="C636" s="162" t="s">
        <v>1005</v>
      </c>
      <c r="D636" s="162">
        <v>27</v>
      </c>
      <c r="E636" s="162">
        <v>0</v>
      </c>
      <c r="F636" s="162">
        <v>51593.25</v>
      </c>
      <c r="G636" s="162" t="s">
        <v>91</v>
      </c>
      <c r="H636" s="162" t="s">
        <v>1680</v>
      </c>
    </row>
    <row r="637" spans="1:8" x14ac:dyDescent="0.3">
      <c r="A637" s="161">
        <v>45900</v>
      </c>
      <c r="B637" s="162" t="s">
        <v>1145</v>
      </c>
      <c r="C637" s="162" t="s">
        <v>1005</v>
      </c>
      <c r="D637" s="162">
        <v>1</v>
      </c>
      <c r="E637" s="162">
        <v>0</v>
      </c>
      <c r="F637" s="162">
        <v>50282.25</v>
      </c>
      <c r="G637" s="162" t="s">
        <v>157</v>
      </c>
      <c r="H637" s="162" t="s">
        <v>1680</v>
      </c>
    </row>
    <row r="638" spans="1:8" x14ac:dyDescent="0.3">
      <c r="A638" s="161">
        <v>45900</v>
      </c>
      <c r="B638" s="162" t="s">
        <v>1144</v>
      </c>
      <c r="C638" s="162" t="s">
        <v>1005</v>
      </c>
      <c r="D638" s="162">
        <v>310</v>
      </c>
      <c r="E638" s="162">
        <v>0</v>
      </c>
      <c r="F638" s="162">
        <v>50283.25</v>
      </c>
      <c r="G638" s="162" t="s">
        <v>1053</v>
      </c>
      <c r="H638" s="162" t="s">
        <v>1680</v>
      </c>
    </row>
    <row r="639" spans="1:8" x14ac:dyDescent="0.3">
      <c r="A639" s="161">
        <v>45900.500520833331</v>
      </c>
      <c r="B639" s="162" t="s">
        <v>2264</v>
      </c>
      <c r="C639" s="162" t="s">
        <v>2265</v>
      </c>
      <c r="D639" s="162">
        <v>500</v>
      </c>
      <c r="E639" s="162">
        <v>0</v>
      </c>
      <c r="F639" s="162">
        <v>16479.080000000002</v>
      </c>
      <c r="G639" s="162" t="s">
        <v>91</v>
      </c>
      <c r="H639" s="162" t="s">
        <v>1019</v>
      </c>
    </row>
    <row r="640" spans="1:8" x14ac:dyDescent="0.3">
      <c r="A640" s="161">
        <v>45900.56832175926</v>
      </c>
      <c r="B640" s="162" t="s">
        <v>2266</v>
      </c>
      <c r="C640" s="162" t="s">
        <v>2267</v>
      </c>
      <c r="D640" s="162">
        <v>297</v>
      </c>
      <c r="E640" s="162">
        <v>0</v>
      </c>
      <c r="F640" s="162">
        <v>16182.08</v>
      </c>
      <c r="G640" s="162" t="s">
        <v>91</v>
      </c>
      <c r="H640" s="162" t="s">
        <v>1019</v>
      </c>
    </row>
    <row r="641" spans="1:8" x14ac:dyDescent="0.3">
      <c r="A641" s="161">
        <v>45901</v>
      </c>
      <c r="B641" s="162" t="s">
        <v>1149</v>
      </c>
      <c r="C641" s="162" t="s">
        <v>1005</v>
      </c>
      <c r="D641" s="162">
        <v>18200</v>
      </c>
      <c r="E641" s="162">
        <v>0</v>
      </c>
      <c r="F641" s="162">
        <v>61322.25</v>
      </c>
      <c r="G641" s="162" t="s">
        <v>181</v>
      </c>
      <c r="H641" s="162" t="s">
        <v>1680</v>
      </c>
    </row>
    <row r="642" spans="1:8" x14ac:dyDescent="0.3">
      <c r="A642" s="161">
        <v>45901</v>
      </c>
      <c r="B642" s="162" t="s">
        <v>1726</v>
      </c>
      <c r="C642" s="162"/>
      <c r="D642" s="162">
        <v>0</v>
      </c>
      <c r="E642" s="162">
        <v>40000</v>
      </c>
      <c r="F642" s="162">
        <v>46688.959999999999</v>
      </c>
      <c r="G642" s="162" t="s">
        <v>1680</v>
      </c>
      <c r="H642" s="162" t="s">
        <v>837</v>
      </c>
    </row>
    <row r="643" spans="1:8" x14ac:dyDescent="0.3">
      <c r="A643" s="161">
        <v>45901</v>
      </c>
      <c r="B643" s="162" t="s">
        <v>461</v>
      </c>
      <c r="C643" s="162" t="s">
        <v>462</v>
      </c>
      <c r="D643" s="162">
        <v>0</v>
      </c>
      <c r="E643" s="162">
        <v>130</v>
      </c>
      <c r="F643" s="162">
        <v>17129.900000000001</v>
      </c>
      <c r="G643" s="162" t="s">
        <v>17</v>
      </c>
      <c r="H643" s="162" t="s">
        <v>1779</v>
      </c>
    </row>
    <row r="644" spans="1:8" x14ac:dyDescent="0.3">
      <c r="A644" s="161">
        <v>45901</v>
      </c>
      <c r="B644" s="162" t="s">
        <v>1727</v>
      </c>
      <c r="C644" s="162"/>
      <c r="D644" s="162">
        <v>20000</v>
      </c>
      <c r="E644" s="162">
        <v>0</v>
      </c>
      <c r="F644" s="162">
        <v>26688.959999999999</v>
      </c>
      <c r="G644" s="162" t="s">
        <v>149</v>
      </c>
      <c r="H644" s="162" t="s">
        <v>837</v>
      </c>
    </row>
    <row r="645" spans="1:8" x14ac:dyDescent="0.3">
      <c r="A645" s="161">
        <v>45901</v>
      </c>
      <c r="B645" s="162" t="s">
        <v>1728</v>
      </c>
      <c r="C645" s="162"/>
      <c r="D645" s="162">
        <v>0</v>
      </c>
      <c r="E645" s="162">
        <v>48000</v>
      </c>
      <c r="F645" s="162">
        <v>74688.960000000006</v>
      </c>
      <c r="G645" s="162" t="s">
        <v>157</v>
      </c>
      <c r="H645" s="162" t="s">
        <v>837</v>
      </c>
    </row>
    <row r="646" spans="1:8" x14ac:dyDescent="0.3">
      <c r="A646" s="161">
        <v>45901</v>
      </c>
      <c r="B646" s="162" t="s">
        <v>1725</v>
      </c>
      <c r="C646" s="162"/>
      <c r="D646" s="162">
        <v>30000</v>
      </c>
      <c r="E646" s="162">
        <v>0</v>
      </c>
      <c r="F646" s="162">
        <v>6688.96</v>
      </c>
      <c r="G646" s="162" t="s">
        <v>157</v>
      </c>
      <c r="H646" s="162" t="s">
        <v>837</v>
      </c>
    </row>
    <row r="647" spans="1:8" x14ac:dyDescent="0.3">
      <c r="A647" s="161">
        <v>45901</v>
      </c>
      <c r="B647" s="162" t="s">
        <v>1724</v>
      </c>
      <c r="C647" s="162"/>
      <c r="D647" s="162">
        <v>0</v>
      </c>
      <c r="E647" s="162">
        <v>25000</v>
      </c>
      <c r="F647" s="162">
        <v>36688.959999999999</v>
      </c>
      <c r="G647" s="162" t="s">
        <v>1680</v>
      </c>
      <c r="H647" s="162" t="s">
        <v>837</v>
      </c>
    </row>
    <row r="648" spans="1:8" x14ac:dyDescent="0.3">
      <c r="A648" s="161">
        <v>45901</v>
      </c>
      <c r="B648" s="162" t="s">
        <v>1145</v>
      </c>
      <c r="C648" s="162" t="s">
        <v>1005</v>
      </c>
      <c r="D648" s="162">
        <v>20000</v>
      </c>
      <c r="E648" s="162">
        <v>0</v>
      </c>
      <c r="F648" s="162">
        <v>30282.25</v>
      </c>
      <c r="G648" s="162" t="s">
        <v>157</v>
      </c>
      <c r="H648" s="162" t="s">
        <v>1680</v>
      </c>
    </row>
    <row r="649" spans="1:8" x14ac:dyDescent="0.3">
      <c r="A649" s="161">
        <v>45901</v>
      </c>
      <c r="B649" s="162" t="s">
        <v>1146</v>
      </c>
      <c r="C649" s="162" t="s">
        <v>1005</v>
      </c>
      <c r="D649" s="162">
        <v>25000</v>
      </c>
      <c r="E649" s="162">
        <v>0</v>
      </c>
      <c r="F649" s="162">
        <v>5282.25</v>
      </c>
      <c r="G649" s="162" t="s">
        <v>837</v>
      </c>
      <c r="H649" s="162" t="s">
        <v>1680</v>
      </c>
    </row>
    <row r="650" spans="1:8" x14ac:dyDescent="0.3">
      <c r="A650" s="161">
        <v>45901</v>
      </c>
      <c r="B650" s="162" t="s">
        <v>1147</v>
      </c>
      <c r="C650" s="162" t="s">
        <v>1005</v>
      </c>
      <c r="D650" s="162">
        <v>0</v>
      </c>
      <c r="E650" s="162">
        <v>114240</v>
      </c>
      <c r="F650" s="162">
        <v>119522.25</v>
      </c>
      <c r="G650" s="162" t="s">
        <v>972</v>
      </c>
      <c r="H650" s="162" t="s">
        <v>1680</v>
      </c>
    </row>
    <row r="651" spans="1:8" x14ac:dyDescent="0.3">
      <c r="A651" s="161">
        <v>45901</v>
      </c>
      <c r="B651" s="162" t="s">
        <v>1150</v>
      </c>
      <c r="C651" s="162" t="s">
        <v>1005</v>
      </c>
      <c r="D651" s="162">
        <v>0</v>
      </c>
      <c r="E651" s="162">
        <v>20000</v>
      </c>
      <c r="F651" s="162">
        <v>81322.25</v>
      </c>
      <c r="G651" s="162" t="s">
        <v>157</v>
      </c>
      <c r="H651" s="162" t="s">
        <v>1680</v>
      </c>
    </row>
    <row r="652" spans="1:8" x14ac:dyDescent="0.3">
      <c r="A652" s="161">
        <v>45901</v>
      </c>
      <c r="B652" s="162" t="s">
        <v>1148</v>
      </c>
      <c r="C652" s="162" t="s">
        <v>1005</v>
      </c>
      <c r="D652" s="162">
        <v>40000</v>
      </c>
      <c r="E652" s="162">
        <v>0</v>
      </c>
      <c r="F652" s="162">
        <v>79522.25</v>
      </c>
      <c r="G652" s="162" t="s">
        <v>837</v>
      </c>
      <c r="H652" s="162" t="s">
        <v>1680</v>
      </c>
    </row>
    <row r="653" spans="1:8" x14ac:dyDescent="0.3">
      <c r="A653" s="161">
        <v>45901.689432870371</v>
      </c>
      <c r="B653" s="162" t="s">
        <v>2268</v>
      </c>
      <c r="C653" s="162" t="s">
        <v>2269</v>
      </c>
      <c r="D653" s="162">
        <v>0</v>
      </c>
      <c r="E653" s="162">
        <v>10</v>
      </c>
      <c r="F653" s="162">
        <v>16192.08</v>
      </c>
      <c r="G653" s="162" t="s">
        <v>181</v>
      </c>
      <c r="H653" s="162" t="s">
        <v>1019</v>
      </c>
    </row>
    <row r="654" spans="1:8" x14ac:dyDescent="0.3">
      <c r="A654" s="161">
        <v>45901.95684027778</v>
      </c>
      <c r="B654" s="162" t="s">
        <v>2270</v>
      </c>
      <c r="C654" s="162" t="s">
        <v>2271</v>
      </c>
      <c r="D654" s="162">
        <v>1377</v>
      </c>
      <c r="E654" s="162">
        <v>0</v>
      </c>
      <c r="F654" s="162">
        <v>14815.08</v>
      </c>
      <c r="G654" s="162" t="s">
        <v>1189</v>
      </c>
      <c r="H654" s="162" t="s">
        <v>1019</v>
      </c>
    </row>
    <row r="655" spans="1:8" x14ac:dyDescent="0.3">
      <c r="A655" s="161">
        <v>45902</v>
      </c>
      <c r="B655" s="162" t="s">
        <v>1151</v>
      </c>
      <c r="C655" s="162" t="s">
        <v>1005</v>
      </c>
      <c r="D655" s="162">
        <v>315</v>
      </c>
      <c r="E655" s="162">
        <v>0</v>
      </c>
      <c r="F655" s="162">
        <v>81007.25</v>
      </c>
      <c r="G655" s="162" t="s">
        <v>91</v>
      </c>
      <c r="H655" s="162" t="s">
        <v>1680</v>
      </c>
    </row>
    <row r="656" spans="1:8" x14ac:dyDescent="0.3">
      <c r="A656" s="161">
        <v>45902</v>
      </c>
      <c r="B656" s="162" t="s">
        <v>463</v>
      </c>
      <c r="C656" s="162" t="s">
        <v>464</v>
      </c>
      <c r="D656" s="162">
        <v>0</v>
      </c>
      <c r="E656" s="162">
        <v>2392.4499999999998</v>
      </c>
      <c r="F656" s="162">
        <v>19522.349999999999</v>
      </c>
      <c r="G656" s="162" t="s">
        <v>49</v>
      </c>
      <c r="H656" s="162" t="s">
        <v>1779</v>
      </c>
    </row>
    <row r="657" spans="1:8" x14ac:dyDescent="0.3">
      <c r="A657" s="161">
        <v>45902</v>
      </c>
      <c r="B657" s="162" t="s">
        <v>1152</v>
      </c>
      <c r="C657" s="162" t="s">
        <v>1005</v>
      </c>
      <c r="D657" s="162">
        <v>347.56</v>
      </c>
      <c r="E657" s="162">
        <v>0</v>
      </c>
      <c r="F657" s="162">
        <v>80659.69</v>
      </c>
      <c r="G657" s="162" t="s">
        <v>91</v>
      </c>
      <c r="H657" s="162" t="s">
        <v>1680</v>
      </c>
    </row>
    <row r="658" spans="1:8" x14ac:dyDescent="0.3">
      <c r="A658" s="161">
        <v>45903</v>
      </c>
      <c r="B658" s="162" t="s">
        <v>465</v>
      </c>
      <c r="C658" s="162" t="s">
        <v>466</v>
      </c>
      <c r="D658" s="162">
        <v>0</v>
      </c>
      <c r="E658" s="162">
        <v>605</v>
      </c>
      <c r="F658" s="162">
        <v>20127.349999999999</v>
      </c>
      <c r="G658" s="162" t="s">
        <v>17</v>
      </c>
      <c r="H658" s="162" t="s">
        <v>1779</v>
      </c>
    </row>
    <row r="659" spans="1:8" x14ac:dyDescent="0.3">
      <c r="A659" s="161">
        <v>45903</v>
      </c>
      <c r="B659" s="162" t="s">
        <v>1154</v>
      </c>
      <c r="C659" s="162" t="s">
        <v>1005</v>
      </c>
      <c r="D659" s="162">
        <v>412</v>
      </c>
      <c r="E659" s="162">
        <v>0</v>
      </c>
      <c r="F659" s="162">
        <v>80247.69</v>
      </c>
      <c r="G659" s="162" t="s">
        <v>91</v>
      </c>
      <c r="H659" s="162" t="s">
        <v>1680</v>
      </c>
    </row>
    <row r="660" spans="1:8" x14ac:dyDescent="0.3">
      <c r="A660" s="161">
        <v>45903</v>
      </c>
      <c r="B660" s="162" t="s">
        <v>50</v>
      </c>
      <c r="C660" s="162" t="s">
        <v>467</v>
      </c>
      <c r="D660" s="162">
        <v>258.49</v>
      </c>
      <c r="E660" s="162">
        <v>0</v>
      </c>
      <c r="F660" s="162">
        <v>19868.86</v>
      </c>
      <c r="G660" s="162" t="s">
        <v>49</v>
      </c>
      <c r="H660" s="162" t="s">
        <v>1779</v>
      </c>
    </row>
    <row r="661" spans="1:8" x14ac:dyDescent="0.3">
      <c r="A661" s="161">
        <v>45903</v>
      </c>
      <c r="B661" s="162" t="s">
        <v>1729</v>
      </c>
      <c r="C661" s="162"/>
      <c r="D661" s="162">
        <v>23000</v>
      </c>
      <c r="E661" s="162">
        <v>0</v>
      </c>
      <c r="F661" s="162">
        <v>51688.959999999999</v>
      </c>
      <c r="G661" s="162" t="s">
        <v>990</v>
      </c>
      <c r="H661" s="162" t="s">
        <v>837</v>
      </c>
    </row>
    <row r="662" spans="1:8" x14ac:dyDescent="0.3">
      <c r="A662" s="161">
        <v>45903.812997685192</v>
      </c>
      <c r="B662" s="162" t="s">
        <v>2272</v>
      </c>
      <c r="C662" s="162" t="s">
        <v>2273</v>
      </c>
      <c r="D662" s="162">
        <v>0</v>
      </c>
      <c r="E662" s="162">
        <v>10.5</v>
      </c>
      <c r="F662" s="162">
        <v>14825.58</v>
      </c>
      <c r="G662" s="162" t="s">
        <v>17</v>
      </c>
      <c r="H662" s="162" t="s">
        <v>1019</v>
      </c>
    </row>
    <row r="663" spans="1:8" x14ac:dyDescent="0.3">
      <c r="A663" s="161">
        <v>45904</v>
      </c>
      <c r="B663" s="162" t="s">
        <v>50</v>
      </c>
      <c r="C663" s="162" t="s">
        <v>474</v>
      </c>
      <c r="D663" s="162">
        <v>56.39</v>
      </c>
      <c r="E663" s="162">
        <v>0</v>
      </c>
      <c r="F663" s="162">
        <v>32471.759999999998</v>
      </c>
      <c r="G663" s="162" t="s">
        <v>49</v>
      </c>
      <c r="H663" s="162" t="s">
        <v>1779</v>
      </c>
    </row>
    <row r="664" spans="1:8" x14ac:dyDescent="0.3">
      <c r="A664" s="161">
        <v>45904</v>
      </c>
      <c r="B664" s="162" t="s">
        <v>50</v>
      </c>
      <c r="C664" s="162" t="s">
        <v>475</v>
      </c>
      <c r="D664" s="162">
        <v>372.96</v>
      </c>
      <c r="E664" s="162">
        <v>0</v>
      </c>
      <c r="F664" s="162">
        <v>32098.799999999999</v>
      </c>
      <c r="G664" s="162" t="s">
        <v>49</v>
      </c>
      <c r="H664" s="162" t="s">
        <v>1779</v>
      </c>
    </row>
    <row r="665" spans="1:8" x14ac:dyDescent="0.3">
      <c r="A665" s="161">
        <v>45904</v>
      </c>
      <c r="B665" s="162" t="s">
        <v>472</v>
      </c>
      <c r="C665" s="162" t="s">
        <v>473</v>
      </c>
      <c r="D665" s="162">
        <v>0</v>
      </c>
      <c r="E665" s="162">
        <v>11855</v>
      </c>
      <c r="F665" s="162">
        <v>32528.15</v>
      </c>
      <c r="G665" s="162" t="s">
        <v>91</v>
      </c>
      <c r="H665" s="162" t="s">
        <v>1779</v>
      </c>
    </row>
    <row r="666" spans="1:8" x14ac:dyDescent="0.3">
      <c r="A666" s="161">
        <v>45904</v>
      </c>
      <c r="B666" s="162" t="s">
        <v>470</v>
      </c>
      <c r="C666" s="162" t="s">
        <v>471</v>
      </c>
      <c r="D666" s="162">
        <v>0</v>
      </c>
      <c r="E666" s="162">
        <v>545.79999999999995</v>
      </c>
      <c r="F666" s="162">
        <v>20673.150000000001</v>
      </c>
      <c r="G666" s="162" t="s">
        <v>49</v>
      </c>
      <c r="H666" s="162" t="s">
        <v>1779</v>
      </c>
    </row>
    <row r="667" spans="1:8" x14ac:dyDescent="0.3">
      <c r="A667" s="161">
        <v>45904</v>
      </c>
      <c r="B667" s="162" t="s">
        <v>468</v>
      </c>
      <c r="C667" s="162" t="s">
        <v>469</v>
      </c>
      <c r="D667" s="162">
        <v>0</v>
      </c>
      <c r="E667" s="162">
        <v>258.49</v>
      </c>
      <c r="F667" s="162">
        <v>20127.349999999999</v>
      </c>
      <c r="G667" s="162" t="s">
        <v>49</v>
      </c>
      <c r="H667" s="162" t="s">
        <v>1779</v>
      </c>
    </row>
    <row r="668" spans="1:8" x14ac:dyDescent="0.3">
      <c r="A668" s="161">
        <v>45905</v>
      </c>
      <c r="B668" s="162" t="s">
        <v>1730</v>
      </c>
      <c r="C668" s="162"/>
      <c r="D668" s="162">
        <v>0</v>
      </c>
      <c r="E668" s="162">
        <v>5</v>
      </c>
      <c r="F668" s="162">
        <v>51693.96</v>
      </c>
      <c r="G668" s="162" t="s">
        <v>91</v>
      </c>
      <c r="H668" s="162" t="s">
        <v>837</v>
      </c>
    </row>
    <row r="669" spans="1:8" x14ac:dyDescent="0.3">
      <c r="A669" s="161">
        <v>45905</v>
      </c>
      <c r="B669" s="162" t="s">
        <v>50</v>
      </c>
      <c r="C669" s="162" t="s">
        <v>476</v>
      </c>
      <c r="D669" s="162">
        <v>56.54</v>
      </c>
      <c r="E669" s="162">
        <v>0</v>
      </c>
      <c r="F669" s="162">
        <v>32042.26</v>
      </c>
      <c r="G669" s="162" t="s">
        <v>49</v>
      </c>
      <c r="H669" s="162" t="s">
        <v>1779</v>
      </c>
    </row>
    <row r="670" spans="1:8" x14ac:dyDescent="0.3">
      <c r="A670" s="161">
        <v>45906</v>
      </c>
      <c r="B670" s="162" t="s">
        <v>1731</v>
      </c>
      <c r="C670" s="162"/>
      <c r="D670" s="162">
        <v>0</v>
      </c>
      <c r="E670" s="162">
        <v>7220</v>
      </c>
      <c r="F670" s="162">
        <v>58913.96</v>
      </c>
      <c r="G670" s="162" t="s">
        <v>1732</v>
      </c>
      <c r="H670" s="162" t="s">
        <v>837</v>
      </c>
    </row>
    <row r="671" spans="1:8" x14ac:dyDescent="0.3">
      <c r="A671" s="161">
        <v>45906</v>
      </c>
      <c r="B671" s="162" t="s">
        <v>1158</v>
      </c>
      <c r="C671" s="162" t="s">
        <v>1005</v>
      </c>
      <c r="D671" s="162">
        <v>1000</v>
      </c>
      <c r="E671" s="162">
        <v>0</v>
      </c>
      <c r="F671" s="162">
        <v>79222.69</v>
      </c>
      <c r="G671" s="162" t="s">
        <v>1028</v>
      </c>
      <c r="H671" s="162" t="s">
        <v>1680</v>
      </c>
    </row>
    <row r="672" spans="1:8" x14ac:dyDescent="0.3">
      <c r="A672" s="161">
        <v>45906</v>
      </c>
      <c r="B672" s="162" t="s">
        <v>1156</v>
      </c>
      <c r="C672" s="162" t="s">
        <v>1005</v>
      </c>
      <c r="D672" s="162">
        <v>25</v>
      </c>
      <c r="E672" s="162">
        <v>0</v>
      </c>
      <c r="F672" s="162">
        <v>80222.69</v>
      </c>
      <c r="G672" s="162" t="s">
        <v>91</v>
      </c>
      <c r="H672" s="162" t="s">
        <v>1680</v>
      </c>
    </row>
    <row r="673" spans="1:8" x14ac:dyDescent="0.3">
      <c r="A673" s="161">
        <v>45907</v>
      </c>
      <c r="B673" s="162" t="s">
        <v>1160</v>
      </c>
      <c r="C673" s="162" t="s">
        <v>1005</v>
      </c>
      <c r="D673" s="162">
        <v>310</v>
      </c>
      <c r="E673" s="162">
        <v>0</v>
      </c>
      <c r="F673" s="162">
        <v>77912.69</v>
      </c>
      <c r="G673" s="162" t="s">
        <v>91</v>
      </c>
      <c r="H673" s="162" t="s">
        <v>1680</v>
      </c>
    </row>
    <row r="674" spans="1:8" x14ac:dyDescent="0.3">
      <c r="A674" s="161">
        <v>45907</v>
      </c>
      <c r="B674" s="162" t="s">
        <v>1159</v>
      </c>
      <c r="C674" s="162" t="s">
        <v>1005</v>
      </c>
      <c r="D674" s="162">
        <v>1000</v>
      </c>
      <c r="E674" s="162">
        <v>0</v>
      </c>
      <c r="F674" s="162">
        <v>78222.69</v>
      </c>
      <c r="G674" s="162" t="s">
        <v>1028</v>
      </c>
      <c r="H674" s="162" t="s">
        <v>1680</v>
      </c>
    </row>
    <row r="675" spans="1:8" x14ac:dyDescent="0.3">
      <c r="A675" s="161">
        <v>45907</v>
      </c>
      <c r="B675" s="162" t="s">
        <v>477</v>
      </c>
      <c r="C675" s="162" t="s">
        <v>478</v>
      </c>
      <c r="D675" s="162">
        <v>0</v>
      </c>
      <c r="E675" s="162">
        <v>1880</v>
      </c>
      <c r="F675" s="162">
        <v>33922.26</v>
      </c>
      <c r="G675" s="162" t="s">
        <v>63</v>
      </c>
      <c r="H675" s="162" t="s">
        <v>1779</v>
      </c>
    </row>
    <row r="676" spans="1:8" x14ac:dyDescent="0.3">
      <c r="A676" s="161">
        <v>45908</v>
      </c>
      <c r="B676" s="162" t="s">
        <v>479</v>
      </c>
      <c r="C676" s="162" t="s">
        <v>480</v>
      </c>
      <c r="D676" s="162">
        <v>0</v>
      </c>
      <c r="E676" s="162">
        <v>190</v>
      </c>
      <c r="F676" s="162">
        <v>34112.26</v>
      </c>
      <c r="G676" s="162" t="s">
        <v>17</v>
      </c>
      <c r="H676" s="162" t="s">
        <v>1779</v>
      </c>
    </row>
    <row r="677" spans="1:8" x14ac:dyDescent="0.3">
      <c r="A677" s="161">
        <v>45908</v>
      </c>
      <c r="B677" s="162" t="s">
        <v>50</v>
      </c>
      <c r="C677" s="162" t="s">
        <v>481</v>
      </c>
      <c r="D677" s="162">
        <v>467.11</v>
      </c>
      <c r="E677" s="162">
        <v>0</v>
      </c>
      <c r="F677" s="162">
        <v>33645.15</v>
      </c>
      <c r="G677" s="162" t="s">
        <v>49</v>
      </c>
      <c r="H677" s="162" t="s">
        <v>1779</v>
      </c>
    </row>
    <row r="678" spans="1:8" x14ac:dyDescent="0.3">
      <c r="A678" s="161">
        <v>45908</v>
      </c>
      <c r="B678" s="162" t="s">
        <v>1162</v>
      </c>
      <c r="C678" s="162" t="s">
        <v>1005</v>
      </c>
      <c r="D678" s="162">
        <v>800</v>
      </c>
      <c r="E678" s="162">
        <v>0</v>
      </c>
      <c r="F678" s="162">
        <v>77112.69</v>
      </c>
      <c r="G678" s="162" t="s">
        <v>91</v>
      </c>
      <c r="H678" s="162" t="s">
        <v>1680</v>
      </c>
    </row>
    <row r="679" spans="1:8" x14ac:dyDescent="0.3">
      <c r="A679" s="161">
        <v>45909</v>
      </c>
      <c r="B679" s="162" t="s">
        <v>50</v>
      </c>
      <c r="C679" s="162" t="s">
        <v>485</v>
      </c>
      <c r="D679" s="162">
        <v>157.87</v>
      </c>
      <c r="E679" s="162">
        <v>0</v>
      </c>
      <c r="F679" s="162">
        <v>49284.75</v>
      </c>
      <c r="G679" s="162" t="s">
        <v>49</v>
      </c>
      <c r="H679" s="162" t="s">
        <v>1779</v>
      </c>
    </row>
    <row r="680" spans="1:8" x14ac:dyDescent="0.3">
      <c r="A680" s="161">
        <v>45909</v>
      </c>
      <c r="B680" s="162" t="s">
        <v>1164</v>
      </c>
      <c r="C680" s="162" t="s">
        <v>1005</v>
      </c>
      <c r="D680" s="162">
        <v>1000</v>
      </c>
      <c r="E680" s="162">
        <v>0</v>
      </c>
      <c r="F680" s="162">
        <v>76112.69</v>
      </c>
      <c r="G680" s="162" t="s">
        <v>1028</v>
      </c>
      <c r="H680" s="162" t="s">
        <v>1680</v>
      </c>
    </row>
    <row r="681" spans="1:8" x14ac:dyDescent="0.3">
      <c r="A681" s="161">
        <v>45909</v>
      </c>
      <c r="B681" s="162" t="s">
        <v>50</v>
      </c>
      <c r="C681" s="162" t="s">
        <v>484</v>
      </c>
      <c r="D681" s="162">
        <v>56.44</v>
      </c>
      <c r="E681" s="162">
        <v>0</v>
      </c>
      <c r="F681" s="162">
        <v>49442.62</v>
      </c>
      <c r="G681" s="162" t="s">
        <v>49</v>
      </c>
      <c r="H681" s="162" t="s">
        <v>1779</v>
      </c>
    </row>
    <row r="682" spans="1:8" x14ac:dyDescent="0.3">
      <c r="A682" s="161">
        <v>45909</v>
      </c>
      <c r="B682" s="162" t="s">
        <v>1165</v>
      </c>
      <c r="C682" s="162" t="s">
        <v>1005</v>
      </c>
      <c r="D682" s="162">
        <v>1418.6</v>
      </c>
      <c r="E682" s="162">
        <v>0</v>
      </c>
      <c r="F682" s="162">
        <v>74694.09</v>
      </c>
      <c r="G682" s="162" t="s">
        <v>1014</v>
      </c>
      <c r="H682" s="162" t="s">
        <v>1680</v>
      </c>
    </row>
    <row r="683" spans="1:8" x14ac:dyDescent="0.3">
      <c r="A683" s="161">
        <v>45909</v>
      </c>
      <c r="B683" s="162" t="s">
        <v>482</v>
      </c>
      <c r="C683" s="162" t="s">
        <v>483</v>
      </c>
      <c r="D683" s="162">
        <v>0</v>
      </c>
      <c r="E683" s="162">
        <v>15853.91</v>
      </c>
      <c r="F683" s="162">
        <v>49499.06</v>
      </c>
      <c r="G683" s="162" t="s">
        <v>49</v>
      </c>
      <c r="H683" s="162" t="s">
        <v>1779</v>
      </c>
    </row>
    <row r="684" spans="1:8" x14ac:dyDescent="0.3">
      <c r="A684" s="161">
        <v>45909.32340277778</v>
      </c>
      <c r="B684" s="162" t="s">
        <v>2274</v>
      </c>
      <c r="C684" s="162" t="s">
        <v>2275</v>
      </c>
      <c r="D684" s="162">
        <v>0</v>
      </c>
      <c r="E684" s="162">
        <v>496</v>
      </c>
      <c r="F684" s="162">
        <v>15321.58</v>
      </c>
      <c r="G684" s="162" t="s">
        <v>17</v>
      </c>
      <c r="H684" s="162" t="s">
        <v>1019</v>
      </c>
    </row>
    <row r="685" spans="1:8" x14ac:dyDescent="0.3">
      <c r="A685" s="161">
        <v>45910</v>
      </c>
      <c r="B685" s="162" t="s">
        <v>1168</v>
      </c>
      <c r="C685" s="162" t="s">
        <v>1005</v>
      </c>
      <c r="D685" s="162">
        <v>1030</v>
      </c>
      <c r="E685" s="162">
        <v>0</v>
      </c>
      <c r="F685" s="162">
        <v>72364.09</v>
      </c>
      <c r="G685" s="162" t="s">
        <v>91</v>
      </c>
      <c r="H685" s="162" t="s">
        <v>1680</v>
      </c>
    </row>
    <row r="686" spans="1:8" x14ac:dyDescent="0.3">
      <c r="A686" s="161">
        <v>45910</v>
      </c>
      <c r="B686" s="162" t="s">
        <v>1170</v>
      </c>
      <c r="C686" s="162" t="s">
        <v>1005</v>
      </c>
      <c r="D686" s="162">
        <v>113</v>
      </c>
      <c r="E686" s="162">
        <v>0</v>
      </c>
      <c r="F686" s="162">
        <v>72251.09</v>
      </c>
      <c r="G686" s="162" t="s">
        <v>91</v>
      </c>
      <c r="H686" s="162" t="s">
        <v>1680</v>
      </c>
    </row>
    <row r="687" spans="1:8" x14ac:dyDescent="0.3">
      <c r="A687" s="161">
        <v>45910</v>
      </c>
      <c r="B687" s="162" t="s">
        <v>1172</v>
      </c>
      <c r="C687" s="162" t="s">
        <v>1005</v>
      </c>
      <c r="D687" s="162">
        <v>500</v>
      </c>
      <c r="E687" s="162">
        <v>0</v>
      </c>
      <c r="F687" s="162">
        <v>71751.09</v>
      </c>
      <c r="G687" s="162" t="s">
        <v>91</v>
      </c>
      <c r="H687" s="162" t="s">
        <v>1680</v>
      </c>
    </row>
    <row r="688" spans="1:8" x14ac:dyDescent="0.3">
      <c r="A688" s="161">
        <v>45910</v>
      </c>
      <c r="B688" s="162" t="s">
        <v>1167</v>
      </c>
      <c r="C688" s="162" t="s">
        <v>1005</v>
      </c>
      <c r="D688" s="162">
        <v>300</v>
      </c>
      <c r="E688" s="162">
        <v>0</v>
      </c>
      <c r="F688" s="162">
        <v>73394.09</v>
      </c>
      <c r="G688" s="162" t="s">
        <v>91</v>
      </c>
      <c r="H688" s="162" t="s">
        <v>1680</v>
      </c>
    </row>
    <row r="689" spans="1:8" x14ac:dyDescent="0.3">
      <c r="A689" s="161">
        <v>45910</v>
      </c>
      <c r="B689" s="162" t="s">
        <v>50</v>
      </c>
      <c r="C689" s="162" t="s">
        <v>486</v>
      </c>
      <c r="D689" s="162">
        <v>56.38</v>
      </c>
      <c r="E689" s="162">
        <v>0</v>
      </c>
      <c r="F689" s="162">
        <v>49228.37</v>
      </c>
      <c r="G689" s="162" t="s">
        <v>49</v>
      </c>
      <c r="H689" s="162" t="s">
        <v>1779</v>
      </c>
    </row>
    <row r="690" spans="1:8" x14ac:dyDescent="0.3">
      <c r="A690" s="161">
        <v>45910</v>
      </c>
      <c r="B690" s="162" t="s">
        <v>1166</v>
      </c>
      <c r="C690" s="162" t="s">
        <v>1005</v>
      </c>
      <c r="D690" s="162">
        <v>1000</v>
      </c>
      <c r="E690" s="162">
        <v>0</v>
      </c>
      <c r="F690" s="162">
        <v>73694.09</v>
      </c>
      <c r="G690" s="162" t="s">
        <v>1028</v>
      </c>
      <c r="H690" s="162" t="s">
        <v>1680</v>
      </c>
    </row>
    <row r="691" spans="1:8" x14ac:dyDescent="0.3">
      <c r="A691" s="161">
        <v>45910.358159722222</v>
      </c>
      <c r="B691" s="162" t="s">
        <v>2276</v>
      </c>
      <c r="C691" s="162" t="s">
        <v>2277</v>
      </c>
      <c r="D691" s="162">
        <v>0</v>
      </c>
      <c r="E691" s="162">
        <v>501</v>
      </c>
      <c r="F691" s="162">
        <v>15822.58</v>
      </c>
      <c r="G691" s="162" t="s">
        <v>606</v>
      </c>
      <c r="H691" s="162" t="s">
        <v>1019</v>
      </c>
    </row>
    <row r="692" spans="1:8" x14ac:dyDescent="0.3">
      <c r="A692" s="161">
        <v>45911</v>
      </c>
      <c r="B692" s="162" t="s">
        <v>1175</v>
      </c>
      <c r="C692" s="162" t="s">
        <v>1005</v>
      </c>
      <c r="D692" s="162">
        <v>1030</v>
      </c>
      <c r="E692" s="162">
        <v>0</v>
      </c>
      <c r="F692" s="162">
        <v>69721.09</v>
      </c>
      <c r="G692" s="162" t="s">
        <v>1176</v>
      </c>
      <c r="H692" s="162" t="s">
        <v>1680</v>
      </c>
    </row>
    <row r="693" spans="1:8" x14ac:dyDescent="0.3">
      <c r="A693" s="161">
        <v>45911</v>
      </c>
      <c r="B693" s="162" t="s">
        <v>1177</v>
      </c>
      <c r="C693" s="162" t="s">
        <v>1005</v>
      </c>
      <c r="D693" s="162">
        <v>525</v>
      </c>
      <c r="E693" s="162">
        <v>0</v>
      </c>
      <c r="F693" s="162">
        <v>69196.09</v>
      </c>
      <c r="G693" s="162" t="s">
        <v>91</v>
      </c>
      <c r="H693" s="162" t="s">
        <v>1680</v>
      </c>
    </row>
    <row r="694" spans="1:8" x14ac:dyDescent="0.3">
      <c r="A694" s="161">
        <v>45911</v>
      </c>
      <c r="B694" s="162" t="s">
        <v>1179</v>
      </c>
      <c r="C694" s="162" t="s">
        <v>1005</v>
      </c>
      <c r="D694" s="162">
        <v>300</v>
      </c>
      <c r="E694" s="162">
        <v>0</v>
      </c>
      <c r="F694" s="162">
        <v>68896.09</v>
      </c>
      <c r="G694" s="162" t="s">
        <v>91</v>
      </c>
      <c r="H694" s="162" t="s">
        <v>1680</v>
      </c>
    </row>
    <row r="695" spans="1:8" x14ac:dyDescent="0.3">
      <c r="A695" s="161">
        <v>45911</v>
      </c>
      <c r="B695" s="162" t="s">
        <v>1174</v>
      </c>
      <c r="C695" s="162" t="s">
        <v>1005</v>
      </c>
      <c r="D695" s="162">
        <v>1000</v>
      </c>
      <c r="E695" s="162">
        <v>0</v>
      </c>
      <c r="F695" s="162">
        <v>70751.09</v>
      </c>
      <c r="G695" s="162" t="s">
        <v>1028</v>
      </c>
      <c r="H695" s="162" t="s">
        <v>1680</v>
      </c>
    </row>
    <row r="696" spans="1:8" x14ac:dyDescent="0.3">
      <c r="A696" s="161">
        <v>45911</v>
      </c>
      <c r="B696" s="162" t="s">
        <v>487</v>
      </c>
      <c r="C696" s="162" t="s">
        <v>488</v>
      </c>
      <c r="D696" s="162">
        <v>0</v>
      </c>
      <c r="E696" s="162">
        <v>722.92</v>
      </c>
      <c r="F696" s="162">
        <v>49951.29</v>
      </c>
      <c r="G696" s="162" t="s">
        <v>49</v>
      </c>
      <c r="H696" s="162" t="s">
        <v>1779</v>
      </c>
    </row>
    <row r="697" spans="1:8" x14ac:dyDescent="0.3">
      <c r="A697" s="161">
        <v>45911</v>
      </c>
      <c r="B697" s="162" t="s">
        <v>489</v>
      </c>
      <c r="C697" s="162" t="s">
        <v>490</v>
      </c>
      <c r="D697" s="162">
        <v>295</v>
      </c>
      <c r="E697" s="162">
        <v>0</v>
      </c>
      <c r="F697" s="162">
        <v>49656.29</v>
      </c>
      <c r="G697" s="162" t="s">
        <v>7</v>
      </c>
      <c r="H697" s="162" t="s">
        <v>1779</v>
      </c>
    </row>
    <row r="698" spans="1:8" x14ac:dyDescent="0.3">
      <c r="A698" s="161">
        <v>45911</v>
      </c>
      <c r="B698" s="162" t="s">
        <v>50</v>
      </c>
      <c r="C698" s="162" t="s">
        <v>491</v>
      </c>
      <c r="D698" s="162">
        <v>56.38</v>
      </c>
      <c r="E698" s="162">
        <v>0</v>
      </c>
      <c r="F698" s="162">
        <v>49599.91</v>
      </c>
      <c r="G698" s="162" t="s">
        <v>49</v>
      </c>
      <c r="H698" s="162" t="s">
        <v>1779</v>
      </c>
    </row>
    <row r="699" spans="1:8" x14ac:dyDescent="0.3">
      <c r="A699" s="161">
        <v>45911</v>
      </c>
      <c r="B699" s="162" t="s">
        <v>50</v>
      </c>
      <c r="C699" s="162" t="s">
        <v>492</v>
      </c>
      <c r="D699" s="162">
        <v>3033.61</v>
      </c>
      <c r="E699" s="162">
        <v>0</v>
      </c>
      <c r="F699" s="162">
        <v>46566.3</v>
      </c>
      <c r="G699" s="162" t="s">
        <v>49</v>
      </c>
      <c r="H699" s="162" t="s">
        <v>1779</v>
      </c>
    </row>
    <row r="700" spans="1:8" x14ac:dyDescent="0.3">
      <c r="A700" s="161">
        <v>45911</v>
      </c>
      <c r="B700" s="162" t="s">
        <v>50</v>
      </c>
      <c r="C700" s="162" t="s">
        <v>493</v>
      </c>
      <c r="D700" s="162">
        <v>17667.650000000001</v>
      </c>
      <c r="E700" s="162">
        <v>0</v>
      </c>
      <c r="F700" s="162">
        <v>28898.65</v>
      </c>
      <c r="G700" s="162" t="s">
        <v>49</v>
      </c>
      <c r="H700" s="162" t="s">
        <v>1779</v>
      </c>
    </row>
    <row r="701" spans="1:8" x14ac:dyDescent="0.3">
      <c r="A701" s="161">
        <v>45911.617974537039</v>
      </c>
      <c r="B701" s="162" t="s">
        <v>2278</v>
      </c>
      <c r="C701" s="162" t="s">
        <v>2279</v>
      </c>
      <c r="D701" s="162">
        <v>0</v>
      </c>
      <c r="E701" s="162">
        <v>600</v>
      </c>
      <c r="F701" s="162">
        <v>16422.580000000002</v>
      </c>
      <c r="G701" s="162" t="s">
        <v>91</v>
      </c>
      <c r="H701" s="162" t="s">
        <v>1019</v>
      </c>
    </row>
    <row r="702" spans="1:8" x14ac:dyDescent="0.3">
      <c r="A702" s="161">
        <v>45912</v>
      </c>
      <c r="B702" s="162" t="s">
        <v>1182</v>
      </c>
      <c r="C702" s="162" t="s">
        <v>1005</v>
      </c>
      <c r="D702" s="162">
        <v>452</v>
      </c>
      <c r="E702" s="162">
        <v>0</v>
      </c>
      <c r="F702" s="162">
        <v>67444.09</v>
      </c>
      <c r="G702" s="162" t="s">
        <v>91</v>
      </c>
      <c r="H702" s="162" t="s">
        <v>1680</v>
      </c>
    </row>
    <row r="703" spans="1:8" x14ac:dyDescent="0.3">
      <c r="A703" s="161">
        <v>45912</v>
      </c>
      <c r="B703" s="162" t="s">
        <v>1181</v>
      </c>
      <c r="C703" s="162" t="s">
        <v>1005</v>
      </c>
      <c r="D703" s="162">
        <v>1000</v>
      </c>
      <c r="E703" s="162">
        <v>0</v>
      </c>
      <c r="F703" s="162">
        <v>67896.09</v>
      </c>
      <c r="G703" s="162" t="s">
        <v>1028</v>
      </c>
      <c r="H703" s="162" t="s">
        <v>1680</v>
      </c>
    </row>
    <row r="704" spans="1:8" x14ac:dyDescent="0.3">
      <c r="A704" s="161">
        <v>45912</v>
      </c>
      <c r="B704" s="162" t="s">
        <v>50</v>
      </c>
      <c r="C704" s="162" t="s">
        <v>494</v>
      </c>
      <c r="D704" s="162">
        <v>49.26</v>
      </c>
      <c r="E704" s="162">
        <v>0</v>
      </c>
      <c r="F704" s="162">
        <v>28849.39</v>
      </c>
      <c r="G704" s="162" t="s">
        <v>49</v>
      </c>
      <c r="H704" s="162" t="s">
        <v>1779</v>
      </c>
    </row>
    <row r="705" spans="1:8" x14ac:dyDescent="0.3">
      <c r="A705" s="161">
        <v>45912</v>
      </c>
      <c r="B705" s="162" t="s">
        <v>50</v>
      </c>
      <c r="C705" s="162" t="s">
        <v>495</v>
      </c>
      <c r="D705" s="162">
        <v>12612.87</v>
      </c>
      <c r="E705" s="162">
        <v>0</v>
      </c>
      <c r="F705" s="162">
        <v>16236.52</v>
      </c>
      <c r="G705" s="162" t="s">
        <v>49</v>
      </c>
      <c r="H705" s="162" t="s">
        <v>1779</v>
      </c>
    </row>
    <row r="706" spans="1:8" x14ac:dyDescent="0.3">
      <c r="A706" s="161">
        <v>45913</v>
      </c>
      <c r="B706" s="162" t="s">
        <v>1190</v>
      </c>
      <c r="C706" s="162" t="s">
        <v>1005</v>
      </c>
      <c r="D706" s="162">
        <v>48</v>
      </c>
      <c r="E706" s="162">
        <v>0</v>
      </c>
      <c r="F706" s="162">
        <v>62644.27</v>
      </c>
      <c r="G706" s="162" t="s">
        <v>131</v>
      </c>
      <c r="H706" s="162" t="s">
        <v>1680</v>
      </c>
    </row>
    <row r="707" spans="1:8" x14ac:dyDescent="0.3">
      <c r="A707" s="161">
        <v>45913</v>
      </c>
      <c r="B707" s="162" t="s">
        <v>1184</v>
      </c>
      <c r="C707" s="162" t="s">
        <v>1005</v>
      </c>
      <c r="D707" s="162">
        <v>1000</v>
      </c>
      <c r="E707" s="162">
        <v>0</v>
      </c>
      <c r="F707" s="162">
        <v>66444.09</v>
      </c>
      <c r="G707" s="162" t="s">
        <v>1028</v>
      </c>
      <c r="H707" s="162" t="s">
        <v>1680</v>
      </c>
    </row>
    <row r="708" spans="1:8" x14ac:dyDescent="0.3">
      <c r="A708" s="161">
        <v>45913</v>
      </c>
      <c r="B708" s="162" t="s">
        <v>1185</v>
      </c>
      <c r="C708" s="162" t="s">
        <v>1005</v>
      </c>
      <c r="D708" s="162">
        <v>686.82</v>
      </c>
      <c r="E708" s="162">
        <v>0</v>
      </c>
      <c r="F708" s="162">
        <v>65757.27</v>
      </c>
      <c r="G708" s="162" t="s">
        <v>1028</v>
      </c>
      <c r="H708" s="162" t="s">
        <v>1680</v>
      </c>
    </row>
    <row r="709" spans="1:8" x14ac:dyDescent="0.3">
      <c r="A709" s="161">
        <v>45913</v>
      </c>
      <c r="B709" s="162" t="s">
        <v>1186</v>
      </c>
      <c r="C709" s="162" t="s">
        <v>1005</v>
      </c>
      <c r="D709" s="162">
        <v>1030</v>
      </c>
      <c r="E709" s="162">
        <v>0</v>
      </c>
      <c r="F709" s="162">
        <v>64727.27</v>
      </c>
      <c r="G709" s="162" t="s">
        <v>1176</v>
      </c>
      <c r="H709" s="162" t="s">
        <v>1680</v>
      </c>
    </row>
    <row r="710" spans="1:8" x14ac:dyDescent="0.3">
      <c r="A710" s="161">
        <v>45913</v>
      </c>
      <c r="B710" s="162" t="s">
        <v>1187</v>
      </c>
      <c r="C710" s="162" t="s">
        <v>1005</v>
      </c>
      <c r="D710" s="162">
        <v>1030</v>
      </c>
      <c r="E710" s="162">
        <v>0</v>
      </c>
      <c r="F710" s="162">
        <v>63697.27</v>
      </c>
      <c r="G710" s="162" t="s">
        <v>1176</v>
      </c>
      <c r="H710" s="162" t="s">
        <v>1680</v>
      </c>
    </row>
    <row r="711" spans="1:8" x14ac:dyDescent="0.3">
      <c r="A711" s="161">
        <v>45913</v>
      </c>
      <c r="B711" s="162" t="s">
        <v>1188</v>
      </c>
      <c r="C711" s="162" t="s">
        <v>1005</v>
      </c>
      <c r="D711" s="162">
        <v>1005</v>
      </c>
      <c r="E711" s="162">
        <v>0</v>
      </c>
      <c r="F711" s="162">
        <v>62692.27</v>
      </c>
      <c r="G711" s="162" t="s">
        <v>1189</v>
      </c>
      <c r="H711" s="162" t="s">
        <v>1680</v>
      </c>
    </row>
    <row r="712" spans="1:8" x14ac:dyDescent="0.3">
      <c r="A712" s="161">
        <v>45913.8903125</v>
      </c>
      <c r="B712" s="162" t="s">
        <v>2280</v>
      </c>
      <c r="C712" s="162" t="s">
        <v>2281</v>
      </c>
      <c r="D712" s="162">
        <v>0</v>
      </c>
      <c r="E712" s="162">
        <v>67</v>
      </c>
      <c r="F712" s="162">
        <v>16489.580000000002</v>
      </c>
      <c r="G712" s="162" t="s">
        <v>1658</v>
      </c>
      <c r="H712" s="162" t="s">
        <v>1019</v>
      </c>
    </row>
    <row r="713" spans="1:8" x14ac:dyDescent="0.3">
      <c r="A713" s="161">
        <v>45914</v>
      </c>
      <c r="B713" s="162" t="s">
        <v>1192</v>
      </c>
      <c r="C713" s="162" t="s">
        <v>1005</v>
      </c>
      <c r="D713" s="162">
        <v>107</v>
      </c>
      <c r="E713" s="162">
        <v>0</v>
      </c>
      <c r="F713" s="162">
        <v>61537.27</v>
      </c>
      <c r="G713" s="162" t="s">
        <v>91</v>
      </c>
      <c r="H713" s="162" t="s">
        <v>1680</v>
      </c>
    </row>
    <row r="714" spans="1:8" x14ac:dyDescent="0.3">
      <c r="A714" s="161">
        <v>45914</v>
      </c>
      <c r="B714" s="162" t="s">
        <v>1194</v>
      </c>
      <c r="C714" s="162" t="s">
        <v>1005</v>
      </c>
      <c r="D714" s="162">
        <v>2100</v>
      </c>
      <c r="E714" s="162">
        <v>0</v>
      </c>
      <c r="F714" s="162">
        <v>59437.27</v>
      </c>
      <c r="G714" s="162" t="s">
        <v>988</v>
      </c>
      <c r="H714" s="162" t="s">
        <v>1680</v>
      </c>
    </row>
    <row r="715" spans="1:8" x14ac:dyDescent="0.3">
      <c r="A715" s="161">
        <v>45914</v>
      </c>
      <c r="B715" s="162" t="s">
        <v>1195</v>
      </c>
      <c r="C715" s="162" t="s">
        <v>1005</v>
      </c>
      <c r="D715" s="162">
        <v>100</v>
      </c>
      <c r="E715" s="162">
        <v>0</v>
      </c>
      <c r="F715" s="162">
        <v>59337.27</v>
      </c>
      <c r="G715" s="162" t="s">
        <v>91</v>
      </c>
      <c r="H715" s="162" t="s">
        <v>1680</v>
      </c>
    </row>
    <row r="716" spans="1:8" x14ac:dyDescent="0.3">
      <c r="A716" s="161">
        <v>45914</v>
      </c>
      <c r="B716" s="162" t="s">
        <v>1197</v>
      </c>
      <c r="C716" s="162" t="s">
        <v>1005</v>
      </c>
      <c r="D716" s="162">
        <v>100</v>
      </c>
      <c r="E716" s="162">
        <v>0</v>
      </c>
      <c r="F716" s="162">
        <v>59237.27</v>
      </c>
      <c r="G716" s="162" t="s">
        <v>91</v>
      </c>
      <c r="H716" s="162" t="s">
        <v>1680</v>
      </c>
    </row>
    <row r="717" spans="1:8" x14ac:dyDescent="0.3">
      <c r="A717" s="161">
        <v>45914</v>
      </c>
      <c r="B717" s="162" t="s">
        <v>1191</v>
      </c>
      <c r="C717" s="162" t="s">
        <v>1005</v>
      </c>
      <c r="D717" s="162">
        <v>1000</v>
      </c>
      <c r="E717" s="162">
        <v>0</v>
      </c>
      <c r="F717" s="162">
        <v>61644.27</v>
      </c>
      <c r="G717" s="162" t="s">
        <v>1028</v>
      </c>
      <c r="H717" s="162" t="s">
        <v>1680</v>
      </c>
    </row>
    <row r="718" spans="1:8" x14ac:dyDescent="0.3">
      <c r="A718" s="161">
        <v>45914</v>
      </c>
      <c r="B718" s="162" t="s">
        <v>1198</v>
      </c>
      <c r="C718" s="162" t="s">
        <v>1005</v>
      </c>
      <c r="D718" s="162">
        <v>247</v>
      </c>
      <c r="E718" s="162">
        <v>0</v>
      </c>
      <c r="F718" s="162">
        <v>58990.27</v>
      </c>
      <c r="G718" s="162" t="s">
        <v>91</v>
      </c>
      <c r="H718" s="162" t="s">
        <v>1680</v>
      </c>
    </row>
    <row r="719" spans="1:8" x14ac:dyDescent="0.3">
      <c r="A719" s="161">
        <v>45914.819340277783</v>
      </c>
      <c r="B719" s="162" t="s">
        <v>2282</v>
      </c>
      <c r="C719" s="162" t="s">
        <v>2283</v>
      </c>
      <c r="D719" s="162">
        <v>0</v>
      </c>
      <c r="E719" s="162">
        <v>600</v>
      </c>
      <c r="F719" s="162">
        <v>17089.580000000002</v>
      </c>
      <c r="G719" s="162" t="s">
        <v>91</v>
      </c>
      <c r="H719" s="162" t="s">
        <v>1019</v>
      </c>
    </row>
    <row r="720" spans="1:8" x14ac:dyDescent="0.3">
      <c r="A720" s="161">
        <v>45915</v>
      </c>
      <c r="B720" s="162" t="s">
        <v>1200</v>
      </c>
      <c r="C720" s="162" t="s">
        <v>1005</v>
      </c>
      <c r="D720" s="162">
        <v>1000</v>
      </c>
      <c r="E720" s="162">
        <v>0</v>
      </c>
      <c r="F720" s="162">
        <v>57990.27</v>
      </c>
      <c r="G720" s="162" t="s">
        <v>1028</v>
      </c>
      <c r="H720" s="162" t="s">
        <v>1680</v>
      </c>
    </row>
    <row r="721" spans="1:8" x14ac:dyDescent="0.3">
      <c r="A721" s="161">
        <v>45915</v>
      </c>
      <c r="B721" s="162" t="s">
        <v>1201</v>
      </c>
      <c r="C721" s="162" t="s">
        <v>1005</v>
      </c>
      <c r="D721" s="162">
        <v>74</v>
      </c>
      <c r="E721" s="162">
        <v>0</v>
      </c>
      <c r="F721" s="162">
        <v>57916.27</v>
      </c>
      <c r="G721" s="162" t="s">
        <v>131</v>
      </c>
      <c r="H721" s="162" t="s">
        <v>1680</v>
      </c>
    </row>
    <row r="722" spans="1:8" x14ac:dyDescent="0.3">
      <c r="A722" s="161">
        <v>45915</v>
      </c>
      <c r="B722" s="162" t="s">
        <v>50</v>
      </c>
      <c r="C722" s="162" t="s">
        <v>496</v>
      </c>
      <c r="D722" s="162">
        <v>182.85</v>
      </c>
      <c r="E722" s="162">
        <v>0</v>
      </c>
      <c r="F722" s="162">
        <v>16053.67</v>
      </c>
      <c r="G722" s="162" t="s">
        <v>49</v>
      </c>
      <c r="H722" s="162" t="s">
        <v>1779</v>
      </c>
    </row>
    <row r="723" spans="1:8" x14ac:dyDescent="0.3">
      <c r="A723" s="161">
        <v>45915.579837962963</v>
      </c>
      <c r="B723" s="162" t="s">
        <v>2284</v>
      </c>
      <c r="C723" s="162" t="s">
        <v>2285</v>
      </c>
      <c r="D723" s="162">
        <v>600</v>
      </c>
      <c r="E723" s="162">
        <v>0</v>
      </c>
      <c r="F723" s="162">
        <v>16489.580000000002</v>
      </c>
      <c r="G723" s="162" t="s">
        <v>91</v>
      </c>
      <c r="H723" s="162" t="s">
        <v>1019</v>
      </c>
    </row>
    <row r="724" spans="1:8" x14ac:dyDescent="0.3">
      <c r="A724" s="161">
        <v>45916</v>
      </c>
      <c r="B724" s="162" t="s">
        <v>1733</v>
      </c>
      <c r="C724" s="162"/>
      <c r="D724" s="162">
        <v>30000</v>
      </c>
      <c r="E724" s="162">
        <v>0</v>
      </c>
      <c r="F724" s="162">
        <v>28913.96</v>
      </c>
      <c r="G724" s="162" t="s">
        <v>1019</v>
      </c>
      <c r="H724" s="162" t="s">
        <v>837</v>
      </c>
    </row>
    <row r="725" spans="1:8" x14ac:dyDescent="0.3">
      <c r="A725" s="161">
        <v>45916</v>
      </c>
      <c r="B725" s="162" t="s">
        <v>50</v>
      </c>
      <c r="C725" s="162" t="s">
        <v>499</v>
      </c>
      <c r="D725" s="162">
        <v>69.86</v>
      </c>
      <c r="E725" s="162">
        <v>0</v>
      </c>
      <c r="F725" s="162">
        <v>17030.900000000001</v>
      </c>
      <c r="G725" s="162" t="s">
        <v>49</v>
      </c>
      <c r="H725" s="162" t="s">
        <v>1779</v>
      </c>
    </row>
    <row r="726" spans="1:8" x14ac:dyDescent="0.3">
      <c r="A726" s="161">
        <v>45916</v>
      </c>
      <c r="B726" s="162" t="s">
        <v>1202</v>
      </c>
      <c r="C726" s="162" t="s">
        <v>1005</v>
      </c>
      <c r="D726" s="162">
        <v>1000</v>
      </c>
      <c r="E726" s="162">
        <v>0</v>
      </c>
      <c r="F726" s="162">
        <v>56916.27</v>
      </c>
      <c r="G726" s="162" t="s">
        <v>1028</v>
      </c>
      <c r="H726" s="162" t="s">
        <v>1680</v>
      </c>
    </row>
    <row r="727" spans="1:8" x14ac:dyDescent="0.3">
      <c r="A727" s="161">
        <v>45916</v>
      </c>
      <c r="B727" s="162" t="s">
        <v>497</v>
      </c>
      <c r="C727" s="162" t="s">
        <v>498</v>
      </c>
      <c r="D727" s="162">
        <v>0</v>
      </c>
      <c r="E727" s="162">
        <v>1047.0899999999999</v>
      </c>
      <c r="F727" s="162">
        <v>17100.759999999998</v>
      </c>
      <c r="G727" s="162" t="s">
        <v>49</v>
      </c>
      <c r="H727" s="162" t="s">
        <v>1779</v>
      </c>
    </row>
    <row r="728" spans="1:8" x14ac:dyDescent="0.3">
      <c r="A728" s="161">
        <v>45916.962071759262</v>
      </c>
      <c r="B728" s="162" t="s">
        <v>2287</v>
      </c>
      <c r="C728" s="162" t="s">
        <v>2288</v>
      </c>
      <c r="D728" s="162">
        <v>0</v>
      </c>
      <c r="E728" s="162">
        <v>30000</v>
      </c>
      <c r="F728" s="162">
        <v>46489.58</v>
      </c>
      <c r="G728" s="162" t="s">
        <v>837</v>
      </c>
      <c r="H728" s="162" t="s">
        <v>1019</v>
      </c>
    </row>
    <row r="729" spans="1:8" x14ac:dyDescent="0.3">
      <c r="A729" s="161">
        <v>45916.963368055563</v>
      </c>
      <c r="B729" s="162" t="s">
        <v>2289</v>
      </c>
      <c r="C729" s="162" t="s">
        <v>2290</v>
      </c>
      <c r="D729" s="162">
        <v>38000</v>
      </c>
      <c r="E729" s="162">
        <v>0</v>
      </c>
      <c r="F729" s="162">
        <v>8489.58</v>
      </c>
      <c r="G729" s="162" t="s">
        <v>1701</v>
      </c>
      <c r="H729" s="162" t="s">
        <v>1019</v>
      </c>
    </row>
    <row r="730" spans="1:8" x14ac:dyDescent="0.3">
      <c r="A730" s="161">
        <v>45917</v>
      </c>
      <c r="B730" s="162" t="s">
        <v>50</v>
      </c>
      <c r="C730" s="162" t="s">
        <v>502</v>
      </c>
      <c r="D730" s="162">
        <v>70.23</v>
      </c>
      <c r="E730" s="162">
        <v>0</v>
      </c>
      <c r="F730" s="162">
        <v>18034.16</v>
      </c>
      <c r="G730" s="162" t="s">
        <v>49</v>
      </c>
      <c r="H730" s="162" t="s">
        <v>1779</v>
      </c>
    </row>
    <row r="731" spans="1:8" x14ac:dyDescent="0.3">
      <c r="A731" s="161">
        <v>45917</v>
      </c>
      <c r="B731" s="162" t="s">
        <v>500</v>
      </c>
      <c r="C731" s="162" t="s">
        <v>501</v>
      </c>
      <c r="D731" s="162">
        <v>0</v>
      </c>
      <c r="E731" s="162">
        <v>1073.49</v>
      </c>
      <c r="F731" s="162">
        <v>18104.39</v>
      </c>
      <c r="G731" s="162" t="s">
        <v>49</v>
      </c>
      <c r="H731" s="162" t="s">
        <v>1779</v>
      </c>
    </row>
    <row r="732" spans="1:8" x14ac:dyDescent="0.3">
      <c r="A732" s="161">
        <v>45917</v>
      </c>
      <c r="B732" s="162" t="s">
        <v>1203</v>
      </c>
      <c r="C732" s="162" t="s">
        <v>1005</v>
      </c>
      <c r="D732" s="162">
        <v>1000</v>
      </c>
      <c r="E732" s="162">
        <v>0</v>
      </c>
      <c r="F732" s="162">
        <v>55916.27</v>
      </c>
      <c r="G732" s="162" t="s">
        <v>1028</v>
      </c>
      <c r="H732" s="162" t="s">
        <v>1680</v>
      </c>
    </row>
    <row r="733" spans="1:8" x14ac:dyDescent="0.3">
      <c r="A733" s="161">
        <v>45917</v>
      </c>
      <c r="B733" s="162" t="s">
        <v>1204</v>
      </c>
      <c r="C733" s="162" t="s">
        <v>1005</v>
      </c>
      <c r="D733" s="162">
        <v>126</v>
      </c>
      <c r="E733" s="162">
        <v>0</v>
      </c>
      <c r="F733" s="162">
        <v>55790.27</v>
      </c>
      <c r="G733" s="162" t="s">
        <v>131</v>
      </c>
      <c r="H733" s="162" t="s">
        <v>1680</v>
      </c>
    </row>
    <row r="734" spans="1:8" x14ac:dyDescent="0.3">
      <c r="A734" s="161">
        <v>45917</v>
      </c>
      <c r="B734" s="162" t="s">
        <v>503</v>
      </c>
      <c r="C734" s="162" t="s">
        <v>83</v>
      </c>
      <c r="D734" s="162">
        <v>330.4</v>
      </c>
      <c r="E734" s="162">
        <v>0</v>
      </c>
      <c r="F734" s="162">
        <v>17703.759999999998</v>
      </c>
      <c r="G734" s="162" t="s">
        <v>9</v>
      </c>
      <c r="H734" s="162" t="s">
        <v>1779</v>
      </c>
    </row>
    <row r="735" spans="1:8" x14ac:dyDescent="0.3">
      <c r="A735" s="161">
        <v>45917</v>
      </c>
      <c r="B735" s="162" t="s">
        <v>1205</v>
      </c>
      <c r="C735" s="162" t="s">
        <v>1005</v>
      </c>
      <c r="D735" s="162">
        <v>30</v>
      </c>
      <c r="E735" s="162">
        <v>0</v>
      </c>
      <c r="F735" s="162">
        <v>55760.27</v>
      </c>
      <c r="G735" s="162" t="s">
        <v>131</v>
      </c>
      <c r="H735" s="162" t="s">
        <v>1680</v>
      </c>
    </row>
    <row r="736" spans="1:8" x14ac:dyDescent="0.3">
      <c r="A736" s="161">
        <v>45917</v>
      </c>
      <c r="B736" s="162" t="s">
        <v>50</v>
      </c>
      <c r="C736" s="162" t="s">
        <v>504</v>
      </c>
      <c r="D736" s="162">
        <v>11962.97</v>
      </c>
      <c r="E736" s="162">
        <v>0</v>
      </c>
      <c r="F736" s="162">
        <v>5740.79</v>
      </c>
      <c r="G736" s="162" t="s">
        <v>49</v>
      </c>
      <c r="H736" s="162" t="s">
        <v>1779</v>
      </c>
    </row>
    <row r="737" spans="1:8" x14ac:dyDescent="0.3">
      <c r="A737" s="161">
        <v>45917.645208333342</v>
      </c>
      <c r="B737" s="162" t="s">
        <v>2291</v>
      </c>
      <c r="C737" s="162" t="s">
        <v>2292</v>
      </c>
      <c r="D737" s="162">
        <v>0</v>
      </c>
      <c r="E737" s="162">
        <v>500</v>
      </c>
      <c r="F737" s="162">
        <v>8989.58</v>
      </c>
      <c r="G737" s="162" t="s">
        <v>91</v>
      </c>
      <c r="H737" s="162" t="s">
        <v>1019</v>
      </c>
    </row>
    <row r="738" spans="1:8" x14ac:dyDescent="0.3">
      <c r="A738" s="161">
        <v>45918</v>
      </c>
      <c r="B738" s="162" t="s">
        <v>1206</v>
      </c>
      <c r="C738" s="162" t="s">
        <v>1005</v>
      </c>
      <c r="D738" s="162">
        <v>1000</v>
      </c>
      <c r="E738" s="162">
        <v>0</v>
      </c>
      <c r="F738" s="162">
        <v>54760.27</v>
      </c>
      <c r="G738" s="162" t="s">
        <v>1028</v>
      </c>
      <c r="H738" s="162" t="s">
        <v>1680</v>
      </c>
    </row>
    <row r="739" spans="1:8" x14ac:dyDescent="0.3">
      <c r="A739" s="161">
        <v>45918</v>
      </c>
      <c r="B739" s="162" t="s">
        <v>1207</v>
      </c>
      <c r="C739" s="162" t="s">
        <v>1005</v>
      </c>
      <c r="D739" s="162">
        <v>160</v>
      </c>
      <c r="E739" s="162">
        <v>0</v>
      </c>
      <c r="F739" s="162">
        <v>54600.27</v>
      </c>
      <c r="G739" s="162" t="s">
        <v>91</v>
      </c>
      <c r="H739" s="162" t="s">
        <v>1680</v>
      </c>
    </row>
    <row r="740" spans="1:8" x14ac:dyDescent="0.3">
      <c r="A740" s="161">
        <v>45918</v>
      </c>
      <c r="B740" s="162" t="s">
        <v>505</v>
      </c>
      <c r="C740" s="162" t="s">
        <v>506</v>
      </c>
      <c r="D740" s="162">
        <v>0</v>
      </c>
      <c r="E740" s="162">
        <v>12258.05</v>
      </c>
      <c r="F740" s="162">
        <v>17998.84</v>
      </c>
      <c r="G740" s="162" t="s">
        <v>49</v>
      </c>
      <c r="H740" s="162" t="s">
        <v>1779</v>
      </c>
    </row>
    <row r="741" spans="1:8" x14ac:dyDescent="0.3">
      <c r="A741" s="161">
        <v>45918</v>
      </c>
      <c r="B741" s="162" t="s">
        <v>50</v>
      </c>
      <c r="C741" s="162" t="s">
        <v>507</v>
      </c>
      <c r="D741" s="162">
        <v>66.349999999999994</v>
      </c>
      <c r="E741" s="162">
        <v>0</v>
      </c>
      <c r="F741" s="162">
        <v>17932.490000000002</v>
      </c>
      <c r="G741" s="162" t="s">
        <v>49</v>
      </c>
      <c r="H741" s="162" t="s">
        <v>1779</v>
      </c>
    </row>
    <row r="742" spans="1:8" x14ac:dyDescent="0.3">
      <c r="A742" s="161">
        <v>45918</v>
      </c>
      <c r="B742" s="162" t="s">
        <v>50</v>
      </c>
      <c r="C742" s="162" t="s">
        <v>508</v>
      </c>
      <c r="D742" s="162">
        <v>647.36</v>
      </c>
      <c r="E742" s="162">
        <v>0</v>
      </c>
      <c r="F742" s="162">
        <v>17285.13</v>
      </c>
      <c r="G742" s="162" t="s">
        <v>49</v>
      </c>
      <c r="H742" s="162" t="s">
        <v>1779</v>
      </c>
    </row>
    <row r="743" spans="1:8" x14ac:dyDescent="0.3">
      <c r="A743" s="161">
        <v>45919</v>
      </c>
      <c r="B743" s="162" t="s">
        <v>50</v>
      </c>
      <c r="C743" s="162" t="s">
        <v>509</v>
      </c>
      <c r="D743" s="162">
        <v>77.5</v>
      </c>
      <c r="E743" s="162">
        <v>0</v>
      </c>
      <c r="F743" s="162">
        <v>17207.63</v>
      </c>
      <c r="G743" s="162" t="s">
        <v>49</v>
      </c>
      <c r="H743" s="162" t="s">
        <v>1779</v>
      </c>
    </row>
    <row r="744" spans="1:8" x14ac:dyDescent="0.3">
      <c r="A744" s="161">
        <v>45919</v>
      </c>
      <c r="B744" s="162" t="s">
        <v>1209</v>
      </c>
      <c r="C744" s="162" t="s">
        <v>1005</v>
      </c>
      <c r="D744" s="162">
        <v>1000</v>
      </c>
      <c r="E744" s="162">
        <v>0</v>
      </c>
      <c r="F744" s="162">
        <v>53600.27</v>
      </c>
      <c r="G744" s="162" t="s">
        <v>1028</v>
      </c>
      <c r="H744" s="162" t="s">
        <v>1680</v>
      </c>
    </row>
    <row r="745" spans="1:8" x14ac:dyDescent="0.3">
      <c r="A745" s="161">
        <v>45920</v>
      </c>
      <c r="B745" s="162" t="s">
        <v>1211</v>
      </c>
      <c r="C745" s="162" t="s">
        <v>1005</v>
      </c>
      <c r="D745" s="162">
        <v>28</v>
      </c>
      <c r="E745" s="162">
        <v>0</v>
      </c>
      <c r="F745" s="162">
        <v>52572.27</v>
      </c>
      <c r="G745" s="162" t="s">
        <v>131</v>
      </c>
      <c r="H745" s="162" t="s">
        <v>1680</v>
      </c>
    </row>
    <row r="746" spans="1:8" x14ac:dyDescent="0.3">
      <c r="A746" s="161">
        <v>45920</v>
      </c>
      <c r="B746" s="162" t="s">
        <v>1210</v>
      </c>
      <c r="C746" s="162" t="s">
        <v>1005</v>
      </c>
      <c r="D746" s="162">
        <v>1000</v>
      </c>
      <c r="E746" s="162">
        <v>0</v>
      </c>
      <c r="F746" s="162">
        <v>52600.27</v>
      </c>
      <c r="G746" s="162" t="s">
        <v>1028</v>
      </c>
      <c r="H746" s="162" t="s">
        <v>1680</v>
      </c>
    </row>
    <row r="747" spans="1:8" x14ac:dyDescent="0.3">
      <c r="A747" s="161">
        <v>45921</v>
      </c>
      <c r="B747" s="162" t="s">
        <v>1212</v>
      </c>
      <c r="C747" s="162" t="s">
        <v>1005</v>
      </c>
      <c r="D747" s="162">
        <v>1000</v>
      </c>
      <c r="E747" s="162">
        <v>0</v>
      </c>
      <c r="F747" s="162">
        <v>51572.27</v>
      </c>
      <c r="G747" s="162" t="s">
        <v>1028</v>
      </c>
      <c r="H747" s="162" t="s">
        <v>1680</v>
      </c>
    </row>
    <row r="748" spans="1:8" x14ac:dyDescent="0.3">
      <c r="A748" s="161">
        <v>45922</v>
      </c>
      <c r="B748" s="162" t="s">
        <v>512</v>
      </c>
      <c r="C748" s="162" t="s">
        <v>513</v>
      </c>
      <c r="D748" s="162">
        <v>0</v>
      </c>
      <c r="E748" s="162">
        <v>150</v>
      </c>
      <c r="F748" s="162">
        <v>25172.63</v>
      </c>
      <c r="G748" s="162" t="s">
        <v>17</v>
      </c>
      <c r="H748" s="162" t="s">
        <v>1779</v>
      </c>
    </row>
    <row r="749" spans="1:8" x14ac:dyDescent="0.3">
      <c r="A749" s="161">
        <v>45922</v>
      </c>
      <c r="B749" s="162" t="s">
        <v>1214</v>
      </c>
      <c r="C749" s="162" t="s">
        <v>1005</v>
      </c>
      <c r="D749" s="162">
        <v>26</v>
      </c>
      <c r="E749" s="162">
        <v>0</v>
      </c>
      <c r="F749" s="162">
        <v>50046.27</v>
      </c>
      <c r="G749" s="162" t="s">
        <v>131</v>
      </c>
      <c r="H749" s="162" t="s">
        <v>1680</v>
      </c>
    </row>
    <row r="750" spans="1:8" x14ac:dyDescent="0.3">
      <c r="A750" s="161">
        <v>45922</v>
      </c>
      <c r="B750" s="162" t="s">
        <v>1213</v>
      </c>
      <c r="C750" s="162" t="s">
        <v>1005</v>
      </c>
      <c r="D750" s="162">
        <v>1500</v>
      </c>
      <c r="E750" s="162">
        <v>0</v>
      </c>
      <c r="F750" s="162">
        <v>50072.27</v>
      </c>
      <c r="G750" s="162" t="s">
        <v>1028</v>
      </c>
      <c r="H750" s="162" t="s">
        <v>1680</v>
      </c>
    </row>
    <row r="751" spans="1:8" x14ac:dyDescent="0.3">
      <c r="A751" s="161">
        <v>45922</v>
      </c>
      <c r="B751" s="162" t="s">
        <v>510</v>
      </c>
      <c r="C751" s="162" t="s">
        <v>511</v>
      </c>
      <c r="D751" s="162">
        <v>0</v>
      </c>
      <c r="E751" s="162">
        <v>7815</v>
      </c>
      <c r="F751" s="162">
        <v>25022.63</v>
      </c>
      <c r="G751" s="162" t="s">
        <v>49</v>
      </c>
      <c r="H751" s="162" t="s">
        <v>1779</v>
      </c>
    </row>
    <row r="752" spans="1:8" x14ac:dyDescent="0.3">
      <c r="A752" s="161">
        <v>45922</v>
      </c>
      <c r="B752" s="162" t="s">
        <v>50</v>
      </c>
      <c r="C752" s="162" t="s">
        <v>514</v>
      </c>
      <c r="D752" s="162">
        <v>232.5</v>
      </c>
      <c r="E752" s="162">
        <v>0</v>
      </c>
      <c r="F752" s="162">
        <v>24940.13</v>
      </c>
      <c r="G752" s="162" t="s">
        <v>49</v>
      </c>
      <c r="H752" s="162" t="s">
        <v>1779</v>
      </c>
    </row>
    <row r="753" spans="1:8" x14ac:dyDescent="0.3">
      <c r="A753" s="161">
        <v>45923</v>
      </c>
      <c r="B753" s="162" t="s">
        <v>1216</v>
      </c>
      <c r="C753" s="162" t="s">
        <v>1005</v>
      </c>
      <c r="D753" s="162">
        <v>46</v>
      </c>
      <c r="E753" s="162">
        <v>0</v>
      </c>
      <c r="F753" s="162">
        <v>48500.27</v>
      </c>
      <c r="G753" s="162" t="s">
        <v>131</v>
      </c>
      <c r="H753" s="162" t="s">
        <v>1680</v>
      </c>
    </row>
    <row r="754" spans="1:8" x14ac:dyDescent="0.3">
      <c r="A754" s="161">
        <v>45923</v>
      </c>
      <c r="B754" s="162" t="s">
        <v>1215</v>
      </c>
      <c r="C754" s="162" t="s">
        <v>1005</v>
      </c>
      <c r="D754" s="162">
        <v>1500</v>
      </c>
      <c r="E754" s="162">
        <v>0</v>
      </c>
      <c r="F754" s="162">
        <v>48546.27</v>
      </c>
      <c r="G754" s="162" t="s">
        <v>1028</v>
      </c>
      <c r="H754" s="162" t="s">
        <v>1680</v>
      </c>
    </row>
    <row r="755" spans="1:8" x14ac:dyDescent="0.3">
      <c r="A755" s="161">
        <v>45923</v>
      </c>
      <c r="B755" s="162" t="s">
        <v>50</v>
      </c>
      <c r="C755" s="162" t="s">
        <v>520</v>
      </c>
      <c r="D755" s="162">
        <v>4903.6499999999996</v>
      </c>
      <c r="E755" s="162">
        <v>0</v>
      </c>
      <c r="F755" s="162">
        <v>26073.69</v>
      </c>
      <c r="G755" s="162" t="s">
        <v>49</v>
      </c>
      <c r="H755" s="162" t="s">
        <v>1779</v>
      </c>
    </row>
    <row r="756" spans="1:8" x14ac:dyDescent="0.3">
      <c r="A756" s="161">
        <v>45923</v>
      </c>
      <c r="B756" s="162" t="s">
        <v>518</v>
      </c>
      <c r="C756" s="162" t="s">
        <v>519</v>
      </c>
      <c r="D756" s="162">
        <v>0</v>
      </c>
      <c r="E756" s="162">
        <v>112.5</v>
      </c>
      <c r="F756" s="162">
        <v>30977.34</v>
      </c>
      <c r="G756" s="162" t="s">
        <v>17</v>
      </c>
      <c r="H756" s="162" t="s">
        <v>1779</v>
      </c>
    </row>
    <row r="757" spans="1:8" x14ac:dyDescent="0.3">
      <c r="A757" s="161">
        <v>45923</v>
      </c>
      <c r="B757" s="162" t="s">
        <v>50</v>
      </c>
      <c r="C757" s="162" t="s">
        <v>517</v>
      </c>
      <c r="D757" s="162">
        <v>74.92</v>
      </c>
      <c r="E757" s="162">
        <v>0</v>
      </c>
      <c r="F757" s="162">
        <v>30864.84</v>
      </c>
      <c r="G757" s="162" t="s">
        <v>49</v>
      </c>
      <c r="H757" s="162" t="s">
        <v>1779</v>
      </c>
    </row>
    <row r="758" spans="1:8" x14ac:dyDescent="0.3">
      <c r="A758" s="161">
        <v>45923</v>
      </c>
      <c r="B758" s="162" t="s">
        <v>515</v>
      </c>
      <c r="C758" s="162" t="s">
        <v>516</v>
      </c>
      <c r="D758" s="162">
        <v>0</v>
      </c>
      <c r="E758" s="162">
        <v>5999.63</v>
      </c>
      <c r="F758" s="162">
        <v>30939.759999999998</v>
      </c>
      <c r="G758" s="162" t="s">
        <v>49</v>
      </c>
      <c r="H758" s="162" t="s">
        <v>1779</v>
      </c>
    </row>
    <row r="759" spans="1:8" x14ac:dyDescent="0.3">
      <c r="A759" s="161">
        <v>45924</v>
      </c>
      <c r="B759" s="162" t="s">
        <v>50</v>
      </c>
      <c r="C759" s="162" t="s">
        <v>522</v>
      </c>
      <c r="D759" s="162">
        <v>897.38</v>
      </c>
      <c r="E759" s="162">
        <v>0</v>
      </c>
      <c r="F759" s="162">
        <v>25110.3</v>
      </c>
      <c r="G759" s="162" t="s">
        <v>49</v>
      </c>
      <c r="H759" s="162" t="s">
        <v>1779</v>
      </c>
    </row>
    <row r="760" spans="1:8" x14ac:dyDescent="0.3">
      <c r="A760" s="161">
        <v>45924</v>
      </c>
      <c r="B760" s="162" t="s">
        <v>50</v>
      </c>
      <c r="C760" s="162" t="s">
        <v>521</v>
      </c>
      <c r="D760" s="162">
        <v>66.010000000000005</v>
      </c>
      <c r="E760" s="162">
        <v>0</v>
      </c>
      <c r="F760" s="162">
        <v>26007.68</v>
      </c>
      <c r="G760" s="162" t="s">
        <v>49</v>
      </c>
      <c r="H760" s="162" t="s">
        <v>1779</v>
      </c>
    </row>
    <row r="761" spans="1:8" x14ac:dyDescent="0.3">
      <c r="A761" s="161">
        <v>45924</v>
      </c>
      <c r="B761" s="162" t="s">
        <v>1219</v>
      </c>
      <c r="C761" s="162" t="s">
        <v>1005</v>
      </c>
      <c r="D761" s="162">
        <v>1500</v>
      </c>
      <c r="E761" s="162">
        <v>0</v>
      </c>
      <c r="F761" s="162">
        <v>45448.27</v>
      </c>
      <c r="G761" s="162" t="s">
        <v>1028</v>
      </c>
      <c r="H761" s="162" t="s">
        <v>1680</v>
      </c>
    </row>
    <row r="762" spans="1:8" x14ac:dyDescent="0.3">
      <c r="A762" s="161">
        <v>45924</v>
      </c>
      <c r="B762" s="162" t="s">
        <v>1217</v>
      </c>
      <c r="C762" s="162" t="s">
        <v>1005</v>
      </c>
      <c r="D762" s="162">
        <v>1500</v>
      </c>
      <c r="E762" s="162">
        <v>0</v>
      </c>
      <c r="F762" s="162">
        <v>47000.27</v>
      </c>
      <c r="G762" s="162" t="s">
        <v>1028</v>
      </c>
      <c r="H762" s="162" t="s">
        <v>1680</v>
      </c>
    </row>
    <row r="763" spans="1:8" x14ac:dyDescent="0.3">
      <c r="A763" s="161">
        <v>45924</v>
      </c>
      <c r="B763" s="162" t="s">
        <v>1218</v>
      </c>
      <c r="C763" s="162" t="s">
        <v>1005</v>
      </c>
      <c r="D763" s="162">
        <v>52</v>
      </c>
      <c r="E763" s="162">
        <v>0</v>
      </c>
      <c r="F763" s="162">
        <v>46948.27</v>
      </c>
      <c r="G763" s="162" t="s">
        <v>131</v>
      </c>
      <c r="H763" s="162" t="s">
        <v>1680</v>
      </c>
    </row>
    <row r="764" spans="1:8" x14ac:dyDescent="0.3">
      <c r="A764" s="161">
        <v>45925</v>
      </c>
      <c r="B764" s="162" t="s">
        <v>1718</v>
      </c>
      <c r="C764" s="162"/>
      <c r="D764" s="162">
        <v>0</v>
      </c>
      <c r="E764" s="162">
        <v>135</v>
      </c>
      <c r="F764" s="162">
        <v>29048.959999999999</v>
      </c>
      <c r="G764" s="162" t="s">
        <v>22</v>
      </c>
      <c r="H764" s="162" t="s">
        <v>837</v>
      </c>
    </row>
    <row r="765" spans="1:8" x14ac:dyDescent="0.3">
      <c r="A765" s="161">
        <v>45925</v>
      </c>
      <c r="B765" s="162" t="s">
        <v>50</v>
      </c>
      <c r="C765" s="162" t="s">
        <v>523</v>
      </c>
      <c r="D765" s="162">
        <v>68.14</v>
      </c>
      <c r="E765" s="162">
        <v>0</v>
      </c>
      <c r="F765" s="162">
        <v>25042.16</v>
      </c>
      <c r="G765" s="162" t="s">
        <v>49</v>
      </c>
      <c r="H765" s="162" t="s">
        <v>1779</v>
      </c>
    </row>
    <row r="766" spans="1:8" x14ac:dyDescent="0.3">
      <c r="A766" s="161">
        <v>45925</v>
      </c>
      <c r="B766" s="162" t="s">
        <v>50</v>
      </c>
      <c r="C766" s="162" t="s">
        <v>524</v>
      </c>
      <c r="D766" s="162">
        <v>2325.06</v>
      </c>
      <c r="E766" s="162">
        <v>0</v>
      </c>
      <c r="F766" s="162">
        <v>22717.1</v>
      </c>
      <c r="G766" s="162" t="s">
        <v>49</v>
      </c>
      <c r="H766" s="162" t="s">
        <v>1779</v>
      </c>
    </row>
    <row r="767" spans="1:8" x14ac:dyDescent="0.3">
      <c r="A767" s="161">
        <v>45925</v>
      </c>
      <c r="B767" s="162" t="s">
        <v>1220</v>
      </c>
      <c r="C767" s="162" t="s">
        <v>1005</v>
      </c>
      <c r="D767" s="162">
        <v>1500</v>
      </c>
      <c r="E767" s="162">
        <v>0</v>
      </c>
      <c r="F767" s="162">
        <v>43948.27</v>
      </c>
      <c r="G767" s="162" t="s">
        <v>1028</v>
      </c>
      <c r="H767" s="162" t="s">
        <v>1680</v>
      </c>
    </row>
    <row r="768" spans="1:8" x14ac:dyDescent="0.3">
      <c r="A768" s="161">
        <v>45925.640138888892</v>
      </c>
      <c r="B768" s="162" t="s">
        <v>2293</v>
      </c>
      <c r="C768" s="162" t="s">
        <v>2294</v>
      </c>
      <c r="D768" s="162">
        <v>0</v>
      </c>
      <c r="E768" s="162">
        <v>30</v>
      </c>
      <c r="F768" s="162">
        <v>9019.58</v>
      </c>
      <c r="G768" s="162" t="s">
        <v>17</v>
      </c>
      <c r="H768" s="162" t="s">
        <v>1019</v>
      </c>
    </row>
    <row r="769" spans="1:8" x14ac:dyDescent="0.3">
      <c r="A769" s="161">
        <v>45926</v>
      </c>
      <c r="B769" s="162" t="s">
        <v>50</v>
      </c>
      <c r="C769" s="162" t="s">
        <v>528</v>
      </c>
      <c r="D769" s="162">
        <v>15304.83</v>
      </c>
      <c r="E769" s="162">
        <v>0</v>
      </c>
      <c r="F769" s="162">
        <v>60145.120000000003</v>
      </c>
      <c r="G769" s="162" t="s">
        <v>49</v>
      </c>
      <c r="H769" s="162" t="s">
        <v>1779</v>
      </c>
    </row>
    <row r="770" spans="1:8" x14ac:dyDescent="0.3">
      <c r="A770" s="161">
        <v>45926</v>
      </c>
      <c r="B770" s="162" t="s">
        <v>1734</v>
      </c>
      <c r="C770" s="162"/>
      <c r="D770" s="162">
        <v>15000</v>
      </c>
      <c r="E770" s="162">
        <v>0</v>
      </c>
      <c r="F770" s="162">
        <v>14048.96</v>
      </c>
      <c r="G770" s="162" t="s">
        <v>1735</v>
      </c>
      <c r="H770" s="162" t="s">
        <v>837</v>
      </c>
    </row>
    <row r="771" spans="1:8" x14ac:dyDescent="0.3">
      <c r="A771" s="161">
        <v>45926</v>
      </c>
      <c r="B771" s="162" t="s">
        <v>50</v>
      </c>
      <c r="C771" s="162" t="s">
        <v>527</v>
      </c>
      <c r="D771" s="162">
        <v>67.31</v>
      </c>
      <c r="E771" s="162">
        <v>0</v>
      </c>
      <c r="F771" s="162">
        <v>75449.95</v>
      </c>
      <c r="G771" s="162" t="s">
        <v>49</v>
      </c>
      <c r="H771" s="162" t="s">
        <v>1779</v>
      </c>
    </row>
    <row r="772" spans="1:8" x14ac:dyDescent="0.3">
      <c r="A772" s="161">
        <v>45926</v>
      </c>
      <c r="B772" s="162" t="s">
        <v>1221</v>
      </c>
      <c r="C772" s="162" t="s">
        <v>1005</v>
      </c>
      <c r="D772" s="162">
        <v>396</v>
      </c>
      <c r="E772" s="162">
        <v>0</v>
      </c>
      <c r="F772" s="162">
        <v>43552.27</v>
      </c>
      <c r="G772" s="162" t="s">
        <v>91</v>
      </c>
      <c r="H772" s="162" t="s">
        <v>1680</v>
      </c>
    </row>
    <row r="773" spans="1:8" x14ac:dyDescent="0.3">
      <c r="A773" s="161">
        <v>45926</v>
      </c>
      <c r="B773" s="162" t="s">
        <v>525</v>
      </c>
      <c r="C773" s="162" t="s">
        <v>526</v>
      </c>
      <c r="D773" s="162">
        <v>0</v>
      </c>
      <c r="E773" s="162">
        <v>52800.160000000003</v>
      </c>
      <c r="F773" s="162">
        <v>75517.259999999995</v>
      </c>
      <c r="G773" s="162" t="s">
        <v>49</v>
      </c>
      <c r="H773" s="162" t="s">
        <v>1779</v>
      </c>
    </row>
    <row r="774" spans="1:8" x14ac:dyDescent="0.3">
      <c r="A774" s="161">
        <v>45927</v>
      </c>
      <c r="B774" s="162" t="s">
        <v>1223</v>
      </c>
      <c r="C774" s="162" t="s">
        <v>1005</v>
      </c>
      <c r="D774" s="162">
        <v>1500</v>
      </c>
      <c r="E774" s="162">
        <v>0</v>
      </c>
      <c r="F774" s="162">
        <v>42052.27</v>
      </c>
      <c r="G774" s="162" t="s">
        <v>1028</v>
      </c>
      <c r="H774" s="162" t="s">
        <v>1680</v>
      </c>
    </row>
    <row r="775" spans="1:8" x14ac:dyDescent="0.3">
      <c r="A775" s="161">
        <v>45927</v>
      </c>
      <c r="B775" s="162" t="s">
        <v>1224</v>
      </c>
      <c r="C775" s="162" t="s">
        <v>1005</v>
      </c>
      <c r="D775" s="162">
        <v>1500</v>
      </c>
      <c r="E775" s="162">
        <v>0</v>
      </c>
      <c r="F775" s="162">
        <v>40552.269999999997</v>
      </c>
      <c r="G775" s="162" t="s">
        <v>1028</v>
      </c>
      <c r="H775" s="162" t="s">
        <v>1680</v>
      </c>
    </row>
    <row r="776" spans="1:8" x14ac:dyDescent="0.3">
      <c r="A776" s="161">
        <v>45928</v>
      </c>
      <c r="B776" s="162" t="s">
        <v>1227</v>
      </c>
      <c r="C776" s="162" t="s">
        <v>1005</v>
      </c>
      <c r="D776" s="162">
        <v>2583.6</v>
      </c>
      <c r="E776" s="162">
        <v>0</v>
      </c>
      <c r="F776" s="162">
        <v>37804.67</v>
      </c>
      <c r="G776" s="162" t="s">
        <v>1014</v>
      </c>
      <c r="H776" s="162" t="s">
        <v>1680</v>
      </c>
    </row>
    <row r="777" spans="1:8" x14ac:dyDescent="0.3">
      <c r="A777" s="161">
        <v>45928</v>
      </c>
      <c r="B777" s="162" t="s">
        <v>1225</v>
      </c>
      <c r="C777" s="162" t="s">
        <v>1005</v>
      </c>
      <c r="D777" s="162">
        <v>164</v>
      </c>
      <c r="E777" s="162">
        <v>0</v>
      </c>
      <c r="F777" s="162">
        <v>40388.269999999997</v>
      </c>
      <c r="G777" s="162" t="s">
        <v>91</v>
      </c>
      <c r="H777" s="162" t="s">
        <v>1680</v>
      </c>
    </row>
    <row r="778" spans="1:8" x14ac:dyDescent="0.3">
      <c r="A778" s="161">
        <v>45928.299409722233</v>
      </c>
      <c r="B778" s="162" t="s">
        <v>2295</v>
      </c>
      <c r="C778" s="162" t="s">
        <v>2296</v>
      </c>
      <c r="D778" s="162">
        <v>7000</v>
      </c>
      <c r="E778" s="162">
        <v>0</v>
      </c>
      <c r="F778" s="162">
        <v>2019.58</v>
      </c>
      <c r="G778" s="162" t="s">
        <v>2</v>
      </c>
      <c r="H778" s="162" t="s">
        <v>1019</v>
      </c>
    </row>
    <row r="779" spans="1:8" x14ac:dyDescent="0.3">
      <c r="A779" s="161">
        <v>45928.690486111111</v>
      </c>
      <c r="B779" s="162" t="s">
        <v>2297</v>
      </c>
      <c r="C779" s="162" t="s">
        <v>2298</v>
      </c>
      <c r="D779" s="162">
        <v>0</v>
      </c>
      <c r="E779" s="162">
        <v>999.99</v>
      </c>
      <c r="F779" s="162">
        <v>3019.57</v>
      </c>
      <c r="G779" s="162" t="s">
        <v>91</v>
      </c>
      <c r="H779" s="162" t="s">
        <v>1019</v>
      </c>
    </row>
    <row r="780" spans="1:8" x14ac:dyDescent="0.3">
      <c r="A780" s="161">
        <v>45929</v>
      </c>
      <c r="B780" s="162" t="s">
        <v>529</v>
      </c>
      <c r="C780" s="162" t="s">
        <v>530</v>
      </c>
      <c r="D780" s="162">
        <v>0</v>
      </c>
      <c r="E780" s="162">
        <v>92107.53</v>
      </c>
      <c r="F780" s="162">
        <v>152252.65</v>
      </c>
      <c r="G780" s="162" t="s">
        <v>49</v>
      </c>
      <c r="H780" s="162" t="s">
        <v>1779</v>
      </c>
    </row>
    <row r="781" spans="1:8" x14ac:dyDescent="0.3">
      <c r="A781" s="161">
        <v>45929</v>
      </c>
      <c r="B781" s="162" t="s">
        <v>531</v>
      </c>
      <c r="C781" s="162" t="s">
        <v>532</v>
      </c>
      <c r="D781" s="162">
        <v>25000</v>
      </c>
      <c r="E781" s="162">
        <v>0</v>
      </c>
      <c r="F781" s="162">
        <v>127252.65</v>
      </c>
      <c r="G781" s="162" t="s">
        <v>181</v>
      </c>
      <c r="H781" s="162" t="s">
        <v>1779</v>
      </c>
    </row>
    <row r="782" spans="1:8" x14ac:dyDescent="0.3">
      <c r="A782" s="161">
        <v>45929</v>
      </c>
      <c r="B782" s="162" t="s">
        <v>533</v>
      </c>
      <c r="C782" s="162" t="s">
        <v>534</v>
      </c>
      <c r="D782" s="162">
        <v>5000</v>
      </c>
      <c r="E782" s="162">
        <v>0</v>
      </c>
      <c r="F782" s="162">
        <v>122252.65</v>
      </c>
      <c r="G782" s="162" t="s">
        <v>2</v>
      </c>
      <c r="H782" s="162" t="s">
        <v>1779</v>
      </c>
    </row>
    <row r="783" spans="1:8" x14ac:dyDescent="0.3">
      <c r="A783" s="161">
        <v>45929</v>
      </c>
      <c r="B783" s="162" t="s">
        <v>50</v>
      </c>
      <c r="C783" s="162" t="s">
        <v>535</v>
      </c>
      <c r="D783" s="162">
        <v>185.58</v>
      </c>
      <c r="E783" s="162">
        <v>0</v>
      </c>
      <c r="F783" s="162">
        <v>122067.07</v>
      </c>
      <c r="G783" s="162" t="s">
        <v>49</v>
      </c>
      <c r="H783" s="162" t="s">
        <v>1779</v>
      </c>
    </row>
    <row r="784" spans="1:8" x14ac:dyDescent="0.3">
      <c r="A784" s="161">
        <v>45929</v>
      </c>
      <c r="B784" s="162" t="s">
        <v>50</v>
      </c>
      <c r="C784" s="162" t="s">
        <v>536</v>
      </c>
      <c r="D784" s="162">
        <v>28087.66</v>
      </c>
      <c r="E784" s="162">
        <v>0</v>
      </c>
      <c r="F784" s="162">
        <v>93979.41</v>
      </c>
      <c r="G784" s="162" t="s">
        <v>49</v>
      </c>
      <c r="H784" s="162" t="s">
        <v>1779</v>
      </c>
    </row>
    <row r="785" spans="1:8" x14ac:dyDescent="0.3">
      <c r="A785" s="161">
        <v>45929</v>
      </c>
      <c r="B785" s="162" t="s">
        <v>50</v>
      </c>
      <c r="C785" s="162" t="s">
        <v>537</v>
      </c>
      <c r="D785" s="162">
        <v>8404.8700000000008</v>
      </c>
      <c r="E785" s="162">
        <v>0</v>
      </c>
      <c r="F785" s="162">
        <v>85574.54</v>
      </c>
      <c r="G785" s="162" t="s">
        <v>49</v>
      </c>
      <c r="H785" s="162" t="s">
        <v>1779</v>
      </c>
    </row>
    <row r="786" spans="1:8" x14ac:dyDescent="0.3">
      <c r="A786" s="161">
        <v>45929</v>
      </c>
      <c r="B786" s="162" t="s">
        <v>1228</v>
      </c>
      <c r="C786" s="162" t="s">
        <v>1005</v>
      </c>
      <c r="D786" s="162">
        <v>1500</v>
      </c>
      <c r="E786" s="162">
        <v>0</v>
      </c>
      <c r="F786" s="162">
        <v>36304.67</v>
      </c>
      <c r="G786" s="162" t="s">
        <v>1028</v>
      </c>
      <c r="H786" s="162" t="s">
        <v>1680</v>
      </c>
    </row>
    <row r="787" spans="1:8" x14ac:dyDescent="0.3">
      <c r="A787" s="161">
        <v>45930</v>
      </c>
      <c r="B787" s="162" t="s">
        <v>1230</v>
      </c>
      <c r="C787" s="162" t="s">
        <v>1005</v>
      </c>
      <c r="D787" s="162">
        <v>360</v>
      </c>
      <c r="E787" s="162">
        <v>0</v>
      </c>
      <c r="F787" s="162">
        <v>34444.67</v>
      </c>
      <c r="G787" s="162" t="s">
        <v>1053</v>
      </c>
      <c r="H787" s="162" t="s">
        <v>1680</v>
      </c>
    </row>
    <row r="788" spans="1:8" x14ac:dyDescent="0.3">
      <c r="A788" s="161">
        <v>45930</v>
      </c>
      <c r="B788" s="162" t="s">
        <v>50</v>
      </c>
      <c r="C788" s="162" t="s">
        <v>542</v>
      </c>
      <c r="D788" s="162">
        <v>574.41</v>
      </c>
      <c r="E788" s="162">
        <v>0</v>
      </c>
      <c r="F788" s="162">
        <v>42239.77</v>
      </c>
      <c r="G788" s="162" t="s">
        <v>49</v>
      </c>
      <c r="H788" s="162" t="s">
        <v>1779</v>
      </c>
    </row>
    <row r="789" spans="1:8" x14ac:dyDescent="0.3">
      <c r="A789" s="161">
        <v>45930</v>
      </c>
      <c r="B789" s="162" t="s">
        <v>50</v>
      </c>
      <c r="C789" s="162" t="s">
        <v>541</v>
      </c>
      <c r="D789" s="162">
        <v>37698.99</v>
      </c>
      <c r="E789" s="162">
        <v>0</v>
      </c>
      <c r="F789" s="162">
        <v>42814.18</v>
      </c>
      <c r="G789" s="162" t="s">
        <v>49</v>
      </c>
      <c r="H789" s="162" t="s">
        <v>1779</v>
      </c>
    </row>
    <row r="790" spans="1:8" x14ac:dyDescent="0.3">
      <c r="A790" s="161">
        <v>45930</v>
      </c>
      <c r="B790" s="162" t="s">
        <v>50</v>
      </c>
      <c r="C790" s="162" t="s">
        <v>540</v>
      </c>
      <c r="D790" s="162">
        <v>61.37</v>
      </c>
      <c r="E790" s="162">
        <v>0</v>
      </c>
      <c r="F790" s="162">
        <v>80513.17</v>
      </c>
      <c r="G790" s="162" t="s">
        <v>49</v>
      </c>
      <c r="H790" s="162" t="s">
        <v>1779</v>
      </c>
    </row>
    <row r="791" spans="1:8" x14ac:dyDescent="0.3">
      <c r="A791" s="161">
        <v>45930</v>
      </c>
      <c r="B791" s="162" t="s">
        <v>538</v>
      </c>
      <c r="C791" s="162" t="s">
        <v>539</v>
      </c>
      <c r="D791" s="162">
        <v>5000</v>
      </c>
      <c r="E791" s="162">
        <v>0</v>
      </c>
      <c r="F791" s="162">
        <v>80574.539999999994</v>
      </c>
      <c r="G791" s="162" t="s">
        <v>2</v>
      </c>
      <c r="H791" s="162" t="s">
        <v>1779</v>
      </c>
    </row>
    <row r="792" spans="1:8" x14ac:dyDescent="0.3">
      <c r="A792" s="161">
        <v>45930</v>
      </c>
      <c r="B792" s="162" t="s">
        <v>1229</v>
      </c>
      <c r="C792" s="162" t="s">
        <v>1005</v>
      </c>
      <c r="D792" s="162">
        <v>1500</v>
      </c>
      <c r="E792" s="162">
        <v>0</v>
      </c>
      <c r="F792" s="162">
        <v>34804.67</v>
      </c>
      <c r="G792" s="162" t="s">
        <v>1028</v>
      </c>
      <c r="H792" s="162" t="s">
        <v>1680</v>
      </c>
    </row>
    <row r="793" spans="1:8" x14ac:dyDescent="0.3">
      <c r="A793" s="161">
        <v>45931</v>
      </c>
      <c r="B793" s="162" t="s">
        <v>1232</v>
      </c>
      <c r="C793" s="162" t="s">
        <v>1005</v>
      </c>
      <c r="D793" s="162">
        <v>0</v>
      </c>
      <c r="E793" s="162">
        <v>98705</v>
      </c>
      <c r="F793" s="162">
        <v>131649.67000000001</v>
      </c>
      <c r="G793" s="162" t="s">
        <v>972</v>
      </c>
      <c r="H793" s="162" t="s">
        <v>1680</v>
      </c>
    </row>
    <row r="794" spans="1:8" x14ac:dyDescent="0.3">
      <c r="A794" s="161">
        <v>45931</v>
      </c>
      <c r="B794" s="162" t="s">
        <v>545</v>
      </c>
      <c r="C794" s="162" t="s">
        <v>546</v>
      </c>
      <c r="D794" s="162">
        <v>0</v>
      </c>
      <c r="E794" s="162">
        <v>25</v>
      </c>
      <c r="F794" s="162">
        <v>42407.25</v>
      </c>
      <c r="G794" s="162" t="s">
        <v>17</v>
      </c>
      <c r="H794" s="162" t="s">
        <v>1779</v>
      </c>
    </row>
    <row r="795" spans="1:8" x14ac:dyDescent="0.3">
      <c r="A795" s="161">
        <v>45931</v>
      </c>
      <c r="B795" s="162" t="s">
        <v>543</v>
      </c>
      <c r="C795" s="162" t="s">
        <v>83</v>
      </c>
      <c r="D795" s="162">
        <v>0</v>
      </c>
      <c r="E795" s="162">
        <v>208</v>
      </c>
      <c r="F795" s="162">
        <v>42447.77</v>
      </c>
      <c r="G795" s="162" t="s">
        <v>22</v>
      </c>
      <c r="H795" s="162" t="s">
        <v>1779</v>
      </c>
    </row>
    <row r="796" spans="1:8" x14ac:dyDescent="0.3">
      <c r="A796" s="161">
        <v>45931</v>
      </c>
      <c r="B796" s="162" t="s">
        <v>50</v>
      </c>
      <c r="C796" s="162" t="s">
        <v>544</v>
      </c>
      <c r="D796" s="162">
        <v>65.52</v>
      </c>
      <c r="E796" s="162">
        <v>0</v>
      </c>
      <c r="F796" s="162">
        <v>42382.25</v>
      </c>
      <c r="G796" s="162" t="s">
        <v>49</v>
      </c>
      <c r="H796" s="162" t="s">
        <v>1779</v>
      </c>
    </row>
    <row r="797" spans="1:8" x14ac:dyDescent="0.3">
      <c r="A797" s="161">
        <v>45931</v>
      </c>
      <c r="B797" s="162" t="s">
        <v>1233</v>
      </c>
      <c r="C797" s="162" t="s">
        <v>1005</v>
      </c>
      <c r="D797" s="162">
        <v>0</v>
      </c>
      <c r="E797" s="162">
        <v>480</v>
      </c>
      <c r="F797" s="162">
        <v>132129.67000000001</v>
      </c>
      <c r="G797" s="162" t="s">
        <v>22</v>
      </c>
      <c r="H797" s="162" t="s">
        <v>1680</v>
      </c>
    </row>
    <row r="798" spans="1:8" x14ac:dyDescent="0.3">
      <c r="A798" s="161">
        <v>45931</v>
      </c>
      <c r="B798" s="162" t="s">
        <v>1231</v>
      </c>
      <c r="C798" s="162" t="s">
        <v>1005</v>
      </c>
      <c r="D798" s="162">
        <v>1500</v>
      </c>
      <c r="E798" s="162">
        <v>0</v>
      </c>
      <c r="F798" s="162">
        <v>32944.67</v>
      </c>
      <c r="G798" s="162" t="s">
        <v>1028</v>
      </c>
      <c r="H798" s="162" t="s">
        <v>1680</v>
      </c>
    </row>
    <row r="799" spans="1:8" x14ac:dyDescent="0.3">
      <c r="A799" s="161">
        <v>45931.204317129632</v>
      </c>
      <c r="B799" s="162" t="s">
        <v>2299</v>
      </c>
      <c r="C799" s="162"/>
      <c r="D799" s="162">
        <v>0</v>
      </c>
      <c r="E799" s="162">
        <v>114</v>
      </c>
      <c r="F799" s="162">
        <v>3133.57</v>
      </c>
      <c r="G799" s="162" t="s">
        <v>22</v>
      </c>
      <c r="H799" s="162" t="s">
        <v>1019</v>
      </c>
    </row>
    <row r="800" spans="1:8" x14ac:dyDescent="0.3">
      <c r="A800" s="161">
        <v>45932</v>
      </c>
      <c r="B800" s="162" t="s">
        <v>1234</v>
      </c>
      <c r="C800" s="162" t="s">
        <v>1005</v>
      </c>
      <c r="D800" s="162">
        <v>1500</v>
      </c>
      <c r="E800" s="162">
        <v>0</v>
      </c>
      <c r="F800" s="162">
        <v>130629.67</v>
      </c>
      <c r="G800" s="162" t="s">
        <v>1028</v>
      </c>
      <c r="H800" s="162" t="s">
        <v>1680</v>
      </c>
    </row>
    <row r="801" spans="1:8" x14ac:dyDescent="0.3">
      <c r="A801" s="161">
        <v>45932</v>
      </c>
      <c r="B801" s="162" t="s">
        <v>1235</v>
      </c>
      <c r="C801" s="162" t="s">
        <v>1005</v>
      </c>
      <c r="D801" s="162">
        <v>23000</v>
      </c>
      <c r="E801" s="162">
        <v>0</v>
      </c>
      <c r="F801" s="162">
        <v>107629.67</v>
      </c>
      <c r="G801" s="162" t="s">
        <v>990</v>
      </c>
      <c r="H801" s="162" t="s">
        <v>1680</v>
      </c>
    </row>
    <row r="802" spans="1:8" x14ac:dyDescent="0.3">
      <c r="A802" s="161">
        <v>45932</v>
      </c>
      <c r="B802" s="162" t="s">
        <v>1236</v>
      </c>
      <c r="C802" s="162" t="s">
        <v>1005</v>
      </c>
      <c r="D802" s="162">
        <v>1500</v>
      </c>
      <c r="E802" s="162">
        <v>0</v>
      </c>
      <c r="F802" s="162">
        <v>106129.67</v>
      </c>
      <c r="G802" s="162" t="s">
        <v>1028</v>
      </c>
      <c r="H802" s="162" t="s">
        <v>1680</v>
      </c>
    </row>
    <row r="803" spans="1:8" x14ac:dyDescent="0.3">
      <c r="A803" s="161">
        <v>45933</v>
      </c>
      <c r="B803" s="162" t="s">
        <v>547</v>
      </c>
      <c r="C803" s="162" t="s">
        <v>548</v>
      </c>
      <c r="D803" s="162">
        <v>0</v>
      </c>
      <c r="E803" s="162">
        <v>2341.13</v>
      </c>
      <c r="F803" s="162">
        <v>44748.38</v>
      </c>
      <c r="G803" s="162" t="s">
        <v>49</v>
      </c>
      <c r="H803" s="162" t="s">
        <v>1779</v>
      </c>
    </row>
    <row r="804" spans="1:8" x14ac:dyDescent="0.3">
      <c r="A804" s="161">
        <v>45933</v>
      </c>
      <c r="B804" s="162" t="s">
        <v>549</v>
      </c>
      <c r="C804" s="162" t="s">
        <v>550</v>
      </c>
      <c r="D804" s="162">
        <v>20000</v>
      </c>
      <c r="E804" s="162">
        <v>0</v>
      </c>
      <c r="F804" s="162">
        <v>24748.38</v>
      </c>
      <c r="G804" s="162" t="s">
        <v>157</v>
      </c>
      <c r="H804" s="162" t="s">
        <v>1779</v>
      </c>
    </row>
    <row r="805" spans="1:8" x14ac:dyDescent="0.3">
      <c r="A805" s="161">
        <v>45933</v>
      </c>
      <c r="B805" s="162" t="s">
        <v>50</v>
      </c>
      <c r="C805" s="162" t="s">
        <v>551</v>
      </c>
      <c r="D805" s="162">
        <v>157.9</v>
      </c>
      <c r="E805" s="162">
        <v>0</v>
      </c>
      <c r="F805" s="162">
        <v>24590.48</v>
      </c>
      <c r="G805" s="162" t="s">
        <v>49</v>
      </c>
      <c r="H805" s="162" t="s">
        <v>1779</v>
      </c>
    </row>
    <row r="806" spans="1:8" x14ac:dyDescent="0.3">
      <c r="A806" s="161">
        <v>45933</v>
      </c>
      <c r="B806" s="162" t="s">
        <v>59</v>
      </c>
      <c r="C806" s="162" t="s">
        <v>552</v>
      </c>
      <c r="D806" s="162">
        <v>0</v>
      </c>
      <c r="E806" s="162">
        <v>6563.08</v>
      </c>
      <c r="F806" s="162">
        <v>31153.56</v>
      </c>
      <c r="G806" s="162" t="s">
        <v>49</v>
      </c>
      <c r="H806" s="162" t="s">
        <v>1779</v>
      </c>
    </row>
    <row r="807" spans="1:8" x14ac:dyDescent="0.3">
      <c r="A807" s="161">
        <v>45933</v>
      </c>
      <c r="B807" s="162" t="s">
        <v>1237</v>
      </c>
      <c r="C807" s="162" t="s">
        <v>1005</v>
      </c>
      <c r="D807" s="162">
        <v>14739</v>
      </c>
      <c r="E807" s="162">
        <v>0</v>
      </c>
      <c r="F807" s="162">
        <v>91390.67</v>
      </c>
      <c r="G807" s="162" t="s">
        <v>991</v>
      </c>
      <c r="H807" s="162" t="s">
        <v>1680</v>
      </c>
    </row>
    <row r="808" spans="1:8" x14ac:dyDescent="0.3">
      <c r="A808" s="161">
        <v>45934</v>
      </c>
      <c r="B808" s="162" t="s">
        <v>1241</v>
      </c>
      <c r="C808" s="162" t="s">
        <v>1005</v>
      </c>
      <c r="D808" s="162">
        <v>20000</v>
      </c>
      <c r="E808" s="162">
        <v>0</v>
      </c>
      <c r="F808" s="162">
        <v>65327.07</v>
      </c>
      <c r="G808" s="162" t="s">
        <v>1031</v>
      </c>
      <c r="H808" s="162" t="s">
        <v>1680</v>
      </c>
    </row>
    <row r="809" spans="1:8" x14ac:dyDescent="0.3">
      <c r="A809" s="161">
        <v>45934</v>
      </c>
      <c r="B809" s="162" t="s">
        <v>1239</v>
      </c>
      <c r="C809" s="162" t="s">
        <v>1005</v>
      </c>
      <c r="D809" s="162">
        <v>310</v>
      </c>
      <c r="E809" s="162">
        <v>0</v>
      </c>
      <c r="F809" s="162">
        <v>89580.67</v>
      </c>
      <c r="G809" s="162" t="s">
        <v>1053</v>
      </c>
      <c r="H809" s="162" t="s">
        <v>1680</v>
      </c>
    </row>
    <row r="810" spans="1:8" x14ac:dyDescent="0.3">
      <c r="A810" s="161">
        <v>45934</v>
      </c>
      <c r="B810" s="162" t="s">
        <v>1238</v>
      </c>
      <c r="C810" s="162" t="s">
        <v>1005</v>
      </c>
      <c r="D810" s="162">
        <v>1500</v>
      </c>
      <c r="E810" s="162">
        <v>0</v>
      </c>
      <c r="F810" s="162">
        <v>89890.67</v>
      </c>
      <c r="G810" s="162" t="s">
        <v>1028</v>
      </c>
      <c r="H810" s="162" t="s">
        <v>1680</v>
      </c>
    </row>
    <row r="811" spans="1:8" x14ac:dyDescent="0.3">
      <c r="A811" s="161">
        <v>45934</v>
      </c>
      <c r="B811" s="162" t="s">
        <v>1240</v>
      </c>
      <c r="C811" s="162" t="s">
        <v>1005</v>
      </c>
      <c r="D811" s="162">
        <v>4253.6000000000004</v>
      </c>
      <c r="E811" s="162">
        <v>0</v>
      </c>
      <c r="F811" s="162">
        <v>85327.07</v>
      </c>
      <c r="G811" s="162" t="s">
        <v>1014</v>
      </c>
      <c r="H811" s="162" t="s">
        <v>1680</v>
      </c>
    </row>
    <row r="812" spans="1:8" x14ac:dyDescent="0.3">
      <c r="A812" s="161">
        <v>45934.27615740741</v>
      </c>
      <c r="B812" s="162" t="s">
        <v>2300</v>
      </c>
      <c r="C812" s="162" t="s">
        <v>2301</v>
      </c>
      <c r="D812" s="162">
        <v>0</v>
      </c>
      <c r="E812" s="162">
        <v>5974.19</v>
      </c>
      <c r="F812" s="162">
        <v>9107.76</v>
      </c>
      <c r="G812" s="162" t="s">
        <v>1735</v>
      </c>
      <c r="H812" s="162" t="s">
        <v>1019</v>
      </c>
    </row>
    <row r="813" spans="1:8" x14ac:dyDescent="0.3">
      <c r="A813" s="161">
        <v>45934.803043981483</v>
      </c>
      <c r="B813" s="162" t="s">
        <v>2302</v>
      </c>
      <c r="C813" s="162">
        <v>527713851412</v>
      </c>
      <c r="D813" s="162">
        <v>2</v>
      </c>
      <c r="E813" s="162">
        <v>0</v>
      </c>
      <c r="F813" s="162">
        <v>9105.76</v>
      </c>
      <c r="G813" s="162" t="s">
        <v>91</v>
      </c>
      <c r="H813" s="162" t="s">
        <v>1019</v>
      </c>
    </row>
    <row r="814" spans="1:8" x14ac:dyDescent="0.3">
      <c r="A814" s="161">
        <v>45935</v>
      </c>
      <c r="B814" s="162" t="s">
        <v>1243</v>
      </c>
      <c r="C814" s="162" t="s">
        <v>1005</v>
      </c>
      <c r="D814" s="162">
        <v>450</v>
      </c>
      <c r="E814" s="162">
        <v>0</v>
      </c>
      <c r="F814" s="162">
        <v>63877.07</v>
      </c>
      <c r="G814" s="162" t="s">
        <v>91</v>
      </c>
      <c r="H814" s="162" t="s">
        <v>1680</v>
      </c>
    </row>
    <row r="815" spans="1:8" x14ac:dyDescent="0.3">
      <c r="A815" s="161">
        <v>45935</v>
      </c>
      <c r="B815" s="162" t="s">
        <v>1242</v>
      </c>
      <c r="C815" s="162" t="s">
        <v>1005</v>
      </c>
      <c r="D815" s="162">
        <v>1000</v>
      </c>
      <c r="E815" s="162">
        <v>0</v>
      </c>
      <c r="F815" s="162">
        <v>64327.07</v>
      </c>
      <c r="G815" s="162" t="s">
        <v>1028</v>
      </c>
      <c r="H815" s="162" t="s">
        <v>1680</v>
      </c>
    </row>
    <row r="816" spans="1:8" x14ac:dyDescent="0.3">
      <c r="A816" s="161">
        <v>45936</v>
      </c>
      <c r="B816" s="162" t="s">
        <v>1245</v>
      </c>
      <c r="C816" s="162" t="s">
        <v>1005</v>
      </c>
      <c r="D816" s="162">
        <v>2203.9499999999998</v>
      </c>
      <c r="E816" s="162">
        <v>0</v>
      </c>
      <c r="F816" s="162">
        <v>61673.120000000003</v>
      </c>
      <c r="G816" s="162" t="s">
        <v>1028</v>
      </c>
      <c r="H816" s="162" t="s">
        <v>1680</v>
      </c>
    </row>
    <row r="817" spans="1:8" x14ac:dyDescent="0.3">
      <c r="A817" s="161">
        <v>45936</v>
      </c>
      <c r="B817" s="162" t="s">
        <v>1246</v>
      </c>
      <c r="C817" s="162" t="s">
        <v>1005</v>
      </c>
      <c r="D817" s="162">
        <v>20</v>
      </c>
      <c r="E817" s="162">
        <v>0</v>
      </c>
      <c r="F817" s="162">
        <v>61653.120000000003</v>
      </c>
      <c r="G817" s="162" t="s">
        <v>91</v>
      </c>
      <c r="H817" s="162" t="s">
        <v>1680</v>
      </c>
    </row>
    <row r="818" spans="1:8" x14ac:dyDescent="0.3">
      <c r="A818" s="161">
        <v>45936</v>
      </c>
      <c r="B818" s="162" t="s">
        <v>50</v>
      </c>
      <c r="C818" s="162" t="s">
        <v>553</v>
      </c>
      <c r="D818" s="162">
        <v>246.36</v>
      </c>
      <c r="E818" s="162">
        <v>0</v>
      </c>
      <c r="F818" s="162">
        <v>30907.200000000001</v>
      </c>
      <c r="G818" s="162" t="s">
        <v>49</v>
      </c>
      <c r="H818" s="162" t="s">
        <v>1779</v>
      </c>
    </row>
    <row r="819" spans="1:8" x14ac:dyDescent="0.3">
      <c r="A819" s="161">
        <v>45936.799016203702</v>
      </c>
      <c r="B819" s="162" t="s">
        <v>2303</v>
      </c>
      <c r="C819" s="162" t="s">
        <v>2304</v>
      </c>
      <c r="D819" s="162">
        <v>0</v>
      </c>
      <c r="E819" s="162">
        <v>8</v>
      </c>
      <c r="F819" s="162">
        <v>9113.76</v>
      </c>
      <c r="G819" s="162" t="s">
        <v>17</v>
      </c>
      <c r="H819" s="162" t="s">
        <v>1019</v>
      </c>
    </row>
    <row r="820" spans="1:8" x14ac:dyDescent="0.3">
      <c r="A820" s="161">
        <v>45937</v>
      </c>
      <c r="B820" s="162" t="s">
        <v>50</v>
      </c>
      <c r="C820" s="162" t="s">
        <v>562</v>
      </c>
      <c r="D820" s="162">
        <v>87</v>
      </c>
      <c r="E820" s="162">
        <v>0</v>
      </c>
      <c r="F820" s="162">
        <v>20031.52</v>
      </c>
      <c r="G820" s="162" t="s">
        <v>49</v>
      </c>
      <c r="H820" s="162" t="s">
        <v>1779</v>
      </c>
    </row>
    <row r="821" spans="1:8" x14ac:dyDescent="0.3">
      <c r="A821" s="161">
        <v>45937</v>
      </c>
      <c r="B821" s="162" t="s">
        <v>50</v>
      </c>
      <c r="C821" s="162" t="s">
        <v>563</v>
      </c>
      <c r="D821" s="162">
        <v>7631.26</v>
      </c>
      <c r="E821" s="162">
        <v>0</v>
      </c>
      <c r="F821" s="162">
        <v>12400.26</v>
      </c>
      <c r="G821" s="162" t="s">
        <v>49</v>
      </c>
      <c r="H821" s="162" t="s">
        <v>1779</v>
      </c>
    </row>
    <row r="822" spans="1:8" x14ac:dyDescent="0.3">
      <c r="A822" s="161">
        <v>45937</v>
      </c>
      <c r="B822" s="162" t="s">
        <v>558</v>
      </c>
      <c r="C822" s="162" t="s">
        <v>559</v>
      </c>
      <c r="D822" s="162">
        <v>0</v>
      </c>
      <c r="E822" s="162">
        <v>1880</v>
      </c>
      <c r="F822" s="162">
        <v>120118.52</v>
      </c>
      <c r="G822" s="162" t="s">
        <v>63</v>
      </c>
      <c r="H822" s="162" t="s">
        <v>1779</v>
      </c>
    </row>
    <row r="823" spans="1:8" x14ac:dyDescent="0.3">
      <c r="A823" s="161">
        <v>45937</v>
      </c>
      <c r="B823" s="162" t="s">
        <v>556</v>
      </c>
      <c r="C823" s="162" t="s">
        <v>557</v>
      </c>
      <c r="D823" s="162">
        <v>0</v>
      </c>
      <c r="E823" s="162">
        <v>8511.14</v>
      </c>
      <c r="F823" s="162">
        <v>118238.52</v>
      </c>
      <c r="G823" s="162" t="s">
        <v>49</v>
      </c>
      <c r="H823" s="162" t="s">
        <v>1779</v>
      </c>
    </row>
    <row r="824" spans="1:8" x14ac:dyDescent="0.3">
      <c r="A824" s="161">
        <v>45937</v>
      </c>
      <c r="B824" s="162" t="s">
        <v>554</v>
      </c>
      <c r="C824" s="162" t="s">
        <v>555</v>
      </c>
      <c r="D824" s="162">
        <v>0</v>
      </c>
      <c r="E824" s="162">
        <v>78820.179999999993</v>
      </c>
      <c r="F824" s="162">
        <v>109727.38</v>
      </c>
      <c r="G824" s="162" t="s">
        <v>49</v>
      </c>
      <c r="H824" s="162" t="s">
        <v>1779</v>
      </c>
    </row>
    <row r="825" spans="1:8" x14ac:dyDescent="0.3">
      <c r="A825" s="161">
        <v>45937</v>
      </c>
      <c r="B825" s="162" t="s">
        <v>560</v>
      </c>
      <c r="C825" s="162" t="s">
        <v>561</v>
      </c>
      <c r="D825" s="162">
        <v>100000</v>
      </c>
      <c r="E825" s="162">
        <v>0</v>
      </c>
      <c r="F825" s="162">
        <v>20118.52</v>
      </c>
      <c r="G825" s="162" t="s">
        <v>157</v>
      </c>
      <c r="H825" s="162" t="s">
        <v>1779</v>
      </c>
    </row>
    <row r="826" spans="1:8" x14ac:dyDescent="0.3">
      <c r="A826" s="161">
        <v>45937</v>
      </c>
      <c r="B826" s="162" t="s">
        <v>1248</v>
      </c>
      <c r="C826" s="162" t="s">
        <v>1005</v>
      </c>
      <c r="D826" s="162">
        <v>91</v>
      </c>
      <c r="E826" s="162">
        <v>0</v>
      </c>
      <c r="F826" s="162">
        <v>61562.12</v>
      </c>
      <c r="G826" s="162" t="s">
        <v>91</v>
      </c>
      <c r="H826" s="162" t="s">
        <v>1680</v>
      </c>
    </row>
    <row r="827" spans="1:8" x14ac:dyDescent="0.3">
      <c r="A827" s="161">
        <v>45938</v>
      </c>
      <c r="B827" s="162" t="s">
        <v>1736</v>
      </c>
      <c r="C827" s="162"/>
      <c r="D827" s="162">
        <v>0</v>
      </c>
      <c r="E827" s="162">
        <v>1</v>
      </c>
      <c r="F827" s="162">
        <v>14049.96</v>
      </c>
      <c r="G827" s="162" t="s">
        <v>1031</v>
      </c>
      <c r="H827" s="162" t="s">
        <v>837</v>
      </c>
    </row>
    <row r="828" spans="1:8" x14ac:dyDescent="0.3">
      <c r="A828" s="161">
        <v>45938</v>
      </c>
      <c r="B828" s="162" t="s">
        <v>50</v>
      </c>
      <c r="C828" s="162" t="s">
        <v>564</v>
      </c>
      <c r="D828" s="162">
        <v>79.569999999999993</v>
      </c>
      <c r="E828" s="162">
        <v>0</v>
      </c>
      <c r="F828" s="162">
        <v>12320.69</v>
      </c>
      <c r="G828" s="162" t="s">
        <v>49</v>
      </c>
      <c r="H828" s="162" t="s">
        <v>1779</v>
      </c>
    </row>
    <row r="829" spans="1:8" x14ac:dyDescent="0.3">
      <c r="A829" s="161">
        <v>45939</v>
      </c>
      <c r="B829" s="162" t="s">
        <v>50</v>
      </c>
      <c r="C829" s="162" t="s">
        <v>567</v>
      </c>
      <c r="D829" s="162">
        <v>79.569999999999993</v>
      </c>
      <c r="E829" s="162">
        <v>0</v>
      </c>
      <c r="F829" s="162">
        <v>14642.69</v>
      </c>
      <c r="G829" s="162" t="s">
        <v>49</v>
      </c>
      <c r="H829" s="162" t="s">
        <v>1779</v>
      </c>
    </row>
    <row r="830" spans="1:8" x14ac:dyDescent="0.3">
      <c r="A830" s="161">
        <v>45939</v>
      </c>
      <c r="B830" s="162" t="s">
        <v>1737</v>
      </c>
      <c r="C830" s="162"/>
      <c r="D830" s="162">
        <v>7000</v>
      </c>
      <c r="E830" s="162">
        <v>0</v>
      </c>
      <c r="F830" s="162">
        <v>7049.96</v>
      </c>
      <c r="G830" s="162" t="s">
        <v>1019</v>
      </c>
      <c r="H830" s="162" t="s">
        <v>837</v>
      </c>
    </row>
    <row r="831" spans="1:8" x14ac:dyDescent="0.3">
      <c r="A831" s="161">
        <v>45939</v>
      </c>
      <c r="B831" s="162" t="s">
        <v>565</v>
      </c>
      <c r="C831" s="162" t="s">
        <v>566</v>
      </c>
      <c r="D831" s="162">
        <v>0</v>
      </c>
      <c r="E831" s="162">
        <v>2401.5700000000002</v>
      </c>
      <c r="F831" s="162">
        <v>14722.26</v>
      </c>
      <c r="G831" s="162" t="s">
        <v>49</v>
      </c>
      <c r="H831" s="162" t="s">
        <v>1779</v>
      </c>
    </row>
    <row r="832" spans="1:8" x14ac:dyDescent="0.3">
      <c r="A832" s="161">
        <v>45939.488877314812</v>
      </c>
      <c r="B832" s="162" t="s">
        <v>2305</v>
      </c>
      <c r="C832" s="162" t="s">
        <v>2306</v>
      </c>
      <c r="D832" s="162">
        <v>0</v>
      </c>
      <c r="E832" s="162">
        <v>7000</v>
      </c>
      <c r="F832" s="162">
        <v>16113.76</v>
      </c>
      <c r="G832" s="162" t="s">
        <v>837</v>
      </c>
      <c r="H832" s="162" t="s">
        <v>1019</v>
      </c>
    </row>
    <row r="833" spans="1:8" x14ac:dyDescent="0.3">
      <c r="A833" s="161">
        <v>45940</v>
      </c>
      <c r="B833" s="162" t="s">
        <v>570</v>
      </c>
      <c r="C833" s="162" t="s">
        <v>571</v>
      </c>
      <c r="D833" s="162">
        <v>0</v>
      </c>
      <c r="E833" s="162">
        <v>18547.34</v>
      </c>
      <c r="F833" s="162">
        <v>34292.53</v>
      </c>
      <c r="G833" s="162" t="s">
        <v>49</v>
      </c>
      <c r="H833" s="162" t="s">
        <v>1779</v>
      </c>
    </row>
    <row r="834" spans="1:8" x14ac:dyDescent="0.3">
      <c r="A834" s="161">
        <v>45940</v>
      </c>
      <c r="B834" s="162" t="s">
        <v>568</v>
      </c>
      <c r="C834" s="162" t="s">
        <v>569</v>
      </c>
      <c r="D834" s="162">
        <v>0</v>
      </c>
      <c r="E834" s="162">
        <v>1102.5</v>
      </c>
      <c r="F834" s="162">
        <v>15745.19</v>
      </c>
      <c r="G834" s="162" t="s">
        <v>49</v>
      </c>
      <c r="H834" s="162" t="s">
        <v>1779</v>
      </c>
    </row>
    <row r="835" spans="1:8" x14ac:dyDescent="0.3">
      <c r="A835" s="161">
        <v>45940</v>
      </c>
      <c r="B835" s="162" t="s">
        <v>50</v>
      </c>
      <c r="C835" s="162" t="s">
        <v>572</v>
      </c>
      <c r="D835" s="162">
        <v>80.42</v>
      </c>
      <c r="E835" s="162">
        <v>0</v>
      </c>
      <c r="F835" s="162">
        <v>34212.11</v>
      </c>
      <c r="G835" s="162" t="s">
        <v>49</v>
      </c>
      <c r="H835" s="162" t="s">
        <v>1779</v>
      </c>
    </row>
    <row r="836" spans="1:8" x14ac:dyDescent="0.3">
      <c r="A836" s="161">
        <v>45940.358807870369</v>
      </c>
      <c r="B836" s="162" t="s">
        <v>2307</v>
      </c>
      <c r="C836" s="162" t="s">
        <v>2308</v>
      </c>
      <c r="D836" s="162">
        <v>0</v>
      </c>
      <c r="E836" s="162">
        <v>501</v>
      </c>
      <c r="F836" s="162">
        <v>16614.759999999998</v>
      </c>
      <c r="G836" s="162" t="s">
        <v>606</v>
      </c>
      <c r="H836" s="162" t="s">
        <v>1019</v>
      </c>
    </row>
    <row r="837" spans="1:8" x14ac:dyDescent="0.3">
      <c r="A837" s="161">
        <v>45942</v>
      </c>
      <c r="B837" s="162" t="s">
        <v>1250</v>
      </c>
      <c r="C837" s="162" t="s">
        <v>1005</v>
      </c>
      <c r="D837" s="162">
        <v>25</v>
      </c>
      <c r="E837" s="162">
        <v>0</v>
      </c>
      <c r="F837" s="162">
        <v>61507.12</v>
      </c>
      <c r="G837" s="162" t="s">
        <v>91</v>
      </c>
      <c r="H837" s="162" t="s">
        <v>1680</v>
      </c>
    </row>
    <row r="838" spans="1:8" x14ac:dyDescent="0.3">
      <c r="A838" s="161">
        <v>45942</v>
      </c>
      <c r="B838" s="162" t="s">
        <v>1252</v>
      </c>
      <c r="C838" s="162" t="s">
        <v>1005</v>
      </c>
      <c r="D838" s="162">
        <v>50</v>
      </c>
      <c r="E838" s="162">
        <v>0</v>
      </c>
      <c r="F838" s="162">
        <v>61457.120000000003</v>
      </c>
      <c r="G838" s="162" t="s">
        <v>91</v>
      </c>
      <c r="H838" s="162" t="s">
        <v>1680</v>
      </c>
    </row>
    <row r="839" spans="1:8" x14ac:dyDescent="0.3">
      <c r="A839" s="161">
        <v>45942</v>
      </c>
      <c r="B839" s="162" t="s">
        <v>1249</v>
      </c>
      <c r="C839" s="162" t="s">
        <v>1005</v>
      </c>
      <c r="D839" s="162">
        <v>30</v>
      </c>
      <c r="E839" s="162">
        <v>0</v>
      </c>
      <c r="F839" s="162">
        <v>61532.12</v>
      </c>
      <c r="G839" s="162" t="s">
        <v>91</v>
      </c>
      <c r="H839" s="162" t="s">
        <v>1680</v>
      </c>
    </row>
    <row r="840" spans="1:8" x14ac:dyDescent="0.3">
      <c r="A840" s="161">
        <v>45943</v>
      </c>
      <c r="B840" s="162" t="s">
        <v>1253</v>
      </c>
      <c r="C840" s="162" t="s">
        <v>1005</v>
      </c>
      <c r="D840" s="162">
        <v>1500</v>
      </c>
      <c r="E840" s="162">
        <v>0</v>
      </c>
      <c r="F840" s="162">
        <v>59957.120000000003</v>
      </c>
      <c r="G840" s="162" t="s">
        <v>1028</v>
      </c>
      <c r="H840" s="162" t="s">
        <v>1680</v>
      </c>
    </row>
    <row r="841" spans="1:8" x14ac:dyDescent="0.3">
      <c r="A841" s="161">
        <v>45943</v>
      </c>
      <c r="B841" s="162" t="s">
        <v>1254</v>
      </c>
      <c r="C841" s="162" t="s">
        <v>1005</v>
      </c>
      <c r="D841" s="162">
        <v>1500</v>
      </c>
      <c r="E841" s="162">
        <v>0</v>
      </c>
      <c r="F841" s="162">
        <v>58457.120000000003</v>
      </c>
      <c r="G841" s="162" t="s">
        <v>1028</v>
      </c>
      <c r="H841" s="162" t="s">
        <v>1680</v>
      </c>
    </row>
    <row r="842" spans="1:8" x14ac:dyDescent="0.3">
      <c r="A842" s="161">
        <v>45943</v>
      </c>
      <c r="B842" s="162" t="s">
        <v>50</v>
      </c>
      <c r="C842" s="162" t="s">
        <v>575</v>
      </c>
      <c r="D842" s="162">
        <v>242.43</v>
      </c>
      <c r="E842" s="162">
        <v>0</v>
      </c>
      <c r="F842" s="162">
        <v>35546.89</v>
      </c>
      <c r="G842" s="162" t="s">
        <v>49</v>
      </c>
      <c r="H842" s="162" t="s">
        <v>1779</v>
      </c>
    </row>
    <row r="843" spans="1:8" x14ac:dyDescent="0.3">
      <c r="A843" s="161">
        <v>45943</v>
      </c>
      <c r="B843" s="162" t="s">
        <v>50</v>
      </c>
      <c r="C843" s="162" t="s">
        <v>576</v>
      </c>
      <c r="D843" s="162">
        <v>410.51</v>
      </c>
      <c r="E843" s="162">
        <v>0</v>
      </c>
      <c r="F843" s="162">
        <v>35136.379999999997</v>
      </c>
      <c r="G843" s="162" t="s">
        <v>49</v>
      </c>
      <c r="H843" s="162" t="s">
        <v>1779</v>
      </c>
    </row>
    <row r="844" spans="1:8" x14ac:dyDescent="0.3">
      <c r="A844" s="161">
        <v>45943</v>
      </c>
      <c r="B844" s="162" t="s">
        <v>573</v>
      </c>
      <c r="C844" s="162" t="s">
        <v>574</v>
      </c>
      <c r="D844" s="162">
        <v>0</v>
      </c>
      <c r="E844" s="162">
        <v>1577.21</v>
      </c>
      <c r="F844" s="162">
        <v>35789.32</v>
      </c>
      <c r="G844" s="162" t="s">
        <v>49</v>
      </c>
      <c r="H844" s="162" t="s">
        <v>1779</v>
      </c>
    </row>
    <row r="845" spans="1:8" x14ac:dyDescent="0.3">
      <c r="A845" s="161">
        <v>45943.618321759262</v>
      </c>
      <c r="B845" s="162" t="s">
        <v>2309</v>
      </c>
      <c r="C845" s="162" t="s">
        <v>2310</v>
      </c>
      <c r="D845" s="162">
        <v>0</v>
      </c>
      <c r="E845" s="162">
        <v>2</v>
      </c>
      <c r="F845" s="162">
        <v>16616.759999999998</v>
      </c>
      <c r="G845" s="162" t="s">
        <v>1658</v>
      </c>
      <c r="H845" s="162" t="s">
        <v>1019</v>
      </c>
    </row>
    <row r="846" spans="1:8" x14ac:dyDescent="0.3">
      <c r="A846" s="161">
        <v>45944</v>
      </c>
      <c r="B846" s="162" t="s">
        <v>1738</v>
      </c>
      <c r="C846" s="162"/>
      <c r="D846" s="162">
        <v>0</v>
      </c>
      <c r="E846" s="162">
        <v>2500</v>
      </c>
      <c r="F846" s="162">
        <v>9549.9599999999991</v>
      </c>
      <c r="G846" s="162" t="s">
        <v>1031</v>
      </c>
      <c r="H846" s="162" t="s">
        <v>837</v>
      </c>
    </row>
    <row r="847" spans="1:8" x14ac:dyDescent="0.3">
      <c r="A847" s="161">
        <v>45944</v>
      </c>
      <c r="B847" s="162" t="s">
        <v>50</v>
      </c>
      <c r="C847" s="162" t="s">
        <v>578</v>
      </c>
      <c r="D847" s="162">
        <v>983.08</v>
      </c>
      <c r="E847" s="162">
        <v>0</v>
      </c>
      <c r="F847" s="162">
        <v>34072.07</v>
      </c>
      <c r="G847" s="162" t="s">
        <v>49</v>
      </c>
      <c r="H847" s="162" t="s">
        <v>1779</v>
      </c>
    </row>
    <row r="848" spans="1:8" x14ac:dyDescent="0.3">
      <c r="A848" s="161">
        <v>45944</v>
      </c>
      <c r="B848" s="162" t="s">
        <v>50</v>
      </c>
      <c r="C848" s="162" t="s">
        <v>577</v>
      </c>
      <c r="D848" s="162">
        <v>81.23</v>
      </c>
      <c r="E848" s="162">
        <v>0</v>
      </c>
      <c r="F848" s="162">
        <v>35055.15</v>
      </c>
      <c r="G848" s="162" t="s">
        <v>49</v>
      </c>
      <c r="H848" s="162" t="s">
        <v>1779</v>
      </c>
    </row>
    <row r="849" spans="1:8" x14ac:dyDescent="0.3">
      <c r="A849" s="161">
        <v>45945</v>
      </c>
      <c r="B849" s="162" t="s">
        <v>581</v>
      </c>
      <c r="C849" s="162" t="s">
        <v>582</v>
      </c>
      <c r="D849" s="162">
        <v>0</v>
      </c>
      <c r="E849" s="162">
        <v>265</v>
      </c>
      <c r="F849" s="162">
        <v>71717.88</v>
      </c>
      <c r="G849" s="162" t="s">
        <v>17</v>
      </c>
      <c r="H849" s="162" t="s">
        <v>1779</v>
      </c>
    </row>
    <row r="850" spans="1:8" x14ac:dyDescent="0.3">
      <c r="A850" s="161">
        <v>45945</v>
      </c>
      <c r="B850" s="162" t="s">
        <v>50</v>
      </c>
      <c r="C850" s="162" t="s">
        <v>583</v>
      </c>
      <c r="D850" s="162">
        <v>80.88</v>
      </c>
      <c r="E850" s="162">
        <v>0</v>
      </c>
      <c r="F850" s="162">
        <v>71637</v>
      </c>
      <c r="G850" s="162" t="s">
        <v>49</v>
      </c>
      <c r="H850" s="162" t="s">
        <v>1779</v>
      </c>
    </row>
    <row r="851" spans="1:8" x14ac:dyDescent="0.3">
      <c r="A851" s="161">
        <v>45945</v>
      </c>
      <c r="B851" s="162" t="s">
        <v>1255</v>
      </c>
      <c r="C851" s="162" t="s">
        <v>1005</v>
      </c>
      <c r="D851" s="162">
        <v>1500</v>
      </c>
      <c r="E851" s="162">
        <v>0</v>
      </c>
      <c r="F851" s="162">
        <v>56957.120000000003</v>
      </c>
      <c r="G851" s="162" t="s">
        <v>1028</v>
      </c>
      <c r="H851" s="162" t="s">
        <v>1680</v>
      </c>
    </row>
    <row r="852" spans="1:8" x14ac:dyDescent="0.3">
      <c r="A852" s="161">
        <v>45945</v>
      </c>
      <c r="B852" s="162" t="s">
        <v>50</v>
      </c>
      <c r="C852" s="162" t="s">
        <v>584</v>
      </c>
      <c r="D852" s="162">
        <v>5547.67</v>
      </c>
      <c r="E852" s="162">
        <v>0</v>
      </c>
      <c r="F852" s="162">
        <v>66089.33</v>
      </c>
      <c r="G852" s="162" t="s">
        <v>49</v>
      </c>
      <c r="H852" s="162" t="s">
        <v>1779</v>
      </c>
    </row>
    <row r="853" spans="1:8" x14ac:dyDescent="0.3">
      <c r="A853" s="161">
        <v>45945</v>
      </c>
      <c r="B853" s="162" t="s">
        <v>579</v>
      </c>
      <c r="C853" s="162" t="s">
        <v>580</v>
      </c>
      <c r="D853" s="162">
        <v>0</v>
      </c>
      <c r="E853" s="162">
        <v>37380.81</v>
      </c>
      <c r="F853" s="162">
        <v>71452.88</v>
      </c>
      <c r="G853" s="162" t="s">
        <v>49</v>
      </c>
      <c r="H853" s="162" t="s">
        <v>1779</v>
      </c>
    </row>
    <row r="854" spans="1:8" x14ac:dyDescent="0.3">
      <c r="A854" s="161">
        <v>45946</v>
      </c>
      <c r="B854" s="162" t="s">
        <v>1256</v>
      </c>
      <c r="C854" s="162" t="s">
        <v>1005</v>
      </c>
      <c r="D854" s="162">
        <v>1500</v>
      </c>
      <c r="E854" s="162">
        <v>0</v>
      </c>
      <c r="F854" s="162">
        <v>55457.120000000003</v>
      </c>
      <c r="G854" s="162" t="s">
        <v>1028</v>
      </c>
      <c r="H854" s="162" t="s">
        <v>1680</v>
      </c>
    </row>
    <row r="855" spans="1:8" x14ac:dyDescent="0.3">
      <c r="A855" s="161">
        <v>45946</v>
      </c>
      <c r="B855" s="162" t="s">
        <v>585</v>
      </c>
      <c r="C855" s="162" t="s">
        <v>586</v>
      </c>
      <c r="D855" s="162">
        <v>0</v>
      </c>
      <c r="E855" s="162">
        <v>39264.83</v>
      </c>
      <c r="F855" s="162">
        <v>105354.16</v>
      </c>
      <c r="G855" s="162" t="s">
        <v>49</v>
      </c>
      <c r="H855" s="162" t="s">
        <v>1779</v>
      </c>
    </row>
    <row r="856" spans="1:8" x14ac:dyDescent="0.3">
      <c r="A856" s="161">
        <v>45946</v>
      </c>
      <c r="B856" s="162" t="s">
        <v>50</v>
      </c>
      <c r="C856" s="162" t="s">
        <v>587</v>
      </c>
      <c r="D856" s="162">
        <v>78.900000000000006</v>
      </c>
      <c r="E856" s="162">
        <v>0</v>
      </c>
      <c r="F856" s="162">
        <v>105275.26</v>
      </c>
      <c r="G856" s="162" t="s">
        <v>49</v>
      </c>
      <c r="H856" s="162" t="s">
        <v>1779</v>
      </c>
    </row>
    <row r="857" spans="1:8" x14ac:dyDescent="0.3">
      <c r="A857" s="161">
        <v>45947</v>
      </c>
      <c r="B857" s="162" t="s">
        <v>590</v>
      </c>
      <c r="C857" s="162" t="s">
        <v>83</v>
      </c>
      <c r="D857" s="162">
        <v>637.20000000000005</v>
      </c>
      <c r="E857" s="162">
        <v>0</v>
      </c>
      <c r="F857" s="162">
        <v>107333.67</v>
      </c>
      <c r="G857" s="162" t="s">
        <v>9</v>
      </c>
      <c r="H857" s="162" t="s">
        <v>1779</v>
      </c>
    </row>
    <row r="858" spans="1:8" x14ac:dyDescent="0.3">
      <c r="A858" s="161">
        <v>45947</v>
      </c>
      <c r="B858" s="162" t="s">
        <v>588</v>
      </c>
      <c r="C858" s="162" t="s">
        <v>589</v>
      </c>
      <c r="D858" s="162">
        <v>0</v>
      </c>
      <c r="E858" s="162">
        <v>2695.61</v>
      </c>
      <c r="F858" s="162">
        <v>107970.87</v>
      </c>
      <c r="G858" s="162" t="s">
        <v>49</v>
      </c>
      <c r="H858" s="162" t="s">
        <v>1779</v>
      </c>
    </row>
    <row r="859" spans="1:8" x14ac:dyDescent="0.3">
      <c r="A859" s="161">
        <v>45947</v>
      </c>
      <c r="B859" s="162" t="s">
        <v>1259</v>
      </c>
      <c r="C859" s="162" t="s">
        <v>1005</v>
      </c>
      <c r="D859" s="162">
        <v>1500</v>
      </c>
      <c r="E859" s="162">
        <v>0</v>
      </c>
      <c r="F859" s="162">
        <v>53947.12</v>
      </c>
      <c r="G859" s="162" t="s">
        <v>1028</v>
      </c>
      <c r="H859" s="162" t="s">
        <v>1680</v>
      </c>
    </row>
    <row r="860" spans="1:8" x14ac:dyDescent="0.3">
      <c r="A860" s="161">
        <v>45947</v>
      </c>
      <c r="B860" s="162" t="s">
        <v>1257</v>
      </c>
      <c r="C860" s="162" t="s">
        <v>1005</v>
      </c>
      <c r="D860" s="162">
        <v>10</v>
      </c>
      <c r="E860" s="162">
        <v>0</v>
      </c>
      <c r="F860" s="162">
        <v>55447.12</v>
      </c>
      <c r="G860" s="162" t="s">
        <v>91</v>
      </c>
      <c r="H860" s="162" t="s">
        <v>1680</v>
      </c>
    </row>
    <row r="861" spans="1:8" x14ac:dyDescent="0.3">
      <c r="A861" s="161">
        <v>45947</v>
      </c>
      <c r="B861" s="162" t="s">
        <v>50</v>
      </c>
      <c r="C861" s="162" t="s">
        <v>591</v>
      </c>
      <c r="D861" s="162">
        <v>87.37</v>
      </c>
      <c r="E861" s="162">
        <v>0</v>
      </c>
      <c r="F861" s="162">
        <v>107246.3</v>
      </c>
      <c r="G861" s="162" t="s">
        <v>49</v>
      </c>
      <c r="H861" s="162" t="s">
        <v>1779</v>
      </c>
    </row>
    <row r="862" spans="1:8" x14ac:dyDescent="0.3">
      <c r="A862" s="161">
        <v>45948</v>
      </c>
      <c r="B862" s="162" t="s">
        <v>1261</v>
      </c>
      <c r="C862" s="162" t="s">
        <v>1005</v>
      </c>
      <c r="D862" s="162">
        <v>1500</v>
      </c>
      <c r="E862" s="162">
        <v>0</v>
      </c>
      <c r="F862" s="162">
        <v>50947.12</v>
      </c>
      <c r="G862" s="162" t="s">
        <v>1028</v>
      </c>
      <c r="H862" s="162" t="s">
        <v>1680</v>
      </c>
    </row>
    <row r="863" spans="1:8" x14ac:dyDescent="0.3">
      <c r="A863" s="161">
        <v>45948</v>
      </c>
      <c r="B863" s="162" t="s">
        <v>1260</v>
      </c>
      <c r="C863" s="162" t="s">
        <v>1005</v>
      </c>
      <c r="D863" s="162">
        <v>1500</v>
      </c>
      <c r="E863" s="162">
        <v>0</v>
      </c>
      <c r="F863" s="162">
        <v>52447.12</v>
      </c>
      <c r="G863" s="162" t="s">
        <v>1028</v>
      </c>
      <c r="H863" s="162" t="s">
        <v>1680</v>
      </c>
    </row>
    <row r="864" spans="1:8" x14ac:dyDescent="0.3">
      <c r="A864" s="161">
        <v>45949</v>
      </c>
      <c r="B864" s="162" t="s">
        <v>1262</v>
      </c>
      <c r="C864" s="162" t="s">
        <v>1005</v>
      </c>
      <c r="D864" s="162">
        <v>412.42</v>
      </c>
      <c r="E864" s="162">
        <v>0</v>
      </c>
      <c r="F864" s="162">
        <v>50534.7</v>
      </c>
      <c r="G864" s="162" t="s">
        <v>91</v>
      </c>
      <c r="H864" s="162" t="s">
        <v>1680</v>
      </c>
    </row>
    <row r="865" spans="1:8" x14ac:dyDescent="0.3">
      <c r="A865" s="161">
        <v>45949</v>
      </c>
      <c r="B865" s="162" t="s">
        <v>1263</v>
      </c>
      <c r="C865" s="162" t="s">
        <v>1005</v>
      </c>
      <c r="D865" s="162">
        <v>50</v>
      </c>
      <c r="E865" s="162">
        <v>0</v>
      </c>
      <c r="F865" s="162">
        <v>50484.7</v>
      </c>
      <c r="G865" s="162" t="s">
        <v>91</v>
      </c>
      <c r="H865" s="162" t="s">
        <v>1680</v>
      </c>
    </row>
    <row r="866" spans="1:8" x14ac:dyDescent="0.3">
      <c r="A866" s="161">
        <v>45949.407824074071</v>
      </c>
      <c r="B866" s="162" t="s">
        <v>2311</v>
      </c>
      <c r="C866" s="162" t="s">
        <v>2312</v>
      </c>
      <c r="D866" s="162">
        <v>0</v>
      </c>
      <c r="E866" s="162">
        <v>57.42</v>
      </c>
      <c r="F866" s="162">
        <v>16674.18</v>
      </c>
      <c r="G866" s="162" t="s">
        <v>1658</v>
      </c>
      <c r="H866" s="162" t="s">
        <v>1019</v>
      </c>
    </row>
    <row r="867" spans="1:8" x14ac:dyDescent="0.3">
      <c r="A867" s="161">
        <v>45950</v>
      </c>
      <c r="B867" s="162" t="s">
        <v>594</v>
      </c>
      <c r="C867" s="162" t="s">
        <v>595</v>
      </c>
      <c r="D867" s="162">
        <v>0</v>
      </c>
      <c r="E867" s="162">
        <v>18179.96</v>
      </c>
      <c r="F867" s="162">
        <v>143685.17000000001</v>
      </c>
      <c r="G867" s="162" t="s">
        <v>49</v>
      </c>
      <c r="H867" s="162" t="s">
        <v>1779</v>
      </c>
    </row>
    <row r="868" spans="1:8" x14ac:dyDescent="0.3">
      <c r="A868" s="161">
        <v>45950</v>
      </c>
      <c r="B868" s="162" t="s">
        <v>50</v>
      </c>
      <c r="C868" s="162" t="s">
        <v>599</v>
      </c>
      <c r="D868" s="162">
        <v>3856.78</v>
      </c>
      <c r="E868" s="162">
        <v>0</v>
      </c>
      <c r="F868" s="162">
        <v>140000.9</v>
      </c>
      <c r="G868" s="162" t="s">
        <v>49</v>
      </c>
      <c r="H868" s="162" t="s">
        <v>1779</v>
      </c>
    </row>
    <row r="869" spans="1:8" x14ac:dyDescent="0.3">
      <c r="A869" s="161">
        <v>45950</v>
      </c>
      <c r="B869" s="162" t="s">
        <v>596</v>
      </c>
      <c r="C869" s="162" t="s">
        <v>597</v>
      </c>
      <c r="D869" s="162">
        <v>0</v>
      </c>
      <c r="E869" s="162">
        <v>437.5</v>
      </c>
      <c r="F869" s="162">
        <v>144122.67000000001</v>
      </c>
      <c r="G869" s="162" t="s">
        <v>17</v>
      </c>
      <c r="H869" s="162" t="s">
        <v>1779</v>
      </c>
    </row>
    <row r="870" spans="1:8" x14ac:dyDescent="0.3">
      <c r="A870" s="161">
        <v>45950</v>
      </c>
      <c r="B870" s="162" t="s">
        <v>50</v>
      </c>
      <c r="C870" s="162" t="s">
        <v>598</v>
      </c>
      <c r="D870" s="162">
        <v>264.99</v>
      </c>
      <c r="E870" s="162">
        <v>0</v>
      </c>
      <c r="F870" s="162">
        <v>143857.68</v>
      </c>
      <c r="G870" s="162" t="s">
        <v>49</v>
      </c>
      <c r="H870" s="162" t="s">
        <v>1779</v>
      </c>
    </row>
    <row r="871" spans="1:8" x14ac:dyDescent="0.3">
      <c r="A871" s="161">
        <v>45950</v>
      </c>
      <c r="B871" s="162" t="s">
        <v>592</v>
      </c>
      <c r="C871" s="162" t="s">
        <v>593</v>
      </c>
      <c r="D871" s="162">
        <v>0</v>
      </c>
      <c r="E871" s="162">
        <v>18258.91</v>
      </c>
      <c r="F871" s="162">
        <v>125505.21</v>
      </c>
      <c r="G871" s="162" t="s">
        <v>49</v>
      </c>
      <c r="H871" s="162" t="s">
        <v>1779</v>
      </c>
    </row>
    <row r="872" spans="1:8" x14ac:dyDescent="0.3">
      <c r="A872" s="161">
        <v>45950</v>
      </c>
      <c r="B872" s="162" t="s">
        <v>1265</v>
      </c>
      <c r="C872" s="162" t="s">
        <v>1005</v>
      </c>
      <c r="D872" s="162">
        <v>1500</v>
      </c>
      <c r="E872" s="162">
        <v>0</v>
      </c>
      <c r="F872" s="162">
        <v>48984.7</v>
      </c>
      <c r="G872" s="162" t="s">
        <v>1028</v>
      </c>
      <c r="H872" s="162" t="s">
        <v>1680</v>
      </c>
    </row>
    <row r="873" spans="1:8" x14ac:dyDescent="0.3">
      <c r="A873" s="161">
        <v>45950</v>
      </c>
      <c r="B873" s="162" t="s">
        <v>1266</v>
      </c>
      <c r="C873" s="162" t="s">
        <v>1005</v>
      </c>
      <c r="D873" s="162">
        <v>10</v>
      </c>
      <c r="E873" s="162">
        <v>0</v>
      </c>
      <c r="F873" s="162">
        <v>48974.7</v>
      </c>
      <c r="G873" s="162" t="s">
        <v>91</v>
      </c>
      <c r="H873" s="162" t="s">
        <v>1680</v>
      </c>
    </row>
    <row r="874" spans="1:8" x14ac:dyDescent="0.3">
      <c r="A874" s="161">
        <v>45951</v>
      </c>
      <c r="B874" s="162" t="s">
        <v>1268</v>
      </c>
      <c r="C874" s="162" t="s">
        <v>1005</v>
      </c>
      <c r="D874" s="162">
        <v>1500</v>
      </c>
      <c r="E874" s="162">
        <v>0</v>
      </c>
      <c r="F874" s="162">
        <v>47474.7</v>
      </c>
      <c r="G874" s="162" t="s">
        <v>1028</v>
      </c>
      <c r="H874" s="162" t="s">
        <v>1680</v>
      </c>
    </row>
    <row r="875" spans="1:8" x14ac:dyDescent="0.3">
      <c r="A875" s="161">
        <v>45951</v>
      </c>
      <c r="B875" s="162" t="s">
        <v>549</v>
      </c>
      <c r="C875" s="162" t="s">
        <v>600</v>
      </c>
      <c r="D875" s="162">
        <v>100000</v>
      </c>
      <c r="E875" s="162">
        <v>0</v>
      </c>
      <c r="F875" s="162">
        <v>40000.9</v>
      </c>
      <c r="G875" s="162" t="s">
        <v>157</v>
      </c>
      <c r="H875" s="162" t="s">
        <v>1779</v>
      </c>
    </row>
    <row r="876" spans="1:8" x14ac:dyDescent="0.3">
      <c r="A876" s="161">
        <v>45951</v>
      </c>
      <c r="B876" s="162" t="s">
        <v>50</v>
      </c>
      <c r="C876" s="162" t="s">
        <v>601</v>
      </c>
      <c r="D876" s="162">
        <v>22927.360000000001</v>
      </c>
      <c r="E876" s="162">
        <v>0</v>
      </c>
      <c r="F876" s="162">
        <v>17073.54</v>
      </c>
      <c r="G876" s="162" t="s">
        <v>49</v>
      </c>
      <c r="H876" s="162" t="s">
        <v>1779</v>
      </c>
    </row>
    <row r="877" spans="1:8" x14ac:dyDescent="0.3">
      <c r="A877" s="161">
        <v>45952.190370370372</v>
      </c>
      <c r="B877" s="162" t="s">
        <v>2313</v>
      </c>
      <c r="C877" s="162" t="s">
        <v>2314</v>
      </c>
      <c r="D877" s="162">
        <v>1500</v>
      </c>
      <c r="E877" s="162">
        <v>0</v>
      </c>
      <c r="F877" s="162">
        <v>15174.18</v>
      </c>
      <c r="G877" s="162" t="s">
        <v>1028</v>
      </c>
      <c r="H877" s="162" t="s">
        <v>1019</v>
      </c>
    </row>
    <row r="878" spans="1:8" x14ac:dyDescent="0.3">
      <c r="A878" s="161">
        <v>45953</v>
      </c>
      <c r="B878" s="162" t="s">
        <v>1269</v>
      </c>
      <c r="C878" s="162" t="s">
        <v>1005</v>
      </c>
      <c r="D878" s="162">
        <v>1500</v>
      </c>
      <c r="E878" s="162">
        <v>0</v>
      </c>
      <c r="F878" s="162">
        <v>45974.7</v>
      </c>
      <c r="G878" s="162" t="s">
        <v>1028</v>
      </c>
      <c r="H878" s="162" t="s">
        <v>1680</v>
      </c>
    </row>
    <row r="879" spans="1:8" x14ac:dyDescent="0.3">
      <c r="A879" s="161">
        <v>45953</v>
      </c>
      <c r="B879" s="162" t="s">
        <v>602</v>
      </c>
      <c r="C879" s="162" t="s">
        <v>603</v>
      </c>
      <c r="D879" s="162">
        <v>0</v>
      </c>
      <c r="E879" s="162">
        <v>29878.36</v>
      </c>
      <c r="F879" s="162">
        <v>46951.9</v>
      </c>
      <c r="G879" s="162" t="s">
        <v>49</v>
      </c>
      <c r="H879" s="162" t="s">
        <v>1779</v>
      </c>
    </row>
    <row r="880" spans="1:8" x14ac:dyDescent="0.3">
      <c r="A880" s="161">
        <v>45953</v>
      </c>
      <c r="B880" s="162" t="s">
        <v>604</v>
      </c>
      <c r="C880" s="162" t="s">
        <v>605</v>
      </c>
      <c r="D880" s="162">
        <v>0</v>
      </c>
      <c r="E880" s="162">
        <v>42932.800000000003</v>
      </c>
      <c r="F880" s="162">
        <v>89884.7</v>
      </c>
      <c r="G880" s="162" t="s">
        <v>606</v>
      </c>
      <c r="H880" s="162" t="s">
        <v>1779</v>
      </c>
    </row>
    <row r="881" spans="1:8" x14ac:dyDescent="0.3">
      <c r="A881" s="161">
        <v>45953</v>
      </c>
      <c r="B881" s="162" t="s">
        <v>50</v>
      </c>
      <c r="C881" s="162" t="s">
        <v>607</v>
      </c>
      <c r="D881" s="162">
        <v>193.92</v>
      </c>
      <c r="E881" s="162">
        <v>0</v>
      </c>
      <c r="F881" s="162">
        <v>89690.78</v>
      </c>
      <c r="G881" s="162" t="s">
        <v>49</v>
      </c>
      <c r="H881" s="162" t="s">
        <v>1779</v>
      </c>
    </row>
    <row r="882" spans="1:8" x14ac:dyDescent="0.3">
      <c r="A882" s="161">
        <v>45954</v>
      </c>
      <c r="B882" s="162" t="s">
        <v>608</v>
      </c>
      <c r="C882" s="162" t="s">
        <v>609</v>
      </c>
      <c r="D882" s="162">
        <v>0</v>
      </c>
      <c r="E882" s="162">
        <v>27821.56</v>
      </c>
      <c r="F882" s="162">
        <v>117512.34</v>
      </c>
      <c r="G882" s="162" t="s">
        <v>49</v>
      </c>
      <c r="H882" s="162" t="s">
        <v>1779</v>
      </c>
    </row>
    <row r="883" spans="1:8" x14ac:dyDescent="0.3">
      <c r="A883" s="161">
        <v>45954</v>
      </c>
      <c r="B883" s="162" t="s">
        <v>610</v>
      </c>
      <c r="C883" s="162" t="s">
        <v>611</v>
      </c>
      <c r="D883" s="162">
        <v>0</v>
      </c>
      <c r="E883" s="162">
        <v>14.76</v>
      </c>
      <c r="F883" s="162">
        <v>117527.1</v>
      </c>
      <c r="G883" s="162" t="s">
        <v>49</v>
      </c>
      <c r="H883" s="162" t="s">
        <v>1779</v>
      </c>
    </row>
    <row r="884" spans="1:8" x14ac:dyDescent="0.3">
      <c r="A884" s="161">
        <v>45954</v>
      </c>
      <c r="B884" s="162" t="s">
        <v>50</v>
      </c>
      <c r="C884" s="162" t="s">
        <v>612</v>
      </c>
      <c r="D884" s="162">
        <v>99.34</v>
      </c>
      <c r="E884" s="162">
        <v>0</v>
      </c>
      <c r="F884" s="162">
        <v>117427.76</v>
      </c>
      <c r="G884" s="162" t="s">
        <v>49</v>
      </c>
      <c r="H884" s="162" t="s">
        <v>1779</v>
      </c>
    </row>
    <row r="885" spans="1:8" x14ac:dyDescent="0.3">
      <c r="A885" s="161">
        <v>45954</v>
      </c>
      <c r="B885" s="162" t="s">
        <v>1270</v>
      </c>
      <c r="C885" s="162" t="s">
        <v>1005</v>
      </c>
      <c r="D885" s="162">
        <v>1500</v>
      </c>
      <c r="E885" s="162">
        <v>0</v>
      </c>
      <c r="F885" s="162">
        <v>44474.7</v>
      </c>
      <c r="G885" s="162" t="s">
        <v>1028</v>
      </c>
      <c r="H885" s="162" t="s">
        <v>1680</v>
      </c>
    </row>
    <row r="886" spans="1:8" x14ac:dyDescent="0.3">
      <c r="A886" s="161">
        <v>45955</v>
      </c>
      <c r="B886" s="162" t="s">
        <v>1271</v>
      </c>
      <c r="C886" s="162" t="s">
        <v>1005</v>
      </c>
      <c r="D886" s="162">
        <v>3200</v>
      </c>
      <c r="E886" s="162">
        <v>0</v>
      </c>
      <c r="F886" s="162">
        <v>41274.699999999997</v>
      </c>
      <c r="G886" s="162" t="s">
        <v>1028</v>
      </c>
      <c r="H886" s="162" t="s">
        <v>1680</v>
      </c>
    </row>
    <row r="887" spans="1:8" x14ac:dyDescent="0.3">
      <c r="A887" s="161">
        <v>45955</v>
      </c>
      <c r="B887" s="162" t="s">
        <v>1272</v>
      </c>
      <c r="C887" s="162" t="s">
        <v>1005</v>
      </c>
      <c r="D887" s="162">
        <v>0</v>
      </c>
      <c r="E887" s="162">
        <v>2430</v>
      </c>
      <c r="F887" s="162">
        <v>43704.7</v>
      </c>
      <c r="G887" s="162" t="s">
        <v>1014</v>
      </c>
      <c r="H887" s="162" t="s">
        <v>1680</v>
      </c>
    </row>
    <row r="888" spans="1:8" x14ac:dyDescent="0.3">
      <c r="A888" s="161">
        <v>45956</v>
      </c>
      <c r="B888" s="162" t="s">
        <v>613</v>
      </c>
      <c r="C888" s="162" t="s">
        <v>614</v>
      </c>
      <c r="D888" s="162">
        <v>0</v>
      </c>
      <c r="E888" s="162">
        <v>50000</v>
      </c>
      <c r="F888" s="162">
        <v>167427.76</v>
      </c>
      <c r="G888" s="162" t="s">
        <v>157</v>
      </c>
      <c r="H888" s="162" t="s">
        <v>1779</v>
      </c>
    </row>
    <row r="889" spans="1:8" x14ac:dyDescent="0.3">
      <c r="A889" s="161">
        <v>45956</v>
      </c>
      <c r="B889" s="162" t="s">
        <v>1273</v>
      </c>
      <c r="C889" s="162" t="s">
        <v>1005</v>
      </c>
      <c r="D889" s="162">
        <v>3200</v>
      </c>
      <c r="E889" s="162">
        <v>0</v>
      </c>
      <c r="F889" s="162">
        <v>40504.699999999997</v>
      </c>
      <c r="G889" s="162" t="s">
        <v>1028</v>
      </c>
      <c r="H889" s="162" t="s">
        <v>1680</v>
      </c>
    </row>
    <row r="890" spans="1:8" x14ac:dyDescent="0.3">
      <c r="A890" s="161">
        <v>45956.40525462963</v>
      </c>
      <c r="B890" s="162" t="s">
        <v>2315</v>
      </c>
      <c r="C890" s="162" t="s">
        <v>2316</v>
      </c>
      <c r="D890" s="162">
        <v>231.8</v>
      </c>
      <c r="E890" s="162">
        <v>0</v>
      </c>
      <c r="F890" s="162">
        <v>14942.38</v>
      </c>
      <c r="G890" s="162" t="s">
        <v>1014</v>
      </c>
      <c r="H890" s="162" t="s">
        <v>1019</v>
      </c>
    </row>
    <row r="891" spans="1:8" x14ac:dyDescent="0.3">
      <c r="A891" s="161">
        <v>45956.818680555552</v>
      </c>
      <c r="B891" s="162" t="s">
        <v>2317</v>
      </c>
      <c r="C891" s="162" t="s">
        <v>2318</v>
      </c>
      <c r="D891" s="162">
        <v>2445</v>
      </c>
      <c r="E891" s="162">
        <v>0</v>
      </c>
      <c r="F891" s="162">
        <v>12497.38</v>
      </c>
      <c r="G891" s="162" t="s">
        <v>91</v>
      </c>
      <c r="H891" s="162" t="s">
        <v>1019</v>
      </c>
    </row>
    <row r="892" spans="1:8" x14ac:dyDescent="0.3">
      <c r="A892" s="161">
        <v>45957</v>
      </c>
      <c r="B892" s="162" t="s">
        <v>618</v>
      </c>
      <c r="C892" s="162" t="s">
        <v>619</v>
      </c>
      <c r="D892" s="162">
        <v>0</v>
      </c>
      <c r="E892" s="162">
        <v>90000</v>
      </c>
      <c r="F892" s="162">
        <v>257215.97</v>
      </c>
      <c r="G892" s="162" t="s">
        <v>157</v>
      </c>
      <c r="H892" s="162" t="s">
        <v>1779</v>
      </c>
    </row>
    <row r="893" spans="1:8" x14ac:dyDescent="0.3">
      <c r="A893" s="161">
        <v>45957</v>
      </c>
      <c r="B893" s="162" t="s">
        <v>50</v>
      </c>
      <c r="C893" s="162" t="s">
        <v>617</v>
      </c>
      <c r="D893" s="162">
        <v>298.05</v>
      </c>
      <c r="E893" s="162">
        <v>0</v>
      </c>
      <c r="F893" s="162">
        <v>167215.97</v>
      </c>
      <c r="G893" s="162" t="s">
        <v>49</v>
      </c>
      <c r="H893" s="162" t="s">
        <v>1779</v>
      </c>
    </row>
    <row r="894" spans="1:8" x14ac:dyDescent="0.3">
      <c r="A894" s="161">
        <v>45957</v>
      </c>
      <c r="B894" s="162" t="s">
        <v>615</v>
      </c>
      <c r="C894" s="162" t="s">
        <v>616</v>
      </c>
      <c r="D894" s="162">
        <v>0</v>
      </c>
      <c r="E894" s="162">
        <v>86.26</v>
      </c>
      <c r="F894" s="162">
        <v>167514.01999999999</v>
      </c>
      <c r="G894" s="162" t="s">
        <v>49</v>
      </c>
      <c r="H894" s="162" t="s">
        <v>1779</v>
      </c>
    </row>
    <row r="895" spans="1:8" x14ac:dyDescent="0.3">
      <c r="A895" s="161">
        <v>45957</v>
      </c>
      <c r="B895" s="162" t="s">
        <v>1274</v>
      </c>
      <c r="C895" s="162" t="s">
        <v>1005</v>
      </c>
      <c r="D895" s="162">
        <v>3000</v>
      </c>
      <c r="E895" s="162">
        <v>0</v>
      </c>
      <c r="F895" s="162">
        <v>37504.699999999997</v>
      </c>
      <c r="G895" s="162" t="s">
        <v>1028</v>
      </c>
      <c r="H895" s="162" t="s">
        <v>1680</v>
      </c>
    </row>
    <row r="896" spans="1:8" x14ac:dyDescent="0.3">
      <c r="A896" s="161">
        <v>45958</v>
      </c>
      <c r="B896" s="162" t="s">
        <v>620</v>
      </c>
      <c r="C896" s="162" t="s">
        <v>621</v>
      </c>
      <c r="D896" s="162">
        <v>0</v>
      </c>
      <c r="E896" s="162">
        <v>24182.18</v>
      </c>
      <c r="F896" s="162">
        <v>281398.15000000002</v>
      </c>
      <c r="G896" s="162" t="s">
        <v>49</v>
      </c>
      <c r="H896" s="162" t="s">
        <v>1779</v>
      </c>
    </row>
    <row r="897" spans="1:8" x14ac:dyDescent="0.3">
      <c r="A897" s="161">
        <v>45958</v>
      </c>
      <c r="B897" s="162" t="s">
        <v>50</v>
      </c>
      <c r="C897" s="162" t="s">
        <v>630</v>
      </c>
      <c r="D897" s="162">
        <v>99.38</v>
      </c>
      <c r="E897" s="162">
        <v>0</v>
      </c>
      <c r="F897" s="162">
        <v>54751.68</v>
      </c>
      <c r="G897" s="162" t="s">
        <v>49</v>
      </c>
      <c r="H897" s="162" t="s">
        <v>1779</v>
      </c>
    </row>
    <row r="898" spans="1:8" x14ac:dyDescent="0.3">
      <c r="A898" s="161">
        <v>45958</v>
      </c>
      <c r="B898" s="162" t="s">
        <v>628</v>
      </c>
      <c r="C898" s="162" t="s">
        <v>629</v>
      </c>
      <c r="D898" s="162">
        <v>5000</v>
      </c>
      <c r="E898" s="162">
        <v>0</v>
      </c>
      <c r="F898" s="162">
        <v>54851.06</v>
      </c>
      <c r="G898" s="162" t="s">
        <v>2</v>
      </c>
      <c r="H898" s="162" t="s">
        <v>1779</v>
      </c>
    </row>
    <row r="899" spans="1:8" x14ac:dyDescent="0.3">
      <c r="A899" s="161">
        <v>45958</v>
      </c>
      <c r="B899" s="162" t="s">
        <v>626</v>
      </c>
      <c r="C899" s="162" t="s">
        <v>627</v>
      </c>
      <c r="D899" s="162">
        <v>128000</v>
      </c>
      <c r="E899" s="162">
        <v>0</v>
      </c>
      <c r="F899" s="162">
        <v>59851.06</v>
      </c>
      <c r="G899" s="162" t="s">
        <v>343</v>
      </c>
      <c r="H899" s="162" t="s">
        <v>1779</v>
      </c>
    </row>
    <row r="900" spans="1:8" x14ac:dyDescent="0.3">
      <c r="A900" s="161">
        <v>45958</v>
      </c>
      <c r="B900" s="162" t="s">
        <v>624</v>
      </c>
      <c r="C900" s="162" t="s">
        <v>625</v>
      </c>
      <c r="D900" s="162">
        <v>122488</v>
      </c>
      <c r="E900" s="162">
        <v>0</v>
      </c>
      <c r="F900" s="162">
        <v>187851.06</v>
      </c>
      <c r="G900" s="162" t="s">
        <v>343</v>
      </c>
      <c r="H900" s="162" t="s">
        <v>1779</v>
      </c>
    </row>
    <row r="901" spans="1:8" x14ac:dyDescent="0.3">
      <c r="A901" s="161">
        <v>45958</v>
      </c>
      <c r="B901" s="162" t="s">
        <v>622</v>
      </c>
      <c r="C901" s="162" t="s">
        <v>623</v>
      </c>
      <c r="D901" s="162">
        <v>0</v>
      </c>
      <c r="E901" s="162">
        <v>28940.91</v>
      </c>
      <c r="F901" s="162">
        <v>310339.06</v>
      </c>
      <c r="G901" s="162" t="s">
        <v>49</v>
      </c>
      <c r="H901" s="162" t="s">
        <v>1779</v>
      </c>
    </row>
    <row r="902" spans="1:8" x14ac:dyDescent="0.3">
      <c r="A902" s="161">
        <v>45958</v>
      </c>
      <c r="B902" s="162" t="s">
        <v>50</v>
      </c>
      <c r="C902" s="162" t="s">
        <v>631</v>
      </c>
      <c r="D902" s="162">
        <v>1024.76</v>
      </c>
      <c r="E902" s="162">
        <v>0</v>
      </c>
      <c r="F902" s="162">
        <v>53726.92</v>
      </c>
      <c r="G902" s="162" t="s">
        <v>49</v>
      </c>
      <c r="H902" s="162" t="s">
        <v>1779</v>
      </c>
    </row>
    <row r="903" spans="1:8" x14ac:dyDescent="0.3">
      <c r="A903" s="161">
        <v>45958.342233796298</v>
      </c>
      <c r="B903" s="162" t="s">
        <v>2320</v>
      </c>
      <c r="C903" s="162" t="s">
        <v>2321</v>
      </c>
      <c r="D903" s="162">
        <v>7000</v>
      </c>
      <c r="E903" s="162">
        <v>0</v>
      </c>
      <c r="F903" s="162">
        <v>5497.38</v>
      </c>
      <c r="G903" s="162" t="s">
        <v>2</v>
      </c>
      <c r="H903" s="162" t="s">
        <v>1019</v>
      </c>
    </row>
    <row r="904" spans="1:8" x14ac:dyDescent="0.3">
      <c r="A904" s="161">
        <v>45958.458113425928</v>
      </c>
      <c r="B904" s="162" t="s">
        <v>2322</v>
      </c>
      <c r="C904" s="162" t="s">
        <v>2323</v>
      </c>
      <c r="D904" s="162">
        <v>1050</v>
      </c>
      <c r="E904" s="162">
        <v>0</v>
      </c>
      <c r="F904" s="162">
        <v>4447.38</v>
      </c>
      <c r="G904" s="162" t="s">
        <v>91</v>
      </c>
      <c r="H904" s="162" t="s">
        <v>1019</v>
      </c>
    </row>
    <row r="905" spans="1:8" x14ac:dyDescent="0.3">
      <c r="A905" s="161">
        <v>45958.738217592603</v>
      </c>
      <c r="B905" s="162" t="s">
        <v>2325</v>
      </c>
      <c r="C905" s="162" t="s">
        <v>2326</v>
      </c>
      <c r="D905" s="162">
        <v>24</v>
      </c>
      <c r="E905" s="162">
        <v>0</v>
      </c>
      <c r="F905" s="162">
        <v>4423.38</v>
      </c>
      <c r="G905" s="162" t="s">
        <v>131</v>
      </c>
      <c r="H905" s="162" t="s">
        <v>1019</v>
      </c>
    </row>
    <row r="906" spans="1:8" x14ac:dyDescent="0.3">
      <c r="A906" s="161">
        <v>45959</v>
      </c>
      <c r="B906" s="162" t="s">
        <v>632</v>
      </c>
      <c r="C906" s="162" t="s">
        <v>633</v>
      </c>
      <c r="D906" s="162">
        <v>0</v>
      </c>
      <c r="E906" s="162">
        <v>72923.839999999997</v>
      </c>
      <c r="F906" s="162">
        <v>126650.76</v>
      </c>
      <c r="G906" s="162" t="s">
        <v>606</v>
      </c>
      <c r="H906" s="162" t="s">
        <v>1779</v>
      </c>
    </row>
    <row r="907" spans="1:8" x14ac:dyDescent="0.3">
      <c r="A907" s="161">
        <v>45959</v>
      </c>
      <c r="B907" s="162" t="s">
        <v>50</v>
      </c>
      <c r="C907" s="162" t="s">
        <v>634</v>
      </c>
      <c r="D907" s="162">
        <v>93.09</v>
      </c>
      <c r="E907" s="162">
        <v>0</v>
      </c>
      <c r="F907" s="162">
        <v>126557.67</v>
      </c>
      <c r="G907" s="162" t="s">
        <v>49</v>
      </c>
      <c r="H907" s="162" t="s">
        <v>1779</v>
      </c>
    </row>
    <row r="908" spans="1:8" x14ac:dyDescent="0.3">
      <c r="A908" s="161">
        <v>45959.351203703707</v>
      </c>
      <c r="B908" s="162" t="s">
        <v>2327</v>
      </c>
      <c r="C908" s="162" t="s">
        <v>2328</v>
      </c>
      <c r="D908" s="162">
        <v>46</v>
      </c>
      <c r="E908" s="162">
        <v>0</v>
      </c>
      <c r="F908" s="162">
        <v>4377.38</v>
      </c>
      <c r="G908" s="162" t="s">
        <v>131</v>
      </c>
      <c r="H908" s="162" t="s">
        <v>1019</v>
      </c>
    </row>
    <row r="909" spans="1:8" x14ac:dyDescent="0.3">
      <c r="A909" s="161">
        <v>45960</v>
      </c>
      <c r="B909" s="162" t="s">
        <v>1275</v>
      </c>
      <c r="C909" s="162" t="s">
        <v>1005</v>
      </c>
      <c r="D909" s="162">
        <v>6000</v>
      </c>
      <c r="E909" s="162">
        <v>0</v>
      </c>
      <c r="F909" s="162">
        <v>31504.7</v>
      </c>
      <c r="G909" s="162" t="s">
        <v>1028</v>
      </c>
      <c r="H909" s="162" t="s">
        <v>1680</v>
      </c>
    </row>
    <row r="910" spans="1:8" x14ac:dyDescent="0.3">
      <c r="A910" s="161">
        <v>45960</v>
      </c>
      <c r="B910" s="162" t="s">
        <v>637</v>
      </c>
      <c r="C910" s="162" t="s">
        <v>638</v>
      </c>
      <c r="D910" s="162">
        <v>5000</v>
      </c>
      <c r="E910" s="162">
        <v>0</v>
      </c>
      <c r="F910" s="162">
        <v>137386.54</v>
      </c>
      <c r="G910" s="162" t="s">
        <v>2</v>
      </c>
      <c r="H910" s="162" t="s">
        <v>1779</v>
      </c>
    </row>
    <row r="911" spans="1:8" x14ac:dyDescent="0.3">
      <c r="A911" s="161">
        <v>45960</v>
      </c>
      <c r="B911" s="162" t="s">
        <v>50</v>
      </c>
      <c r="C911" s="162" t="s">
        <v>639</v>
      </c>
      <c r="D911" s="162">
        <v>93.09</v>
      </c>
      <c r="E911" s="162">
        <v>0</v>
      </c>
      <c r="F911" s="162">
        <v>137293.45000000001</v>
      </c>
      <c r="G911" s="162" t="s">
        <v>49</v>
      </c>
      <c r="H911" s="162" t="s">
        <v>1779</v>
      </c>
    </row>
    <row r="912" spans="1:8" x14ac:dyDescent="0.3">
      <c r="A912" s="161">
        <v>45960</v>
      </c>
      <c r="B912" s="162" t="s">
        <v>635</v>
      </c>
      <c r="C912" s="162" t="s">
        <v>636</v>
      </c>
      <c r="D912" s="162">
        <v>0</v>
      </c>
      <c r="E912" s="162">
        <v>15828.87</v>
      </c>
      <c r="F912" s="162">
        <v>142386.54</v>
      </c>
      <c r="G912" s="162" t="s">
        <v>49</v>
      </c>
      <c r="H912" s="162" t="s">
        <v>1779</v>
      </c>
    </row>
    <row r="913" spans="1:8" x14ac:dyDescent="0.3">
      <c r="A913" s="161">
        <v>45960</v>
      </c>
      <c r="B913" s="162" t="s">
        <v>50</v>
      </c>
      <c r="C913" s="162" t="s">
        <v>642</v>
      </c>
      <c r="D913" s="162">
        <v>32.270000000000003</v>
      </c>
      <c r="E913" s="162">
        <v>0</v>
      </c>
      <c r="F913" s="162">
        <v>17261.18</v>
      </c>
      <c r="G913" s="162" t="s">
        <v>49</v>
      </c>
      <c r="H913" s="162" t="s">
        <v>1779</v>
      </c>
    </row>
    <row r="914" spans="1:8" x14ac:dyDescent="0.3">
      <c r="A914" s="161">
        <v>45960</v>
      </c>
      <c r="B914" s="162" t="s">
        <v>640</v>
      </c>
      <c r="C914" s="162" t="s">
        <v>641</v>
      </c>
      <c r="D914" s="162">
        <v>120000</v>
      </c>
      <c r="E914" s="162">
        <v>0</v>
      </c>
      <c r="F914" s="162">
        <v>17293.45</v>
      </c>
      <c r="G914" s="162" t="s">
        <v>157</v>
      </c>
      <c r="H914" s="162" t="s">
        <v>1779</v>
      </c>
    </row>
    <row r="915" spans="1:8" x14ac:dyDescent="0.3">
      <c r="A915" s="161">
        <v>45961</v>
      </c>
      <c r="B915" s="162" t="s">
        <v>50</v>
      </c>
      <c r="C915" s="162" t="s">
        <v>643</v>
      </c>
      <c r="D915" s="162">
        <v>82.34</v>
      </c>
      <c r="E915" s="162">
        <v>0</v>
      </c>
      <c r="F915" s="162">
        <v>17178.84</v>
      </c>
      <c r="G915" s="162" t="s">
        <v>49</v>
      </c>
      <c r="H915" s="162" t="s">
        <v>1779</v>
      </c>
    </row>
    <row r="916" spans="1:8" x14ac:dyDescent="0.3">
      <c r="A916" s="161">
        <v>45961</v>
      </c>
      <c r="B916" s="162" t="s">
        <v>1276</v>
      </c>
      <c r="C916" s="162" t="s">
        <v>1005</v>
      </c>
      <c r="D916" s="162">
        <v>4000</v>
      </c>
      <c r="E916" s="162">
        <v>0</v>
      </c>
      <c r="F916" s="162">
        <v>27504.7</v>
      </c>
      <c r="G916" s="162" t="s">
        <v>1028</v>
      </c>
      <c r="H916" s="162" t="s">
        <v>1680</v>
      </c>
    </row>
    <row r="917" spans="1:8" x14ac:dyDescent="0.3">
      <c r="A917" s="161">
        <v>45961</v>
      </c>
      <c r="B917" s="162" t="s">
        <v>50</v>
      </c>
      <c r="C917" s="162" t="s">
        <v>646</v>
      </c>
      <c r="D917" s="162">
        <v>1060.19</v>
      </c>
      <c r="E917" s="162">
        <v>0</v>
      </c>
      <c r="F917" s="162">
        <v>16158.65</v>
      </c>
      <c r="G917" s="162" t="s">
        <v>49</v>
      </c>
      <c r="H917" s="162" t="s">
        <v>1779</v>
      </c>
    </row>
    <row r="918" spans="1:8" x14ac:dyDescent="0.3">
      <c r="A918" s="161">
        <v>45961</v>
      </c>
      <c r="B918" s="162" t="s">
        <v>644</v>
      </c>
      <c r="C918" s="162" t="s">
        <v>645</v>
      </c>
      <c r="D918" s="162">
        <v>0</v>
      </c>
      <c r="E918" s="162">
        <v>40</v>
      </c>
      <c r="F918" s="162">
        <v>17218.84</v>
      </c>
      <c r="G918" s="162" t="s">
        <v>17</v>
      </c>
      <c r="H918" s="162" t="s">
        <v>1779</v>
      </c>
    </row>
    <row r="919" spans="1:8" x14ac:dyDescent="0.3">
      <c r="A919" s="161">
        <v>45961.581724537027</v>
      </c>
      <c r="B919" s="162" t="s">
        <v>2329</v>
      </c>
      <c r="C919" s="162" t="s">
        <v>2330</v>
      </c>
      <c r="D919" s="162">
        <v>49</v>
      </c>
      <c r="E919" s="162">
        <v>0</v>
      </c>
      <c r="F919" s="162">
        <v>4328.38</v>
      </c>
      <c r="G919" s="162" t="s">
        <v>1795</v>
      </c>
      <c r="H919" s="162" t="s">
        <v>1019</v>
      </c>
    </row>
    <row r="920" spans="1:8" x14ac:dyDescent="0.3">
      <c r="A920" s="161">
        <v>45962</v>
      </c>
      <c r="B920" s="162" t="s">
        <v>1278</v>
      </c>
      <c r="C920" s="162" t="s">
        <v>1005</v>
      </c>
      <c r="D920" s="162">
        <v>0</v>
      </c>
      <c r="E920" s="162">
        <v>98705</v>
      </c>
      <c r="F920" s="162">
        <v>123209.7</v>
      </c>
      <c r="G920" s="162" t="s">
        <v>972</v>
      </c>
      <c r="H920" s="162" t="s">
        <v>1680</v>
      </c>
    </row>
    <row r="921" spans="1:8" x14ac:dyDescent="0.3">
      <c r="A921" s="161">
        <v>45962</v>
      </c>
      <c r="B921" s="162" t="s">
        <v>1277</v>
      </c>
      <c r="C921" s="162" t="s">
        <v>1005</v>
      </c>
      <c r="D921" s="162">
        <v>3000</v>
      </c>
      <c r="E921" s="162">
        <v>0</v>
      </c>
      <c r="F921" s="162">
        <v>24504.7</v>
      </c>
      <c r="G921" s="162" t="s">
        <v>1028</v>
      </c>
      <c r="H921" s="162" t="s">
        <v>1680</v>
      </c>
    </row>
    <row r="922" spans="1:8" x14ac:dyDescent="0.3">
      <c r="A922" s="161">
        <v>45962.37771990741</v>
      </c>
      <c r="B922" s="162" t="s">
        <v>2331</v>
      </c>
      <c r="C922" s="162" t="s">
        <v>2332</v>
      </c>
      <c r="D922" s="162">
        <v>52</v>
      </c>
      <c r="E922" s="162">
        <v>0</v>
      </c>
      <c r="F922" s="162">
        <v>4276.38</v>
      </c>
      <c r="G922" s="162" t="s">
        <v>131</v>
      </c>
      <c r="H922" s="162" t="s">
        <v>1019</v>
      </c>
    </row>
    <row r="923" spans="1:8" x14ac:dyDescent="0.3">
      <c r="A923" s="161">
        <v>45963</v>
      </c>
      <c r="B923" s="162" t="s">
        <v>1279</v>
      </c>
      <c r="C923" s="162" t="s">
        <v>1005</v>
      </c>
      <c r="D923" s="162">
        <v>3000</v>
      </c>
      <c r="E923" s="162">
        <v>0</v>
      </c>
      <c r="F923" s="162">
        <v>120209.7</v>
      </c>
      <c r="G923" s="162" t="s">
        <v>1028</v>
      </c>
      <c r="H923" s="162" t="s">
        <v>1680</v>
      </c>
    </row>
    <row r="924" spans="1:8" x14ac:dyDescent="0.3">
      <c r="A924" s="161">
        <v>45964</v>
      </c>
      <c r="B924" s="162" t="s">
        <v>1280</v>
      </c>
      <c r="C924" s="162" t="s">
        <v>1005</v>
      </c>
      <c r="D924" s="162">
        <v>3000</v>
      </c>
      <c r="E924" s="162">
        <v>0</v>
      </c>
      <c r="F924" s="162">
        <v>117209.7</v>
      </c>
      <c r="G924" s="162" t="s">
        <v>1028</v>
      </c>
      <c r="H924" s="162" t="s">
        <v>1680</v>
      </c>
    </row>
    <row r="925" spans="1:8" x14ac:dyDescent="0.3">
      <c r="A925" s="161">
        <v>45964</v>
      </c>
      <c r="B925" s="162" t="s">
        <v>1281</v>
      </c>
      <c r="C925" s="162" t="s">
        <v>1005</v>
      </c>
      <c r="D925" s="162">
        <v>23000</v>
      </c>
      <c r="E925" s="162">
        <v>0</v>
      </c>
      <c r="F925" s="162">
        <v>94209.7</v>
      </c>
      <c r="G925" s="162" t="s">
        <v>990</v>
      </c>
      <c r="H925" s="162" t="s">
        <v>1680</v>
      </c>
    </row>
    <row r="926" spans="1:8" x14ac:dyDescent="0.3">
      <c r="A926" s="161">
        <v>45965</v>
      </c>
      <c r="B926" s="162" t="s">
        <v>1284</v>
      </c>
      <c r="C926" s="162" t="s">
        <v>1005</v>
      </c>
      <c r="D926" s="162">
        <v>3000</v>
      </c>
      <c r="E926" s="162">
        <v>0</v>
      </c>
      <c r="F926" s="162">
        <v>87949.7</v>
      </c>
      <c r="G926" s="162" t="s">
        <v>1176</v>
      </c>
      <c r="H926" s="162" t="s">
        <v>1680</v>
      </c>
    </row>
    <row r="927" spans="1:8" x14ac:dyDescent="0.3">
      <c r="A927" s="161">
        <v>45965</v>
      </c>
      <c r="B927" s="162" t="s">
        <v>50</v>
      </c>
      <c r="C927" s="162" t="s">
        <v>651</v>
      </c>
      <c r="D927" s="162">
        <v>82.05</v>
      </c>
      <c r="E927" s="162">
        <v>0</v>
      </c>
      <c r="F927" s="162">
        <v>16466</v>
      </c>
      <c r="G927" s="162" t="s">
        <v>49</v>
      </c>
      <c r="H927" s="162" t="s">
        <v>1779</v>
      </c>
    </row>
    <row r="928" spans="1:8" x14ac:dyDescent="0.3">
      <c r="A928" s="161">
        <v>45965</v>
      </c>
      <c r="B928" s="162" t="s">
        <v>1282</v>
      </c>
      <c r="C928" s="162" t="s">
        <v>1005</v>
      </c>
      <c r="D928" s="162">
        <v>3000</v>
      </c>
      <c r="E928" s="162">
        <v>0</v>
      </c>
      <c r="F928" s="162">
        <v>91209.7</v>
      </c>
      <c r="G928" s="162" t="s">
        <v>1028</v>
      </c>
      <c r="H928" s="162" t="s">
        <v>1680</v>
      </c>
    </row>
    <row r="929" spans="1:8" x14ac:dyDescent="0.3">
      <c r="A929" s="161">
        <v>45965</v>
      </c>
      <c r="B929" s="162" t="s">
        <v>1283</v>
      </c>
      <c r="C929" s="162" t="s">
        <v>1005</v>
      </c>
      <c r="D929" s="162">
        <v>260</v>
      </c>
      <c r="E929" s="162">
        <v>0</v>
      </c>
      <c r="F929" s="162">
        <v>90949.7</v>
      </c>
      <c r="G929" s="162" t="s">
        <v>1053</v>
      </c>
      <c r="H929" s="162" t="s">
        <v>1680</v>
      </c>
    </row>
    <row r="930" spans="1:8" x14ac:dyDescent="0.3">
      <c r="A930" s="161">
        <v>45965</v>
      </c>
      <c r="B930" s="162" t="s">
        <v>647</v>
      </c>
      <c r="C930" s="162" t="s">
        <v>648</v>
      </c>
      <c r="D930" s="162">
        <v>0</v>
      </c>
      <c r="E930" s="162">
        <v>224.4</v>
      </c>
      <c r="F930" s="162">
        <v>16383.05</v>
      </c>
      <c r="G930" s="162" t="s">
        <v>49</v>
      </c>
      <c r="H930" s="162" t="s">
        <v>1779</v>
      </c>
    </row>
    <row r="931" spans="1:8" x14ac:dyDescent="0.3">
      <c r="A931" s="161">
        <v>45965</v>
      </c>
      <c r="B931" s="162" t="s">
        <v>1285</v>
      </c>
      <c r="C931" s="162" t="s">
        <v>1005</v>
      </c>
      <c r="D931" s="162">
        <v>3000</v>
      </c>
      <c r="E931" s="162">
        <v>0</v>
      </c>
      <c r="F931" s="162">
        <v>84949.7</v>
      </c>
      <c r="G931" s="162" t="s">
        <v>1028</v>
      </c>
      <c r="H931" s="162" t="s">
        <v>1680</v>
      </c>
    </row>
    <row r="932" spans="1:8" x14ac:dyDescent="0.3">
      <c r="A932" s="161">
        <v>45965</v>
      </c>
      <c r="B932" s="162" t="s">
        <v>649</v>
      </c>
      <c r="C932" s="162" t="s">
        <v>650</v>
      </c>
      <c r="D932" s="162">
        <v>0</v>
      </c>
      <c r="E932" s="162">
        <v>165</v>
      </c>
      <c r="F932" s="162">
        <v>16548.05</v>
      </c>
      <c r="G932" s="162" t="s">
        <v>17</v>
      </c>
      <c r="H932" s="162" t="s">
        <v>1779</v>
      </c>
    </row>
    <row r="933" spans="1:8" x14ac:dyDescent="0.3">
      <c r="A933" s="161">
        <v>45966</v>
      </c>
      <c r="B933" s="162" t="s">
        <v>1739</v>
      </c>
      <c r="C933" s="162"/>
      <c r="D933" s="162">
        <v>1501</v>
      </c>
      <c r="E933" s="162">
        <v>0</v>
      </c>
      <c r="F933" s="162">
        <v>8048.96</v>
      </c>
      <c r="G933" s="162" t="s">
        <v>91</v>
      </c>
      <c r="H933" s="162" t="s">
        <v>837</v>
      </c>
    </row>
    <row r="934" spans="1:8" x14ac:dyDescent="0.3">
      <c r="A934" s="161">
        <v>45966.653773148151</v>
      </c>
      <c r="B934" s="162" t="s">
        <v>2333</v>
      </c>
      <c r="C934" s="162" t="s">
        <v>2334</v>
      </c>
      <c r="D934" s="162">
        <v>46</v>
      </c>
      <c r="E934" s="162">
        <v>0</v>
      </c>
      <c r="F934" s="162">
        <v>4230.38</v>
      </c>
      <c r="G934" s="162" t="s">
        <v>131</v>
      </c>
      <c r="H934" s="162" t="s">
        <v>1019</v>
      </c>
    </row>
    <row r="935" spans="1:8" x14ac:dyDescent="0.3">
      <c r="A935" s="161">
        <v>45966.957627314812</v>
      </c>
      <c r="B935" s="162" t="s">
        <v>2335</v>
      </c>
      <c r="C935" s="162" t="s">
        <v>2336</v>
      </c>
      <c r="D935" s="162">
        <v>1</v>
      </c>
      <c r="E935" s="162">
        <v>0</v>
      </c>
      <c r="F935" s="162">
        <v>4229.38</v>
      </c>
      <c r="G935" s="162" t="s">
        <v>1795</v>
      </c>
      <c r="H935" s="162" t="s">
        <v>1019</v>
      </c>
    </row>
    <row r="936" spans="1:8" x14ac:dyDescent="0.3">
      <c r="A936" s="161">
        <v>45967</v>
      </c>
      <c r="B936" s="162" t="s">
        <v>652</v>
      </c>
      <c r="C936" s="162" t="s">
        <v>653</v>
      </c>
      <c r="D936" s="162">
        <v>0</v>
      </c>
      <c r="E936" s="162">
        <v>10475.290000000001</v>
      </c>
      <c r="F936" s="162">
        <v>26941.29</v>
      </c>
      <c r="G936" s="162" t="s">
        <v>49</v>
      </c>
      <c r="H936" s="162" t="s">
        <v>1779</v>
      </c>
    </row>
    <row r="937" spans="1:8" x14ac:dyDescent="0.3">
      <c r="A937" s="161">
        <v>45967</v>
      </c>
      <c r="B937" s="162" t="s">
        <v>50</v>
      </c>
      <c r="C937" s="162" t="s">
        <v>655</v>
      </c>
      <c r="D937" s="162">
        <v>360.34</v>
      </c>
      <c r="E937" s="162">
        <v>0</v>
      </c>
      <c r="F937" s="162">
        <v>26416.69</v>
      </c>
      <c r="G937" s="162" t="s">
        <v>49</v>
      </c>
      <c r="H937" s="162" t="s">
        <v>1779</v>
      </c>
    </row>
    <row r="938" spans="1:8" x14ac:dyDescent="0.3">
      <c r="A938" s="161">
        <v>45967</v>
      </c>
      <c r="B938" s="162" t="s">
        <v>50</v>
      </c>
      <c r="C938" s="162" t="s">
        <v>654</v>
      </c>
      <c r="D938" s="162">
        <v>164.26</v>
      </c>
      <c r="E938" s="162">
        <v>0</v>
      </c>
      <c r="F938" s="162">
        <v>26777.03</v>
      </c>
      <c r="G938" s="162" t="s">
        <v>49</v>
      </c>
      <c r="H938" s="162" t="s">
        <v>1779</v>
      </c>
    </row>
    <row r="939" spans="1:8" x14ac:dyDescent="0.3">
      <c r="A939" s="161">
        <v>45967</v>
      </c>
      <c r="B939" s="162" t="s">
        <v>1286</v>
      </c>
      <c r="C939" s="162" t="s">
        <v>1005</v>
      </c>
      <c r="D939" s="162">
        <v>2440.5</v>
      </c>
      <c r="E939" s="162">
        <v>0</v>
      </c>
      <c r="F939" s="162">
        <v>82509.2</v>
      </c>
      <c r="G939" s="162" t="s">
        <v>1028</v>
      </c>
      <c r="H939" s="162" t="s">
        <v>1680</v>
      </c>
    </row>
    <row r="940" spans="1:8" x14ac:dyDescent="0.3">
      <c r="A940" s="161">
        <v>45967.770844907413</v>
      </c>
      <c r="B940" s="162" t="s">
        <v>2337</v>
      </c>
      <c r="C940" s="162" t="s">
        <v>2338</v>
      </c>
      <c r="D940" s="162">
        <v>0</v>
      </c>
      <c r="E940" s="162">
        <v>1</v>
      </c>
      <c r="F940" s="162">
        <v>4230.38</v>
      </c>
      <c r="G940" s="162" t="s">
        <v>91</v>
      </c>
      <c r="H940" s="162" t="s">
        <v>1019</v>
      </c>
    </row>
    <row r="941" spans="1:8" x14ac:dyDescent="0.3">
      <c r="A941" s="161">
        <v>45968</v>
      </c>
      <c r="B941" s="162" t="s">
        <v>50</v>
      </c>
      <c r="C941" s="162" t="s">
        <v>658</v>
      </c>
      <c r="D941" s="162">
        <v>76.86</v>
      </c>
      <c r="E941" s="162">
        <v>0</v>
      </c>
      <c r="F941" s="162">
        <v>28219.83</v>
      </c>
      <c r="G941" s="162" t="s">
        <v>49</v>
      </c>
      <c r="H941" s="162" t="s">
        <v>1779</v>
      </c>
    </row>
    <row r="942" spans="1:8" x14ac:dyDescent="0.3">
      <c r="A942" s="161">
        <v>45968</v>
      </c>
      <c r="B942" s="162" t="s">
        <v>656</v>
      </c>
      <c r="C942" s="162" t="s">
        <v>657</v>
      </c>
      <c r="D942" s="162">
        <v>0</v>
      </c>
      <c r="E942" s="162">
        <v>1880</v>
      </c>
      <c r="F942" s="162">
        <v>28296.69</v>
      </c>
      <c r="G942" s="162" t="s">
        <v>63</v>
      </c>
      <c r="H942" s="162" t="s">
        <v>1779</v>
      </c>
    </row>
    <row r="943" spans="1:8" x14ac:dyDescent="0.3">
      <c r="A943" s="161">
        <v>45968</v>
      </c>
      <c r="B943" s="162" t="s">
        <v>1287</v>
      </c>
      <c r="C943" s="162" t="s">
        <v>1005</v>
      </c>
      <c r="D943" s="162">
        <v>231.56</v>
      </c>
      <c r="E943" s="162">
        <v>0</v>
      </c>
      <c r="F943" s="162">
        <v>82277.64</v>
      </c>
      <c r="G943" s="162" t="s">
        <v>112</v>
      </c>
      <c r="H943" s="162" t="s">
        <v>1680</v>
      </c>
    </row>
    <row r="944" spans="1:8" x14ac:dyDescent="0.3">
      <c r="A944" s="161">
        <v>45968</v>
      </c>
      <c r="B944" s="162" t="s">
        <v>1288</v>
      </c>
      <c r="C944" s="162" t="s">
        <v>1005</v>
      </c>
      <c r="D944" s="162">
        <v>15000</v>
      </c>
      <c r="E944" s="162">
        <v>0</v>
      </c>
      <c r="F944" s="162">
        <v>67277.64</v>
      </c>
      <c r="G944" s="162" t="s">
        <v>1019</v>
      </c>
      <c r="H944" s="162" t="s">
        <v>1680</v>
      </c>
    </row>
    <row r="945" spans="1:8" x14ac:dyDescent="0.3">
      <c r="A945" s="161">
        <v>45968.562372685177</v>
      </c>
      <c r="B945" s="162" t="s">
        <v>2339</v>
      </c>
      <c r="C945" s="162" t="s">
        <v>2340</v>
      </c>
      <c r="D945" s="162">
        <v>0</v>
      </c>
      <c r="E945" s="162">
        <v>15000</v>
      </c>
      <c r="F945" s="162">
        <v>19230.38</v>
      </c>
      <c r="G945" s="162" t="s">
        <v>1680</v>
      </c>
      <c r="H945" s="162" t="s">
        <v>1019</v>
      </c>
    </row>
    <row r="946" spans="1:8" x14ac:dyDescent="0.3">
      <c r="A946" s="161">
        <v>45968.976481481477</v>
      </c>
      <c r="B946" s="162" t="s">
        <v>2341</v>
      </c>
      <c r="C946" s="162" t="s">
        <v>2342</v>
      </c>
      <c r="D946" s="162">
        <v>26</v>
      </c>
      <c r="E946" s="162">
        <v>0</v>
      </c>
      <c r="F946" s="162">
        <v>19204.38</v>
      </c>
      <c r="G946" s="162" t="s">
        <v>91</v>
      </c>
      <c r="H946" s="162" t="s">
        <v>1019</v>
      </c>
    </row>
    <row r="947" spans="1:8" x14ac:dyDescent="0.3">
      <c r="A947" s="161">
        <v>45969</v>
      </c>
      <c r="B947" s="162" t="s">
        <v>50</v>
      </c>
      <c r="C947" s="162" t="s">
        <v>659</v>
      </c>
      <c r="D947" s="162">
        <v>12.81</v>
      </c>
      <c r="E947" s="162">
        <v>0</v>
      </c>
      <c r="F947" s="162">
        <v>28207.02</v>
      </c>
      <c r="G947" s="162" t="s">
        <v>49</v>
      </c>
      <c r="H947" s="162" t="s">
        <v>1779</v>
      </c>
    </row>
    <row r="948" spans="1:8" x14ac:dyDescent="0.3">
      <c r="A948" s="161">
        <v>45969.759456018517</v>
      </c>
      <c r="B948" s="162" t="s">
        <v>2344</v>
      </c>
      <c r="C948" s="162" t="s">
        <v>2345</v>
      </c>
      <c r="D948" s="162">
        <v>60</v>
      </c>
      <c r="E948" s="162">
        <v>0</v>
      </c>
      <c r="F948" s="162">
        <v>19144.38</v>
      </c>
      <c r="G948" s="162" t="s">
        <v>91</v>
      </c>
      <c r="H948" s="162" t="s">
        <v>1019</v>
      </c>
    </row>
    <row r="949" spans="1:8" x14ac:dyDescent="0.3">
      <c r="A949" s="161">
        <v>45971</v>
      </c>
      <c r="B949" s="162" t="s">
        <v>50</v>
      </c>
      <c r="C949" s="162" t="s">
        <v>660</v>
      </c>
      <c r="D949" s="162">
        <v>230.55</v>
      </c>
      <c r="E949" s="162">
        <v>0</v>
      </c>
      <c r="F949" s="162">
        <v>27976.47</v>
      </c>
      <c r="G949" s="162" t="s">
        <v>49</v>
      </c>
      <c r="H949" s="162" t="s">
        <v>1779</v>
      </c>
    </row>
    <row r="950" spans="1:8" x14ac:dyDescent="0.3">
      <c r="A950" s="161">
        <v>45972</v>
      </c>
      <c r="B950" s="162" t="s">
        <v>50</v>
      </c>
      <c r="C950" s="162" t="s">
        <v>663</v>
      </c>
      <c r="D950" s="162">
        <v>76.849999999999994</v>
      </c>
      <c r="E950" s="162">
        <v>0</v>
      </c>
      <c r="F950" s="162">
        <v>33967.71</v>
      </c>
      <c r="G950" s="162" t="s">
        <v>49</v>
      </c>
      <c r="H950" s="162" t="s">
        <v>1779</v>
      </c>
    </row>
    <row r="951" spans="1:8" x14ac:dyDescent="0.3">
      <c r="A951" s="161">
        <v>45972</v>
      </c>
      <c r="B951" s="162" t="s">
        <v>661</v>
      </c>
      <c r="C951" s="162" t="s">
        <v>662</v>
      </c>
      <c r="D951" s="162">
        <v>0</v>
      </c>
      <c r="E951" s="162">
        <v>6068.09</v>
      </c>
      <c r="F951" s="162">
        <v>34044.559999999998</v>
      </c>
      <c r="G951" s="162" t="s">
        <v>49</v>
      </c>
      <c r="H951" s="162" t="s">
        <v>1779</v>
      </c>
    </row>
    <row r="952" spans="1:8" x14ac:dyDescent="0.3">
      <c r="A952" s="161">
        <v>45972.254259259258</v>
      </c>
      <c r="B952" s="162" t="s">
        <v>2347</v>
      </c>
      <c r="C952" s="162"/>
      <c r="D952" s="162">
        <v>15000</v>
      </c>
      <c r="E952" s="162">
        <v>0</v>
      </c>
      <c r="F952" s="162">
        <v>4144.38</v>
      </c>
      <c r="G952" s="162" t="s">
        <v>1701</v>
      </c>
      <c r="H952" s="162" t="s">
        <v>1019</v>
      </c>
    </row>
    <row r="953" spans="1:8" x14ac:dyDescent="0.3">
      <c r="A953" s="161">
        <v>45973</v>
      </c>
      <c r="B953" s="162" t="s">
        <v>50</v>
      </c>
      <c r="C953" s="162" t="s">
        <v>667</v>
      </c>
      <c r="D953" s="162">
        <v>13975.1</v>
      </c>
      <c r="E953" s="162">
        <v>0</v>
      </c>
      <c r="F953" s="162">
        <v>20671.86</v>
      </c>
      <c r="G953" s="162" t="s">
        <v>49</v>
      </c>
      <c r="H953" s="162" t="s">
        <v>1779</v>
      </c>
    </row>
    <row r="954" spans="1:8" x14ac:dyDescent="0.3">
      <c r="A954" s="161">
        <v>45973</v>
      </c>
      <c r="B954" s="162" t="s">
        <v>50</v>
      </c>
      <c r="C954" s="162" t="s">
        <v>666</v>
      </c>
      <c r="D954" s="162">
        <v>70.010000000000005</v>
      </c>
      <c r="E954" s="162">
        <v>0</v>
      </c>
      <c r="F954" s="162">
        <v>34646.959999999999</v>
      </c>
      <c r="G954" s="162" t="s">
        <v>49</v>
      </c>
      <c r="H954" s="162" t="s">
        <v>1779</v>
      </c>
    </row>
    <row r="955" spans="1:8" x14ac:dyDescent="0.3">
      <c r="A955" s="161">
        <v>45973</v>
      </c>
      <c r="B955" s="162" t="s">
        <v>664</v>
      </c>
      <c r="C955" s="162" t="s">
        <v>665</v>
      </c>
      <c r="D955" s="162">
        <v>0</v>
      </c>
      <c r="E955" s="162">
        <v>749.26</v>
      </c>
      <c r="F955" s="162">
        <v>34716.97</v>
      </c>
      <c r="G955" s="162" t="s">
        <v>49</v>
      </c>
      <c r="H955" s="162" t="s">
        <v>1779</v>
      </c>
    </row>
    <row r="956" spans="1:8" x14ac:dyDescent="0.3">
      <c r="A956" s="161">
        <v>45973.508819444447</v>
      </c>
      <c r="B956" s="162" t="s">
        <v>2348</v>
      </c>
      <c r="C956" s="162" t="s">
        <v>2349</v>
      </c>
      <c r="D956" s="162">
        <v>0</v>
      </c>
      <c r="E956" s="162">
        <v>501</v>
      </c>
      <c r="F956" s="162">
        <v>4645.38</v>
      </c>
      <c r="G956" s="162" t="s">
        <v>606</v>
      </c>
      <c r="H956" s="162" t="s">
        <v>1019</v>
      </c>
    </row>
    <row r="957" spans="1:8" x14ac:dyDescent="0.3">
      <c r="A957" s="161">
        <v>45973.517245370371</v>
      </c>
      <c r="B957" s="162" t="s">
        <v>2350</v>
      </c>
      <c r="C957" s="162" t="s">
        <v>2351</v>
      </c>
      <c r="D957" s="162">
        <v>74</v>
      </c>
      <c r="E957" s="162">
        <v>0</v>
      </c>
      <c r="F957" s="162">
        <v>4571.38</v>
      </c>
      <c r="G957" s="162" t="s">
        <v>131</v>
      </c>
      <c r="H957" s="162" t="s">
        <v>1019</v>
      </c>
    </row>
    <row r="958" spans="1:8" x14ac:dyDescent="0.3">
      <c r="A958" s="161">
        <v>45974</v>
      </c>
      <c r="B958" s="162" t="s">
        <v>1290</v>
      </c>
      <c r="C958" s="162" t="s">
        <v>1005</v>
      </c>
      <c r="D958" s="162">
        <v>1053.5999999999999</v>
      </c>
      <c r="E958" s="162">
        <v>0</v>
      </c>
      <c r="F958" s="162">
        <v>64929.54</v>
      </c>
      <c r="G958" s="162" t="s">
        <v>1014</v>
      </c>
      <c r="H958" s="162" t="s">
        <v>1680</v>
      </c>
    </row>
    <row r="959" spans="1:8" x14ac:dyDescent="0.3">
      <c r="A959" s="161">
        <v>45974</v>
      </c>
      <c r="B959" s="162" t="s">
        <v>1291</v>
      </c>
      <c r="C959" s="162" t="s">
        <v>1005</v>
      </c>
      <c r="D959" s="162">
        <v>112.7</v>
      </c>
      <c r="E959" s="162">
        <v>0</v>
      </c>
      <c r="F959" s="162">
        <v>64816.84</v>
      </c>
      <c r="G959" s="162" t="s">
        <v>1014</v>
      </c>
      <c r="H959" s="162" t="s">
        <v>1680</v>
      </c>
    </row>
    <row r="960" spans="1:8" x14ac:dyDescent="0.3">
      <c r="A960" s="161">
        <v>45974</v>
      </c>
      <c r="B960" s="162" t="s">
        <v>1292</v>
      </c>
      <c r="C960" s="162" t="s">
        <v>1005</v>
      </c>
      <c r="D960" s="162">
        <v>152.69999999999999</v>
      </c>
      <c r="E960" s="162">
        <v>0</v>
      </c>
      <c r="F960" s="162">
        <v>64664.14</v>
      </c>
      <c r="G960" s="162" t="s">
        <v>1014</v>
      </c>
      <c r="H960" s="162" t="s">
        <v>1680</v>
      </c>
    </row>
    <row r="961" spans="1:8" x14ac:dyDescent="0.3">
      <c r="A961" s="161">
        <v>45974</v>
      </c>
      <c r="B961" s="162" t="s">
        <v>50</v>
      </c>
      <c r="C961" s="162" t="s">
        <v>668</v>
      </c>
      <c r="D961" s="162">
        <v>65.3</v>
      </c>
      <c r="E961" s="162">
        <v>0</v>
      </c>
      <c r="F961" s="162">
        <v>20606.560000000001</v>
      </c>
      <c r="G961" s="162" t="s">
        <v>49</v>
      </c>
      <c r="H961" s="162" t="s">
        <v>1779</v>
      </c>
    </row>
    <row r="962" spans="1:8" x14ac:dyDescent="0.3">
      <c r="A962" s="161">
        <v>45974</v>
      </c>
      <c r="B962" s="162" t="s">
        <v>50</v>
      </c>
      <c r="C962" s="162" t="s">
        <v>669</v>
      </c>
      <c r="D962" s="162">
        <v>538.01</v>
      </c>
      <c r="E962" s="162">
        <v>0</v>
      </c>
      <c r="F962" s="162">
        <v>20068.55</v>
      </c>
      <c r="G962" s="162" t="s">
        <v>49</v>
      </c>
      <c r="H962" s="162" t="s">
        <v>1779</v>
      </c>
    </row>
    <row r="963" spans="1:8" x14ac:dyDescent="0.3">
      <c r="A963" s="161">
        <v>45974</v>
      </c>
      <c r="B963" s="162" t="s">
        <v>1293</v>
      </c>
      <c r="C963" s="162" t="s">
        <v>1005</v>
      </c>
      <c r="D963" s="162">
        <v>312.7</v>
      </c>
      <c r="E963" s="162">
        <v>0</v>
      </c>
      <c r="F963" s="162">
        <v>64351.44</v>
      </c>
      <c r="G963" s="162" t="s">
        <v>1014</v>
      </c>
      <c r="H963" s="162" t="s">
        <v>1680</v>
      </c>
    </row>
    <row r="964" spans="1:8" x14ac:dyDescent="0.3">
      <c r="A964" s="161">
        <v>45974</v>
      </c>
      <c r="B964" s="162" t="s">
        <v>1294</v>
      </c>
      <c r="C964" s="162" t="s">
        <v>1005</v>
      </c>
      <c r="D964" s="162">
        <v>142.69999999999999</v>
      </c>
      <c r="E964" s="162">
        <v>0</v>
      </c>
      <c r="F964" s="162">
        <v>64208.74</v>
      </c>
      <c r="G964" s="162" t="s">
        <v>1014</v>
      </c>
      <c r="H964" s="162" t="s">
        <v>1680</v>
      </c>
    </row>
    <row r="965" spans="1:8" x14ac:dyDescent="0.3">
      <c r="A965" s="161">
        <v>45974</v>
      </c>
      <c r="B965" s="162" t="s">
        <v>1289</v>
      </c>
      <c r="C965" s="162" t="s">
        <v>1005</v>
      </c>
      <c r="D965" s="162">
        <v>1294.5</v>
      </c>
      <c r="E965" s="162">
        <v>0</v>
      </c>
      <c r="F965" s="162">
        <v>65983.14</v>
      </c>
      <c r="G965" s="162" t="s">
        <v>1014</v>
      </c>
      <c r="H965" s="162" t="s">
        <v>1680</v>
      </c>
    </row>
    <row r="966" spans="1:8" x14ac:dyDescent="0.3">
      <c r="A966" s="161">
        <v>45974</v>
      </c>
      <c r="B966" s="162" t="s">
        <v>1295</v>
      </c>
      <c r="C966" s="162" t="s">
        <v>1005</v>
      </c>
      <c r="D966" s="162">
        <v>2053.6</v>
      </c>
      <c r="E966" s="162">
        <v>0</v>
      </c>
      <c r="F966" s="162">
        <v>62155.14</v>
      </c>
      <c r="G966" s="162" t="s">
        <v>1014</v>
      </c>
      <c r="H966" s="162" t="s">
        <v>1680</v>
      </c>
    </row>
    <row r="967" spans="1:8" x14ac:dyDescent="0.3">
      <c r="A967" s="161">
        <v>45975</v>
      </c>
      <c r="B967" s="162" t="s">
        <v>1300</v>
      </c>
      <c r="C967" s="162" t="s">
        <v>1005</v>
      </c>
      <c r="D967" s="162">
        <v>110</v>
      </c>
      <c r="E967" s="162">
        <v>0</v>
      </c>
      <c r="F967" s="162">
        <v>61679.14</v>
      </c>
      <c r="G967" s="162" t="s">
        <v>91</v>
      </c>
      <c r="H967" s="162" t="s">
        <v>1680</v>
      </c>
    </row>
    <row r="968" spans="1:8" x14ac:dyDescent="0.3">
      <c r="A968" s="161">
        <v>45975</v>
      </c>
      <c r="B968" s="162" t="s">
        <v>50</v>
      </c>
      <c r="C968" s="162" t="s">
        <v>672</v>
      </c>
      <c r="D968" s="162">
        <v>65.11</v>
      </c>
      <c r="E968" s="162">
        <v>0</v>
      </c>
      <c r="F968" s="162">
        <v>20783.439999999999</v>
      </c>
      <c r="G968" s="162" t="s">
        <v>49</v>
      </c>
      <c r="H968" s="162" t="s">
        <v>1779</v>
      </c>
    </row>
    <row r="969" spans="1:8" x14ac:dyDescent="0.3">
      <c r="A969" s="161">
        <v>45975</v>
      </c>
      <c r="B969" s="162" t="s">
        <v>1741</v>
      </c>
      <c r="C969" s="162"/>
      <c r="D969" s="162">
        <v>0</v>
      </c>
      <c r="E969" s="162">
        <v>700</v>
      </c>
      <c r="F969" s="162">
        <v>8748.9599999999991</v>
      </c>
      <c r="G969" s="162" t="s">
        <v>1031</v>
      </c>
      <c r="H969" s="162" t="s">
        <v>837</v>
      </c>
    </row>
    <row r="970" spans="1:8" x14ac:dyDescent="0.3">
      <c r="A970" s="161">
        <v>45975</v>
      </c>
      <c r="B970" s="162" t="s">
        <v>1298</v>
      </c>
      <c r="C970" s="162" t="s">
        <v>1005</v>
      </c>
      <c r="D970" s="162">
        <v>220</v>
      </c>
      <c r="E970" s="162">
        <v>0</v>
      </c>
      <c r="F970" s="162">
        <v>61789.14</v>
      </c>
      <c r="G970" s="162" t="s">
        <v>91</v>
      </c>
      <c r="H970" s="162" t="s">
        <v>1680</v>
      </c>
    </row>
    <row r="971" spans="1:8" x14ac:dyDescent="0.3">
      <c r="A971" s="161">
        <v>45975</v>
      </c>
      <c r="B971" s="162" t="s">
        <v>1297</v>
      </c>
      <c r="C971" s="162" t="s">
        <v>1005</v>
      </c>
      <c r="D971" s="162">
        <v>100</v>
      </c>
      <c r="E971" s="162">
        <v>0</v>
      </c>
      <c r="F971" s="162">
        <v>62009.14</v>
      </c>
      <c r="G971" s="162" t="s">
        <v>131</v>
      </c>
      <c r="H971" s="162" t="s">
        <v>1680</v>
      </c>
    </row>
    <row r="972" spans="1:8" x14ac:dyDescent="0.3">
      <c r="A972" s="161">
        <v>45975</v>
      </c>
      <c r="B972" s="162" t="s">
        <v>1296</v>
      </c>
      <c r="C972" s="162" t="s">
        <v>1005</v>
      </c>
      <c r="D972" s="162">
        <v>46</v>
      </c>
      <c r="E972" s="162">
        <v>0</v>
      </c>
      <c r="F972" s="162">
        <v>62109.14</v>
      </c>
      <c r="G972" s="162" t="s">
        <v>131</v>
      </c>
      <c r="H972" s="162" t="s">
        <v>1680</v>
      </c>
    </row>
    <row r="973" spans="1:8" x14ac:dyDescent="0.3">
      <c r="A973" s="161">
        <v>45975</v>
      </c>
      <c r="B973" s="162" t="s">
        <v>670</v>
      </c>
      <c r="C973" s="162" t="s">
        <v>671</v>
      </c>
      <c r="D973" s="162">
        <v>0</v>
      </c>
      <c r="E973" s="162">
        <v>780</v>
      </c>
      <c r="F973" s="162">
        <v>20848.55</v>
      </c>
      <c r="G973" s="162" t="s">
        <v>17</v>
      </c>
      <c r="H973" s="162" t="s">
        <v>1779</v>
      </c>
    </row>
    <row r="974" spans="1:8" x14ac:dyDescent="0.3">
      <c r="A974" s="161">
        <v>45976</v>
      </c>
      <c r="B974" s="162" t="s">
        <v>1302</v>
      </c>
      <c r="C974" s="162" t="s">
        <v>1005</v>
      </c>
      <c r="D974" s="162">
        <v>393</v>
      </c>
      <c r="E974" s="162">
        <v>0</v>
      </c>
      <c r="F974" s="162">
        <v>61286.14</v>
      </c>
      <c r="G974" s="162" t="s">
        <v>91</v>
      </c>
      <c r="H974" s="162" t="s">
        <v>1680</v>
      </c>
    </row>
    <row r="975" spans="1:8" x14ac:dyDescent="0.3">
      <c r="A975" s="161">
        <v>45978</v>
      </c>
      <c r="B975" s="162" t="s">
        <v>675</v>
      </c>
      <c r="C975" s="162" t="s">
        <v>83</v>
      </c>
      <c r="D975" s="162">
        <v>1109.2</v>
      </c>
      <c r="E975" s="162">
        <v>0</v>
      </c>
      <c r="F975" s="162">
        <v>20254.41</v>
      </c>
      <c r="G975" s="162" t="s">
        <v>9</v>
      </c>
      <c r="H975" s="162" t="s">
        <v>1779</v>
      </c>
    </row>
    <row r="976" spans="1:8" x14ac:dyDescent="0.3">
      <c r="A976" s="161">
        <v>45978</v>
      </c>
      <c r="B976" s="162" t="s">
        <v>673</v>
      </c>
      <c r="C976" s="162" t="s">
        <v>674</v>
      </c>
      <c r="D976" s="162">
        <v>0</v>
      </c>
      <c r="E976" s="162">
        <v>580.16999999999996</v>
      </c>
      <c r="F976" s="162">
        <v>21363.61</v>
      </c>
      <c r="G976" s="162" t="s">
        <v>49</v>
      </c>
      <c r="H976" s="162" t="s">
        <v>1779</v>
      </c>
    </row>
    <row r="977" spans="1:8" x14ac:dyDescent="0.3">
      <c r="A977" s="161">
        <v>45978</v>
      </c>
      <c r="B977" s="162" t="s">
        <v>50</v>
      </c>
      <c r="C977" s="162" t="s">
        <v>676</v>
      </c>
      <c r="D977" s="162">
        <v>195.33</v>
      </c>
      <c r="E977" s="162">
        <v>0</v>
      </c>
      <c r="F977" s="162">
        <v>20059.080000000002</v>
      </c>
      <c r="G977" s="162" t="s">
        <v>49</v>
      </c>
      <c r="H977" s="162" t="s">
        <v>1779</v>
      </c>
    </row>
    <row r="978" spans="1:8" x14ac:dyDescent="0.3">
      <c r="A978" s="161">
        <v>45978.543645833342</v>
      </c>
      <c r="B978" s="162" t="s">
        <v>2352</v>
      </c>
      <c r="C978" s="162" t="s">
        <v>2353</v>
      </c>
      <c r="D978" s="162">
        <v>0</v>
      </c>
      <c r="E978" s="162">
        <v>48</v>
      </c>
      <c r="F978" s="162">
        <v>4619.38</v>
      </c>
      <c r="G978" s="162" t="s">
        <v>17</v>
      </c>
      <c r="H978" s="162" t="s">
        <v>1019</v>
      </c>
    </row>
    <row r="979" spans="1:8" x14ac:dyDescent="0.3">
      <c r="A979" s="161">
        <v>45979</v>
      </c>
      <c r="B979" s="162" t="s">
        <v>677</v>
      </c>
      <c r="C979" s="162" t="s">
        <v>678</v>
      </c>
      <c r="D979" s="162">
        <v>0</v>
      </c>
      <c r="E979" s="162">
        <v>720.5</v>
      </c>
      <c r="F979" s="162">
        <v>20779.580000000002</v>
      </c>
      <c r="G979" s="162" t="s">
        <v>49</v>
      </c>
      <c r="H979" s="162" t="s">
        <v>1779</v>
      </c>
    </row>
    <row r="980" spans="1:8" x14ac:dyDescent="0.3">
      <c r="A980" s="161">
        <v>45979</v>
      </c>
      <c r="B980" s="162" t="s">
        <v>50</v>
      </c>
      <c r="C980" s="162" t="s">
        <v>680</v>
      </c>
      <c r="D980" s="162">
        <v>499.82</v>
      </c>
      <c r="E980" s="162">
        <v>0</v>
      </c>
      <c r="F980" s="162">
        <v>20214.439999999999</v>
      </c>
      <c r="G980" s="162" t="s">
        <v>49</v>
      </c>
      <c r="H980" s="162" t="s">
        <v>1779</v>
      </c>
    </row>
    <row r="981" spans="1:8" x14ac:dyDescent="0.3">
      <c r="A981" s="161">
        <v>45979</v>
      </c>
      <c r="B981" s="162" t="s">
        <v>50</v>
      </c>
      <c r="C981" s="162" t="s">
        <v>679</v>
      </c>
      <c r="D981" s="162">
        <v>65.319999999999993</v>
      </c>
      <c r="E981" s="162">
        <v>0</v>
      </c>
      <c r="F981" s="162">
        <v>20714.259999999998</v>
      </c>
      <c r="G981" s="162" t="s">
        <v>49</v>
      </c>
      <c r="H981" s="162" t="s">
        <v>1779</v>
      </c>
    </row>
    <row r="982" spans="1:8" x14ac:dyDescent="0.3">
      <c r="A982" s="161">
        <v>45979</v>
      </c>
      <c r="B982" s="162" t="s">
        <v>1304</v>
      </c>
      <c r="C982" s="162" t="s">
        <v>1005</v>
      </c>
      <c r="D982" s="162">
        <v>299</v>
      </c>
      <c r="E982" s="162">
        <v>0</v>
      </c>
      <c r="F982" s="162">
        <v>60987.14</v>
      </c>
      <c r="G982" s="162" t="s">
        <v>91</v>
      </c>
      <c r="H982" s="162" t="s">
        <v>1680</v>
      </c>
    </row>
    <row r="983" spans="1:8" x14ac:dyDescent="0.3">
      <c r="A983" s="161">
        <v>45980</v>
      </c>
      <c r="B983" s="162" t="s">
        <v>1305</v>
      </c>
      <c r="C983" s="162" t="s">
        <v>1005</v>
      </c>
      <c r="D983" s="162">
        <v>10</v>
      </c>
      <c r="E983" s="162">
        <v>0</v>
      </c>
      <c r="F983" s="162">
        <v>60977.14</v>
      </c>
      <c r="G983" s="162" t="s">
        <v>91</v>
      </c>
      <c r="H983" s="162" t="s">
        <v>1680</v>
      </c>
    </row>
    <row r="984" spans="1:8" x14ac:dyDescent="0.3">
      <c r="A984" s="161">
        <v>45980</v>
      </c>
      <c r="B984" s="162" t="s">
        <v>50</v>
      </c>
      <c r="C984" s="162" t="s">
        <v>681</v>
      </c>
      <c r="D984" s="162">
        <v>65.39</v>
      </c>
      <c r="E984" s="162">
        <v>0</v>
      </c>
      <c r="F984" s="162">
        <v>20149.05</v>
      </c>
      <c r="G984" s="162" t="s">
        <v>49</v>
      </c>
      <c r="H984" s="162" t="s">
        <v>1779</v>
      </c>
    </row>
    <row r="985" spans="1:8" x14ac:dyDescent="0.3">
      <c r="A985" s="161">
        <v>45980.279050925928</v>
      </c>
      <c r="B985" s="162" t="s">
        <v>2354</v>
      </c>
      <c r="C985" s="162" t="s">
        <v>2355</v>
      </c>
      <c r="D985" s="162">
        <v>0</v>
      </c>
      <c r="E985" s="162">
        <v>196</v>
      </c>
      <c r="F985" s="162">
        <v>4815.38</v>
      </c>
      <c r="G985" s="162" t="s">
        <v>17</v>
      </c>
      <c r="H985" s="162" t="s">
        <v>1019</v>
      </c>
    </row>
    <row r="986" spans="1:8" x14ac:dyDescent="0.3">
      <c r="A986" s="161">
        <v>45981</v>
      </c>
      <c r="B986" s="162" t="s">
        <v>682</v>
      </c>
      <c r="C986" s="162" t="s">
        <v>683</v>
      </c>
      <c r="D986" s="162">
        <v>0</v>
      </c>
      <c r="E986" s="162">
        <v>43.25</v>
      </c>
      <c r="F986" s="162">
        <v>20192.3</v>
      </c>
      <c r="G986" s="162" t="s">
        <v>49</v>
      </c>
      <c r="H986" s="162" t="s">
        <v>1779</v>
      </c>
    </row>
    <row r="987" spans="1:8" x14ac:dyDescent="0.3">
      <c r="A987" s="161">
        <v>45981</v>
      </c>
      <c r="B987" s="162" t="s">
        <v>50</v>
      </c>
      <c r="C987" s="162" t="s">
        <v>684</v>
      </c>
      <c r="D987" s="162">
        <v>65.39</v>
      </c>
      <c r="E987" s="162">
        <v>0</v>
      </c>
      <c r="F987" s="162">
        <v>20126.91</v>
      </c>
      <c r="G987" s="162" t="s">
        <v>49</v>
      </c>
      <c r="H987" s="162" t="s">
        <v>1779</v>
      </c>
    </row>
    <row r="988" spans="1:8" x14ac:dyDescent="0.3">
      <c r="A988" s="161">
        <v>45981.5469212963</v>
      </c>
      <c r="B988" s="162" t="s">
        <v>2356</v>
      </c>
      <c r="C988" s="162" t="s">
        <v>2357</v>
      </c>
      <c r="D988" s="162">
        <v>0</v>
      </c>
      <c r="E988" s="162">
        <v>350</v>
      </c>
      <c r="F988" s="162">
        <v>5165.38</v>
      </c>
      <c r="G988" s="162" t="s">
        <v>17</v>
      </c>
      <c r="H988" s="162" t="s">
        <v>1019</v>
      </c>
    </row>
    <row r="989" spans="1:8" x14ac:dyDescent="0.3">
      <c r="A989" s="161">
        <v>45982</v>
      </c>
      <c r="B989" s="162" t="s">
        <v>50</v>
      </c>
      <c r="C989" s="162" t="s">
        <v>688</v>
      </c>
      <c r="D989" s="162">
        <v>580.03</v>
      </c>
      <c r="E989" s="162">
        <v>0</v>
      </c>
      <c r="F989" s="162">
        <v>19796.84</v>
      </c>
      <c r="G989" s="162" t="s">
        <v>49</v>
      </c>
      <c r="H989" s="162" t="s">
        <v>1779</v>
      </c>
    </row>
    <row r="990" spans="1:8" x14ac:dyDescent="0.3">
      <c r="A990" s="161">
        <v>45982</v>
      </c>
      <c r="B990" s="162" t="s">
        <v>685</v>
      </c>
      <c r="C990" s="162" t="s">
        <v>686</v>
      </c>
      <c r="D990" s="162">
        <v>0</v>
      </c>
      <c r="E990" s="162">
        <v>315.37</v>
      </c>
      <c r="F990" s="162">
        <v>20442.28</v>
      </c>
      <c r="G990" s="162" t="s">
        <v>49</v>
      </c>
      <c r="H990" s="162" t="s">
        <v>1779</v>
      </c>
    </row>
    <row r="991" spans="1:8" x14ac:dyDescent="0.3">
      <c r="A991" s="161">
        <v>45982</v>
      </c>
      <c r="B991" s="162" t="s">
        <v>50</v>
      </c>
      <c r="C991" s="162" t="s">
        <v>687</v>
      </c>
      <c r="D991" s="162">
        <v>65.41</v>
      </c>
      <c r="E991" s="162">
        <v>0</v>
      </c>
      <c r="F991" s="162">
        <v>20376.87</v>
      </c>
      <c r="G991" s="162" t="s">
        <v>49</v>
      </c>
      <c r="H991" s="162" t="s">
        <v>1779</v>
      </c>
    </row>
    <row r="992" spans="1:8" x14ac:dyDescent="0.3">
      <c r="A992" s="161">
        <v>45983</v>
      </c>
      <c r="B992" s="162" t="s">
        <v>1310</v>
      </c>
      <c r="C992" s="162" t="s">
        <v>1005</v>
      </c>
      <c r="D992" s="162">
        <v>150</v>
      </c>
      <c r="E992" s="162">
        <v>0</v>
      </c>
      <c r="F992" s="162">
        <v>59767.14</v>
      </c>
      <c r="G992" s="162" t="s">
        <v>91</v>
      </c>
      <c r="H992" s="162" t="s">
        <v>1680</v>
      </c>
    </row>
    <row r="993" spans="1:8" x14ac:dyDescent="0.3">
      <c r="A993" s="161">
        <v>45983</v>
      </c>
      <c r="B993" s="162" t="s">
        <v>1309</v>
      </c>
      <c r="C993" s="162" t="s">
        <v>1005</v>
      </c>
      <c r="D993" s="162">
        <v>1000</v>
      </c>
      <c r="E993" s="162">
        <v>0</v>
      </c>
      <c r="F993" s="162">
        <v>59917.14</v>
      </c>
      <c r="G993" s="162" t="s">
        <v>1028</v>
      </c>
      <c r="H993" s="162" t="s">
        <v>1680</v>
      </c>
    </row>
    <row r="994" spans="1:8" x14ac:dyDescent="0.3">
      <c r="A994" s="161">
        <v>45983</v>
      </c>
      <c r="B994" s="162" t="s">
        <v>1307</v>
      </c>
      <c r="C994" s="162" t="s">
        <v>1005</v>
      </c>
      <c r="D994" s="162">
        <v>60</v>
      </c>
      <c r="E994" s="162">
        <v>0</v>
      </c>
      <c r="F994" s="162">
        <v>60917.14</v>
      </c>
      <c r="G994" s="162" t="s">
        <v>91</v>
      </c>
      <c r="H994" s="162" t="s">
        <v>1680</v>
      </c>
    </row>
    <row r="995" spans="1:8" x14ac:dyDescent="0.3">
      <c r="A995" s="161">
        <v>45983</v>
      </c>
      <c r="B995" s="162" t="s">
        <v>1312</v>
      </c>
      <c r="C995" s="162" t="s">
        <v>1005</v>
      </c>
      <c r="D995" s="162">
        <v>30</v>
      </c>
      <c r="E995" s="162">
        <v>0</v>
      </c>
      <c r="F995" s="162">
        <v>59737.14</v>
      </c>
      <c r="G995" s="162" t="s">
        <v>91</v>
      </c>
      <c r="H995" s="162" t="s">
        <v>1680</v>
      </c>
    </row>
    <row r="996" spans="1:8" x14ac:dyDescent="0.3">
      <c r="A996" s="161">
        <v>45984</v>
      </c>
      <c r="B996" s="162" t="s">
        <v>1315</v>
      </c>
      <c r="C996" s="162" t="s">
        <v>1005</v>
      </c>
      <c r="D996" s="162">
        <v>50</v>
      </c>
      <c r="E996" s="162">
        <v>0</v>
      </c>
      <c r="F996" s="162">
        <v>58687.14</v>
      </c>
      <c r="G996" s="162" t="s">
        <v>91</v>
      </c>
      <c r="H996" s="162" t="s">
        <v>1680</v>
      </c>
    </row>
    <row r="997" spans="1:8" x14ac:dyDescent="0.3">
      <c r="A997" s="161">
        <v>45984</v>
      </c>
      <c r="B997" s="162" t="s">
        <v>1314</v>
      </c>
      <c r="C997" s="162" t="s">
        <v>1005</v>
      </c>
      <c r="D997" s="162">
        <v>1000</v>
      </c>
      <c r="E997" s="162">
        <v>0</v>
      </c>
      <c r="F997" s="162">
        <v>58737.14</v>
      </c>
      <c r="G997" s="162" t="s">
        <v>1028</v>
      </c>
      <c r="H997" s="162" t="s">
        <v>1680</v>
      </c>
    </row>
    <row r="998" spans="1:8" x14ac:dyDescent="0.3">
      <c r="A998" s="161">
        <v>45985</v>
      </c>
      <c r="B998" s="162" t="s">
        <v>1318</v>
      </c>
      <c r="C998" s="162" t="s">
        <v>1005</v>
      </c>
      <c r="D998" s="162">
        <v>35</v>
      </c>
      <c r="E998" s="162">
        <v>0</v>
      </c>
      <c r="F998" s="162">
        <v>57652.14</v>
      </c>
      <c r="G998" s="162" t="s">
        <v>91</v>
      </c>
      <c r="H998" s="162" t="s">
        <v>1680</v>
      </c>
    </row>
    <row r="999" spans="1:8" x14ac:dyDescent="0.3">
      <c r="A999" s="161">
        <v>45985</v>
      </c>
      <c r="B999" s="162" t="s">
        <v>1317</v>
      </c>
      <c r="C999" s="162" t="s">
        <v>1005</v>
      </c>
      <c r="D999" s="162">
        <v>1000</v>
      </c>
      <c r="E999" s="162">
        <v>0</v>
      </c>
      <c r="F999" s="162">
        <v>57687.14</v>
      </c>
      <c r="G999" s="162" t="s">
        <v>1028</v>
      </c>
      <c r="H999" s="162" t="s">
        <v>1680</v>
      </c>
    </row>
    <row r="1000" spans="1:8" x14ac:dyDescent="0.3">
      <c r="A1000" s="161">
        <v>45985</v>
      </c>
      <c r="B1000" s="162" t="s">
        <v>50</v>
      </c>
      <c r="C1000" s="162" t="s">
        <v>689</v>
      </c>
      <c r="D1000" s="162">
        <v>195.96</v>
      </c>
      <c r="E1000" s="162">
        <v>0</v>
      </c>
      <c r="F1000" s="162">
        <v>19600.88</v>
      </c>
      <c r="G1000" s="162" t="s">
        <v>49</v>
      </c>
      <c r="H1000" s="162" t="s">
        <v>1779</v>
      </c>
    </row>
    <row r="1001" spans="1:8" x14ac:dyDescent="0.3">
      <c r="A1001" s="161">
        <v>45985</v>
      </c>
      <c r="B1001" s="162" t="s">
        <v>50</v>
      </c>
      <c r="C1001" s="162" t="s">
        <v>690</v>
      </c>
      <c r="D1001" s="162">
        <v>728.47</v>
      </c>
      <c r="E1001" s="162">
        <v>0</v>
      </c>
      <c r="F1001" s="162">
        <v>18872.41</v>
      </c>
      <c r="G1001" s="162" t="s">
        <v>49</v>
      </c>
      <c r="H1001" s="162" t="s">
        <v>1779</v>
      </c>
    </row>
    <row r="1002" spans="1:8" x14ac:dyDescent="0.3">
      <c r="A1002" s="161">
        <v>45986</v>
      </c>
      <c r="B1002" s="162" t="s">
        <v>50</v>
      </c>
      <c r="C1002" s="162" t="s">
        <v>691</v>
      </c>
      <c r="D1002" s="162">
        <v>65.06</v>
      </c>
      <c r="E1002" s="162">
        <v>0</v>
      </c>
      <c r="F1002" s="162">
        <v>18807.349999999999</v>
      </c>
      <c r="G1002" s="162" t="s">
        <v>49</v>
      </c>
      <c r="H1002" s="162" t="s">
        <v>1779</v>
      </c>
    </row>
    <row r="1003" spans="1:8" x14ac:dyDescent="0.3">
      <c r="A1003" s="161">
        <v>45986</v>
      </c>
      <c r="B1003" s="162" t="s">
        <v>1321</v>
      </c>
      <c r="C1003" s="162" t="s">
        <v>1005</v>
      </c>
      <c r="D1003" s="162">
        <v>20</v>
      </c>
      <c r="E1003" s="162">
        <v>0</v>
      </c>
      <c r="F1003" s="162">
        <v>56632.14</v>
      </c>
      <c r="G1003" s="162" t="s">
        <v>91</v>
      </c>
      <c r="H1003" s="162" t="s">
        <v>1680</v>
      </c>
    </row>
    <row r="1004" spans="1:8" x14ac:dyDescent="0.3">
      <c r="A1004" s="161">
        <v>45986</v>
      </c>
      <c r="B1004" s="162" t="s">
        <v>1320</v>
      </c>
      <c r="C1004" s="162" t="s">
        <v>1005</v>
      </c>
      <c r="D1004" s="162">
        <v>1000</v>
      </c>
      <c r="E1004" s="162">
        <v>0</v>
      </c>
      <c r="F1004" s="162">
        <v>56652.14</v>
      </c>
      <c r="G1004" s="162" t="s">
        <v>1028</v>
      </c>
      <c r="H1004" s="162" t="s">
        <v>1680</v>
      </c>
    </row>
    <row r="1005" spans="1:8" x14ac:dyDescent="0.3">
      <c r="A1005" s="161">
        <v>45987</v>
      </c>
      <c r="B1005" s="162" t="s">
        <v>692</v>
      </c>
      <c r="C1005" s="162" t="s">
        <v>693</v>
      </c>
      <c r="D1005" s="162">
        <v>0</v>
      </c>
      <c r="E1005" s="162">
        <v>6473.54</v>
      </c>
      <c r="F1005" s="162">
        <v>25280.89</v>
      </c>
      <c r="G1005" s="162" t="s">
        <v>49</v>
      </c>
      <c r="H1005" s="162" t="s">
        <v>1779</v>
      </c>
    </row>
    <row r="1006" spans="1:8" x14ac:dyDescent="0.3">
      <c r="A1006" s="161">
        <v>45987</v>
      </c>
      <c r="B1006" s="162" t="s">
        <v>694</v>
      </c>
      <c r="C1006" s="162" t="s">
        <v>695</v>
      </c>
      <c r="D1006" s="162">
        <v>0</v>
      </c>
      <c r="E1006" s="162">
        <v>18149.099999999999</v>
      </c>
      <c r="F1006" s="162">
        <v>43429.99</v>
      </c>
      <c r="G1006" s="162" t="s">
        <v>49</v>
      </c>
      <c r="H1006" s="162" t="s">
        <v>1779</v>
      </c>
    </row>
    <row r="1007" spans="1:8" x14ac:dyDescent="0.3">
      <c r="A1007" s="161">
        <v>45987</v>
      </c>
      <c r="B1007" s="162" t="s">
        <v>50</v>
      </c>
      <c r="C1007" s="162" t="s">
        <v>696</v>
      </c>
      <c r="D1007" s="162">
        <v>65.06</v>
      </c>
      <c r="E1007" s="162">
        <v>0</v>
      </c>
      <c r="F1007" s="162">
        <v>43364.93</v>
      </c>
      <c r="G1007" s="162" t="s">
        <v>49</v>
      </c>
      <c r="H1007" s="162" t="s">
        <v>1779</v>
      </c>
    </row>
    <row r="1008" spans="1:8" x14ac:dyDescent="0.3">
      <c r="A1008" s="161">
        <v>45987</v>
      </c>
      <c r="B1008" s="162" t="s">
        <v>1324</v>
      </c>
      <c r="C1008" s="162" t="s">
        <v>1005</v>
      </c>
      <c r="D1008" s="162">
        <v>5000</v>
      </c>
      <c r="E1008" s="162">
        <v>0</v>
      </c>
      <c r="F1008" s="162">
        <v>50632.14</v>
      </c>
      <c r="G1008" s="162" t="s">
        <v>1019</v>
      </c>
      <c r="H1008" s="162" t="s">
        <v>1680</v>
      </c>
    </row>
    <row r="1009" spans="1:8" x14ac:dyDescent="0.3">
      <c r="A1009" s="161">
        <v>45987</v>
      </c>
      <c r="B1009" s="162" t="s">
        <v>1323</v>
      </c>
      <c r="C1009" s="162" t="s">
        <v>1005</v>
      </c>
      <c r="D1009" s="162">
        <v>1000</v>
      </c>
      <c r="E1009" s="162">
        <v>0</v>
      </c>
      <c r="F1009" s="162">
        <v>55632.14</v>
      </c>
      <c r="G1009" s="162" t="s">
        <v>1028</v>
      </c>
      <c r="H1009" s="162" t="s">
        <v>1680</v>
      </c>
    </row>
    <row r="1010" spans="1:8" x14ac:dyDescent="0.3">
      <c r="A1010" s="161">
        <v>45987.874201388891</v>
      </c>
      <c r="B1010" s="162" t="s">
        <v>2358</v>
      </c>
      <c r="C1010" s="162" t="s">
        <v>2359</v>
      </c>
      <c r="D1010" s="162">
        <v>0</v>
      </c>
      <c r="E1010" s="162">
        <v>5000</v>
      </c>
      <c r="F1010" s="162">
        <v>10165.379999999999</v>
      </c>
      <c r="G1010" s="162" t="s">
        <v>1680</v>
      </c>
      <c r="H1010" s="162" t="s">
        <v>1019</v>
      </c>
    </row>
    <row r="1011" spans="1:8" x14ac:dyDescent="0.3">
      <c r="A1011" s="161">
        <v>45988</v>
      </c>
      <c r="B1011" s="162" t="s">
        <v>697</v>
      </c>
      <c r="C1011" s="162" t="s">
        <v>698</v>
      </c>
      <c r="D1011" s="162">
        <v>0</v>
      </c>
      <c r="E1011" s="162">
        <v>1021.48</v>
      </c>
      <c r="F1011" s="162">
        <v>44386.41</v>
      </c>
      <c r="G1011" s="162" t="s">
        <v>49</v>
      </c>
      <c r="H1011" s="162" t="s">
        <v>1779</v>
      </c>
    </row>
    <row r="1012" spans="1:8" x14ac:dyDescent="0.3">
      <c r="A1012" s="161">
        <v>45988</v>
      </c>
      <c r="B1012" s="162" t="s">
        <v>1325</v>
      </c>
      <c r="C1012" s="162" t="s">
        <v>1005</v>
      </c>
      <c r="D1012" s="162">
        <v>1000</v>
      </c>
      <c r="E1012" s="162">
        <v>0</v>
      </c>
      <c r="F1012" s="162">
        <v>49632.14</v>
      </c>
      <c r="G1012" s="162" t="s">
        <v>1028</v>
      </c>
      <c r="H1012" s="162" t="s">
        <v>1680</v>
      </c>
    </row>
    <row r="1013" spans="1:8" x14ac:dyDescent="0.3">
      <c r="A1013" s="161">
        <v>45988</v>
      </c>
      <c r="B1013" s="162" t="s">
        <v>50</v>
      </c>
      <c r="C1013" s="162" t="s">
        <v>701</v>
      </c>
      <c r="D1013" s="162">
        <v>58.6</v>
      </c>
      <c r="E1013" s="162">
        <v>0</v>
      </c>
      <c r="F1013" s="162">
        <v>14327.81</v>
      </c>
      <c r="G1013" s="162" t="s">
        <v>49</v>
      </c>
      <c r="H1013" s="162" t="s">
        <v>1779</v>
      </c>
    </row>
    <row r="1014" spans="1:8" x14ac:dyDescent="0.3">
      <c r="A1014" s="161">
        <v>45988</v>
      </c>
      <c r="B1014" s="162" t="s">
        <v>699</v>
      </c>
      <c r="C1014" s="162" t="s">
        <v>700</v>
      </c>
      <c r="D1014" s="162">
        <v>30000</v>
      </c>
      <c r="E1014" s="162">
        <v>0</v>
      </c>
      <c r="F1014" s="162">
        <v>14386.41</v>
      </c>
      <c r="G1014" s="162" t="s">
        <v>157</v>
      </c>
      <c r="H1014" s="162" t="s">
        <v>1779</v>
      </c>
    </row>
    <row r="1015" spans="1:8" x14ac:dyDescent="0.3">
      <c r="A1015" s="161">
        <v>45988</v>
      </c>
      <c r="B1015" s="162" t="s">
        <v>50</v>
      </c>
      <c r="C1015" s="162" t="s">
        <v>702</v>
      </c>
      <c r="D1015" s="162">
        <v>142.46</v>
      </c>
      <c r="E1015" s="162">
        <v>0</v>
      </c>
      <c r="F1015" s="162">
        <v>14185.35</v>
      </c>
      <c r="G1015" s="162" t="s">
        <v>49</v>
      </c>
      <c r="H1015" s="162" t="s">
        <v>1779</v>
      </c>
    </row>
    <row r="1016" spans="1:8" x14ac:dyDescent="0.3">
      <c r="A1016" s="161">
        <v>45989</v>
      </c>
      <c r="B1016" s="162" t="s">
        <v>703</v>
      </c>
      <c r="C1016" s="162" t="s">
        <v>704</v>
      </c>
      <c r="D1016" s="162">
        <v>0</v>
      </c>
      <c r="E1016" s="162">
        <v>30064.62</v>
      </c>
      <c r="F1016" s="162">
        <v>44249.97</v>
      </c>
      <c r="G1016" s="162" t="s">
        <v>49</v>
      </c>
      <c r="H1016" s="162" t="s">
        <v>1779</v>
      </c>
    </row>
    <row r="1017" spans="1:8" x14ac:dyDescent="0.3">
      <c r="A1017" s="161">
        <v>45989</v>
      </c>
      <c r="B1017" s="162" t="s">
        <v>1326</v>
      </c>
      <c r="C1017" s="162" t="s">
        <v>1005</v>
      </c>
      <c r="D1017" s="162">
        <v>1000</v>
      </c>
      <c r="E1017" s="162">
        <v>0</v>
      </c>
      <c r="F1017" s="162">
        <v>48632.14</v>
      </c>
      <c r="G1017" s="162" t="s">
        <v>1028</v>
      </c>
      <c r="H1017" s="162" t="s">
        <v>1680</v>
      </c>
    </row>
    <row r="1018" spans="1:8" x14ac:dyDescent="0.3">
      <c r="A1018" s="161">
        <v>45989</v>
      </c>
      <c r="B1018" s="162" t="s">
        <v>1327</v>
      </c>
      <c r="C1018" s="162" t="s">
        <v>1005</v>
      </c>
      <c r="D1018" s="162">
        <v>50</v>
      </c>
      <c r="E1018" s="162">
        <v>0</v>
      </c>
      <c r="F1018" s="162">
        <v>48582.14</v>
      </c>
      <c r="G1018" s="162" t="s">
        <v>91</v>
      </c>
      <c r="H1018" s="162" t="s">
        <v>1680</v>
      </c>
    </row>
    <row r="1019" spans="1:8" x14ac:dyDescent="0.3">
      <c r="A1019" s="161">
        <v>45989</v>
      </c>
      <c r="B1019" s="162" t="s">
        <v>1328</v>
      </c>
      <c r="C1019" s="162" t="s">
        <v>1005</v>
      </c>
      <c r="D1019" s="162">
        <v>100</v>
      </c>
      <c r="E1019" s="162">
        <v>0</v>
      </c>
      <c r="F1019" s="162">
        <v>48482.14</v>
      </c>
      <c r="G1019" s="162" t="s">
        <v>91</v>
      </c>
      <c r="H1019" s="162" t="s">
        <v>1680</v>
      </c>
    </row>
    <row r="1020" spans="1:8" x14ac:dyDescent="0.3">
      <c r="A1020" s="161">
        <v>45989</v>
      </c>
      <c r="B1020" s="162" t="s">
        <v>50</v>
      </c>
      <c r="C1020" s="162" t="s">
        <v>710</v>
      </c>
      <c r="D1020" s="162">
        <v>158.30000000000001</v>
      </c>
      <c r="E1020" s="162">
        <v>0</v>
      </c>
      <c r="F1020" s="162">
        <v>39632.76</v>
      </c>
      <c r="G1020" s="162" t="s">
        <v>49</v>
      </c>
      <c r="H1020" s="162" t="s">
        <v>1779</v>
      </c>
    </row>
    <row r="1021" spans="1:8" x14ac:dyDescent="0.3">
      <c r="A1021" s="161">
        <v>45989</v>
      </c>
      <c r="B1021" s="162" t="s">
        <v>708</v>
      </c>
      <c r="C1021" s="162" t="s">
        <v>709</v>
      </c>
      <c r="D1021" s="162">
        <v>0</v>
      </c>
      <c r="E1021" s="162">
        <v>600</v>
      </c>
      <c r="F1021" s="162">
        <v>39791.06</v>
      </c>
      <c r="G1021" s="162" t="s">
        <v>17</v>
      </c>
      <c r="H1021" s="162" t="s">
        <v>1779</v>
      </c>
    </row>
    <row r="1022" spans="1:8" x14ac:dyDescent="0.3">
      <c r="A1022" s="161">
        <v>45989</v>
      </c>
      <c r="B1022" s="162" t="s">
        <v>50</v>
      </c>
      <c r="C1022" s="162" t="s">
        <v>707</v>
      </c>
      <c r="D1022" s="162">
        <v>58.91</v>
      </c>
      <c r="E1022" s="162">
        <v>0</v>
      </c>
      <c r="F1022" s="162">
        <v>39191.06</v>
      </c>
      <c r="G1022" s="162" t="s">
        <v>49</v>
      </c>
      <c r="H1022" s="162" t="s">
        <v>1779</v>
      </c>
    </row>
    <row r="1023" spans="1:8" x14ac:dyDescent="0.3">
      <c r="A1023" s="161">
        <v>45989</v>
      </c>
      <c r="B1023" s="162" t="s">
        <v>705</v>
      </c>
      <c r="C1023" s="162" t="s">
        <v>706</v>
      </c>
      <c r="D1023" s="162">
        <v>5000</v>
      </c>
      <c r="E1023" s="162">
        <v>0</v>
      </c>
      <c r="F1023" s="162">
        <v>39249.97</v>
      </c>
      <c r="G1023" s="162" t="s">
        <v>2</v>
      </c>
      <c r="H1023" s="162" t="s">
        <v>1779</v>
      </c>
    </row>
    <row r="1024" spans="1:8" x14ac:dyDescent="0.3">
      <c r="A1024" s="161">
        <v>45989</v>
      </c>
      <c r="B1024" s="162" t="s">
        <v>1330</v>
      </c>
      <c r="C1024" s="162" t="s">
        <v>1005</v>
      </c>
      <c r="D1024" s="162">
        <v>20</v>
      </c>
      <c r="E1024" s="162">
        <v>0</v>
      </c>
      <c r="F1024" s="162">
        <v>48462.14</v>
      </c>
      <c r="G1024" s="162" t="s">
        <v>91</v>
      </c>
      <c r="H1024" s="162" t="s">
        <v>1680</v>
      </c>
    </row>
    <row r="1025" spans="1:8" x14ac:dyDescent="0.3">
      <c r="A1025" s="161">
        <v>45989.311921296299</v>
      </c>
      <c r="B1025" s="162" t="s">
        <v>2360</v>
      </c>
      <c r="C1025" s="162" t="s">
        <v>2361</v>
      </c>
      <c r="D1025" s="162">
        <v>8050</v>
      </c>
      <c r="E1025" s="162">
        <v>0</v>
      </c>
      <c r="F1025" s="162">
        <v>2115.38</v>
      </c>
      <c r="G1025" s="162" t="s">
        <v>2</v>
      </c>
      <c r="H1025" s="162" t="s">
        <v>1019</v>
      </c>
    </row>
    <row r="1026" spans="1:8" x14ac:dyDescent="0.3">
      <c r="A1026" s="161">
        <v>45990</v>
      </c>
      <c r="B1026" s="162" t="s">
        <v>1333</v>
      </c>
      <c r="C1026" s="162" t="s">
        <v>1005</v>
      </c>
      <c r="D1026" s="162">
        <v>300</v>
      </c>
      <c r="E1026" s="162">
        <v>0</v>
      </c>
      <c r="F1026" s="162">
        <v>47162.14</v>
      </c>
      <c r="G1026" s="162" t="s">
        <v>91</v>
      </c>
      <c r="H1026" s="162" t="s">
        <v>1680</v>
      </c>
    </row>
    <row r="1027" spans="1:8" x14ac:dyDescent="0.3">
      <c r="A1027" s="161">
        <v>45990</v>
      </c>
      <c r="B1027" s="162" t="s">
        <v>1332</v>
      </c>
      <c r="C1027" s="162" t="s">
        <v>1005</v>
      </c>
      <c r="D1027" s="162">
        <v>1000</v>
      </c>
      <c r="E1027" s="162">
        <v>0</v>
      </c>
      <c r="F1027" s="162">
        <v>47462.14</v>
      </c>
      <c r="G1027" s="162" t="s">
        <v>1028</v>
      </c>
      <c r="H1027" s="162" t="s">
        <v>1680</v>
      </c>
    </row>
    <row r="1028" spans="1:8" x14ac:dyDescent="0.3">
      <c r="A1028" s="161">
        <v>45991</v>
      </c>
      <c r="B1028" s="162" t="s">
        <v>1335</v>
      </c>
      <c r="C1028" s="162" t="s">
        <v>1005</v>
      </c>
      <c r="D1028" s="162">
        <v>1000</v>
      </c>
      <c r="E1028" s="162">
        <v>0</v>
      </c>
      <c r="F1028" s="162">
        <v>46162.14</v>
      </c>
      <c r="G1028" s="162" t="s">
        <v>1028</v>
      </c>
      <c r="H1028" s="162" t="s">
        <v>1680</v>
      </c>
    </row>
    <row r="1029" spans="1:8" x14ac:dyDescent="0.3">
      <c r="A1029" s="161">
        <v>45991</v>
      </c>
      <c r="B1029" s="162" t="s">
        <v>1336</v>
      </c>
      <c r="C1029" s="162" t="s">
        <v>1005</v>
      </c>
      <c r="D1029" s="162">
        <v>10780</v>
      </c>
      <c r="E1029" s="162">
        <v>0</v>
      </c>
      <c r="F1029" s="162">
        <v>35382.14</v>
      </c>
      <c r="G1029" s="162" t="s">
        <v>112</v>
      </c>
      <c r="H1029" s="162" t="s">
        <v>1680</v>
      </c>
    </row>
    <row r="1030" spans="1:8" x14ac:dyDescent="0.3">
      <c r="A1030" s="161">
        <v>45992</v>
      </c>
      <c r="B1030" s="162" t="s">
        <v>1339</v>
      </c>
      <c r="C1030" s="162" t="s">
        <v>1005</v>
      </c>
      <c r="D1030" s="162">
        <v>8000</v>
      </c>
      <c r="E1030" s="162">
        <v>0</v>
      </c>
      <c r="F1030" s="162">
        <v>134430.14000000001</v>
      </c>
      <c r="G1030" s="162" t="s">
        <v>1019</v>
      </c>
      <c r="H1030" s="162" t="s">
        <v>1680</v>
      </c>
    </row>
    <row r="1031" spans="1:8" x14ac:dyDescent="0.3">
      <c r="A1031" s="161">
        <v>45992</v>
      </c>
      <c r="B1031" s="162" t="s">
        <v>1338</v>
      </c>
      <c r="C1031" s="162" t="s">
        <v>1005</v>
      </c>
      <c r="D1031" s="162">
        <v>1000</v>
      </c>
      <c r="E1031" s="162">
        <v>0</v>
      </c>
      <c r="F1031" s="162">
        <v>142430.14000000001</v>
      </c>
      <c r="G1031" s="162" t="s">
        <v>1028</v>
      </c>
      <c r="H1031" s="162" t="s">
        <v>1680</v>
      </c>
    </row>
    <row r="1032" spans="1:8" x14ac:dyDescent="0.3">
      <c r="A1032" s="161">
        <v>45992</v>
      </c>
      <c r="B1032" s="162" t="s">
        <v>1337</v>
      </c>
      <c r="C1032" s="162" t="s">
        <v>1005</v>
      </c>
      <c r="D1032" s="162">
        <v>0</v>
      </c>
      <c r="E1032" s="162">
        <v>108048</v>
      </c>
      <c r="F1032" s="162">
        <v>143430.14000000001</v>
      </c>
      <c r="G1032" s="162" t="s">
        <v>972</v>
      </c>
      <c r="H1032" s="162" t="s">
        <v>1680</v>
      </c>
    </row>
    <row r="1033" spans="1:8" x14ac:dyDescent="0.3">
      <c r="A1033" s="161">
        <v>45992</v>
      </c>
      <c r="B1033" s="162" t="s">
        <v>711</v>
      </c>
      <c r="C1033" s="162" t="s">
        <v>712</v>
      </c>
      <c r="D1033" s="162">
        <v>5000</v>
      </c>
      <c r="E1033" s="162">
        <v>0</v>
      </c>
      <c r="F1033" s="162">
        <v>34632.76</v>
      </c>
      <c r="G1033" s="162" t="s">
        <v>2</v>
      </c>
      <c r="H1033" s="162" t="s">
        <v>1779</v>
      </c>
    </row>
    <row r="1034" spans="1:8" x14ac:dyDescent="0.3">
      <c r="A1034" s="161">
        <v>45992</v>
      </c>
      <c r="B1034" s="162" t="s">
        <v>50</v>
      </c>
      <c r="C1034" s="162" t="s">
        <v>713</v>
      </c>
      <c r="D1034" s="162">
        <v>176.58</v>
      </c>
      <c r="E1034" s="162">
        <v>0</v>
      </c>
      <c r="F1034" s="162">
        <v>34456.18</v>
      </c>
      <c r="G1034" s="162" t="s">
        <v>49</v>
      </c>
      <c r="H1034" s="162" t="s">
        <v>1779</v>
      </c>
    </row>
    <row r="1035" spans="1:8" x14ac:dyDescent="0.3">
      <c r="A1035" s="161">
        <v>45992</v>
      </c>
      <c r="B1035" s="162" t="s">
        <v>50</v>
      </c>
      <c r="C1035" s="162" t="s">
        <v>714</v>
      </c>
      <c r="D1035" s="162">
        <v>424.5</v>
      </c>
      <c r="E1035" s="162">
        <v>0</v>
      </c>
      <c r="F1035" s="162">
        <v>34031.68</v>
      </c>
      <c r="G1035" s="162" t="s">
        <v>49</v>
      </c>
      <c r="H1035" s="162" t="s">
        <v>1779</v>
      </c>
    </row>
    <row r="1036" spans="1:8" x14ac:dyDescent="0.3">
      <c r="A1036" s="161">
        <v>45992.661770833343</v>
      </c>
      <c r="B1036" s="162" t="s">
        <v>2362</v>
      </c>
      <c r="C1036" s="162" t="s">
        <v>2363</v>
      </c>
      <c r="D1036" s="162">
        <v>0</v>
      </c>
      <c r="E1036" s="162">
        <v>8000</v>
      </c>
      <c r="F1036" s="162">
        <v>10115.379999999999</v>
      </c>
      <c r="G1036" s="162" t="s">
        <v>1680</v>
      </c>
      <c r="H1036" s="162" t="s">
        <v>1019</v>
      </c>
    </row>
    <row r="1037" spans="1:8" x14ac:dyDescent="0.3">
      <c r="A1037" s="161">
        <v>45993</v>
      </c>
      <c r="B1037" s="162" t="s">
        <v>50</v>
      </c>
      <c r="C1037" s="162" t="s">
        <v>718</v>
      </c>
      <c r="D1037" s="162">
        <v>63.21</v>
      </c>
      <c r="E1037" s="162">
        <v>0</v>
      </c>
      <c r="F1037" s="162">
        <v>34609.769999999997</v>
      </c>
      <c r="G1037" s="162" t="s">
        <v>49</v>
      </c>
      <c r="H1037" s="162" t="s">
        <v>1779</v>
      </c>
    </row>
    <row r="1038" spans="1:8" x14ac:dyDescent="0.3">
      <c r="A1038" s="161">
        <v>45993</v>
      </c>
      <c r="B1038" s="162" t="s">
        <v>1340</v>
      </c>
      <c r="C1038" s="162" t="s">
        <v>1005</v>
      </c>
      <c r="D1038" s="162">
        <v>1000</v>
      </c>
      <c r="E1038" s="162">
        <v>0</v>
      </c>
      <c r="F1038" s="162">
        <v>133430.14000000001</v>
      </c>
      <c r="G1038" s="162" t="s">
        <v>1028</v>
      </c>
      <c r="H1038" s="162" t="s">
        <v>1680</v>
      </c>
    </row>
    <row r="1039" spans="1:8" x14ac:dyDescent="0.3">
      <c r="A1039" s="161">
        <v>45993</v>
      </c>
      <c r="B1039" s="162" t="s">
        <v>1341</v>
      </c>
      <c r="C1039" s="162" t="s">
        <v>1005</v>
      </c>
      <c r="D1039" s="162">
        <v>5094.5</v>
      </c>
      <c r="E1039" s="162">
        <v>0</v>
      </c>
      <c r="F1039" s="162">
        <v>128335.64</v>
      </c>
      <c r="G1039" s="162" t="s">
        <v>1014</v>
      </c>
      <c r="H1039" s="162" t="s">
        <v>1680</v>
      </c>
    </row>
    <row r="1040" spans="1:8" x14ac:dyDescent="0.3">
      <c r="A1040" s="161">
        <v>45993</v>
      </c>
      <c r="B1040" s="162" t="s">
        <v>1342</v>
      </c>
      <c r="C1040" s="162" t="s">
        <v>1005</v>
      </c>
      <c r="D1040" s="162">
        <v>0</v>
      </c>
      <c r="E1040" s="162">
        <v>5094.5</v>
      </c>
      <c r="F1040" s="162">
        <v>133430.14000000001</v>
      </c>
      <c r="G1040" s="162" t="s">
        <v>1014</v>
      </c>
      <c r="H1040" s="162" t="s">
        <v>1680</v>
      </c>
    </row>
    <row r="1041" spans="1:8" x14ac:dyDescent="0.3">
      <c r="A1041" s="161">
        <v>45993</v>
      </c>
      <c r="B1041" s="162" t="s">
        <v>715</v>
      </c>
      <c r="C1041" s="162" t="s">
        <v>716</v>
      </c>
      <c r="D1041" s="162">
        <v>0</v>
      </c>
      <c r="E1041" s="162">
        <v>700</v>
      </c>
      <c r="F1041" s="162">
        <v>34731.68</v>
      </c>
      <c r="G1041" s="162" t="s">
        <v>17</v>
      </c>
      <c r="H1041" s="162" t="s">
        <v>1779</v>
      </c>
    </row>
    <row r="1042" spans="1:8" x14ac:dyDescent="0.3">
      <c r="A1042" s="161">
        <v>45993</v>
      </c>
      <c r="B1042" s="162" t="s">
        <v>50</v>
      </c>
      <c r="C1042" s="162" t="s">
        <v>717</v>
      </c>
      <c r="D1042" s="162">
        <v>58.7</v>
      </c>
      <c r="E1042" s="162">
        <v>0</v>
      </c>
      <c r="F1042" s="162">
        <v>34672.980000000003</v>
      </c>
      <c r="G1042" s="162" t="s">
        <v>49</v>
      </c>
      <c r="H1042" s="162" t="s">
        <v>1779</v>
      </c>
    </row>
    <row r="1043" spans="1:8" x14ac:dyDescent="0.3">
      <c r="A1043" s="161">
        <v>45994</v>
      </c>
      <c r="B1043" s="162" t="s">
        <v>1343</v>
      </c>
      <c r="C1043" s="162" t="s">
        <v>1005</v>
      </c>
      <c r="D1043" s="162">
        <v>1000</v>
      </c>
      <c r="E1043" s="162">
        <v>0</v>
      </c>
      <c r="F1043" s="162">
        <v>132430.14000000001</v>
      </c>
      <c r="G1043" s="162" t="s">
        <v>1028</v>
      </c>
      <c r="H1043" s="162" t="s">
        <v>1680</v>
      </c>
    </row>
    <row r="1044" spans="1:8" x14ac:dyDescent="0.3">
      <c r="A1044" s="161">
        <v>45994</v>
      </c>
      <c r="B1044" s="162" t="s">
        <v>1344</v>
      </c>
      <c r="C1044" s="162" t="s">
        <v>1005</v>
      </c>
      <c r="D1044" s="162">
        <v>23000</v>
      </c>
      <c r="E1044" s="162">
        <v>0</v>
      </c>
      <c r="F1044" s="162">
        <v>109430.14</v>
      </c>
      <c r="G1044" s="162" t="s">
        <v>990</v>
      </c>
      <c r="H1044" s="162" t="s">
        <v>1680</v>
      </c>
    </row>
    <row r="1045" spans="1:8" x14ac:dyDescent="0.3">
      <c r="A1045" s="161">
        <v>45994</v>
      </c>
      <c r="B1045" s="162" t="s">
        <v>50</v>
      </c>
      <c r="C1045" s="162" t="s">
        <v>720</v>
      </c>
      <c r="D1045" s="162">
        <v>329.31</v>
      </c>
      <c r="E1045" s="162">
        <v>0</v>
      </c>
      <c r="F1045" s="162">
        <v>34221.78</v>
      </c>
      <c r="G1045" s="162" t="s">
        <v>49</v>
      </c>
      <c r="H1045" s="162" t="s">
        <v>1779</v>
      </c>
    </row>
    <row r="1046" spans="1:8" x14ac:dyDescent="0.3">
      <c r="A1046" s="161">
        <v>45994</v>
      </c>
      <c r="B1046" s="162" t="s">
        <v>50</v>
      </c>
      <c r="C1046" s="162" t="s">
        <v>719</v>
      </c>
      <c r="D1046" s="162">
        <v>58.68</v>
      </c>
      <c r="E1046" s="162">
        <v>0</v>
      </c>
      <c r="F1046" s="162">
        <v>34551.089999999997</v>
      </c>
      <c r="G1046" s="162" t="s">
        <v>49</v>
      </c>
      <c r="H1046" s="162" t="s">
        <v>1779</v>
      </c>
    </row>
    <row r="1047" spans="1:8" x14ac:dyDescent="0.3">
      <c r="A1047" s="161">
        <v>45995</v>
      </c>
      <c r="B1047" s="162" t="s">
        <v>1346</v>
      </c>
      <c r="C1047" s="162" t="s">
        <v>1005</v>
      </c>
      <c r="D1047" s="162">
        <v>0</v>
      </c>
      <c r="E1047" s="162">
        <v>4100</v>
      </c>
      <c r="F1047" s="162">
        <v>112530.14</v>
      </c>
      <c r="G1047" s="162" t="s">
        <v>1014</v>
      </c>
      <c r="H1047" s="162" t="s">
        <v>1680</v>
      </c>
    </row>
    <row r="1048" spans="1:8" x14ac:dyDescent="0.3">
      <c r="A1048" s="161">
        <v>45995</v>
      </c>
      <c r="B1048" s="162" t="s">
        <v>1345</v>
      </c>
      <c r="C1048" s="162" t="s">
        <v>1005</v>
      </c>
      <c r="D1048" s="162">
        <v>1000</v>
      </c>
      <c r="E1048" s="162">
        <v>0</v>
      </c>
      <c r="F1048" s="162">
        <v>108430.14</v>
      </c>
      <c r="G1048" s="162" t="s">
        <v>1028</v>
      </c>
      <c r="H1048" s="162" t="s">
        <v>1680</v>
      </c>
    </row>
    <row r="1049" spans="1:8" x14ac:dyDescent="0.3">
      <c r="A1049" s="161">
        <v>45995</v>
      </c>
      <c r="B1049" s="162" t="s">
        <v>50</v>
      </c>
      <c r="C1049" s="162" t="s">
        <v>721</v>
      </c>
      <c r="D1049" s="162">
        <v>58.56</v>
      </c>
      <c r="E1049" s="162">
        <v>0</v>
      </c>
      <c r="F1049" s="162">
        <v>34163.22</v>
      </c>
      <c r="G1049" s="162" t="s">
        <v>49</v>
      </c>
      <c r="H1049" s="162" t="s">
        <v>1779</v>
      </c>
    </row>
    <row r="1050" spans="1:8" x14ac:dyDescent="0.3">
      <c r="A1050" s="161">
        <v>45996</v>
      </c>
      <c r="B1050" s="162" t="s">
        <v>50</v>
      </c>
      <c r="C1050" s="162" t="s">
        <v>725</v>
      </c>
      <c r="D1050" s="162">
        <v>371.57</v>
      </c>
      <c r="E1050" s="162">
        <v>0</v>
      </c>
      <c r="F1050" s="162">
        <v>34067.120000000003</v>
      </c>
      <c r="G1050" s="162" t="s">
        <v>49</v>
      </c>
      <c r="H1050" s="162" t="s">
        <v>1779</v>
      </c>
    </row>
    <row r="1051" spans="1:8" x14ac:dyDescent="0.3">
      <c r="A1051" s="161">
        <v>45996</v>
      </c>
      <c r="B1051" s="162" t="s">
        <v>50</v>
      </c>
      <c r="C1051" s="162" t="s">
        <v>724</v>
      </c>
      <c r="D1051" s="162">
        <v>58.56</v>
      </c>
      <c r="E1051" s="162">
        <v>0</v>
      </c>
      <c r="F1051" s="162">
        <v>34438.69</v>
      </c>
      <c r="G1051" s="162" t="s">
        <v>49</v>
      </c>
      <c r="H1051" s="162" t="s">
        <v>1779</v>
      </c>
    </row>
    <row r="1052" spans="1:8" x14ac:dyDescent="0.3">
      <c r="A1052" s="161">
        <v>45996</v>
      </c>
      <c r="B1052" s="162" t="s">
        <v>1347</v>
      </c>
      <c r="C1052" s="162" t="s">
        <v>1005</v>
      </c>
      <c r="D1052" s="162">
        <v>1000</v>
      </c>
      <c r="E1052" s="162">
        <v>0</v>
      </c>
      <c r="F1052" s="162">
        <v>111530.14</v>
      </c>
      <c r="G1052" s="162" t="s">
        <v>1028</v>
      </c>
      <c r="H1052" s="162" t="s">
        <v>1680</v>
      </c>
    </row>
    <row r="1053" spans="1:8" x14ac:dyDescent="0.3">
      <c r="A1053" s="161">
        <v>45996</v>
      </c>
      <c r="B1053" s="162" t="s">
        <v>722</v>
      </c>
      <c r="C1053" s="162" t="s">
        <v>723</v>
      </c>
      <c r="D1053" s="162">
        <v>0</v>
      </c>
      <c r="E1053" s="162">
        <v>334.03</v>
      </c>
      <c r="F1053" s="162">
        <v>34497.25</v>
      </c>
      <c r="G1053" s="162" t="s">
        <v>49</v>
      </c>
      <c r="H1053" s="162" t="s">
        <v>1779</v>
      </c>
    </row>
    <row r="1054" spans="1:8" x14ac:dyDescent="0.3">
      <c r="A1054" s="161">
        <v>45997</v>
      </c>
      <c r="B1054" s="162" t="s">
        <v>1348</v>
      </c>
      <c r="C1054" s="162" t="s">
        <v>1005</v>
      </c>
      <c r="D1054" s="162">
        <v>1367.93</v>
      </c>
      <c r="E1054" s="162">
        <v>0</v>
      </c>
      <c r="F1054" s="162">
        <v>110162.21</v>
      </c>
      <c r="G1054" s="162" t="s">
        <v>1028</v>
      </c>
      <c r="H1054" s="162" t="s">
        <v>1680</v>
      </c>
    </row>
    <row r="1055" spans="1:8" x14ac:dyDescent="0.3">
      <c r="A1055" s="161">
        <v>45997</v>
      </c>
      <c r="B1055" s="162" t="s">
        <v>1349</v>
      </c>
      <c r="C1055" s="162" t="s">
        <v>1005</v>
      </c>
      <c r="D1055" s="162">
        <v>2001</v>
      </c>
      <c r="E1055" s="162">
        <v>0</v>
      </c>
      <c r="F1055" s="162">
        <v>108161.21</v>
      </c>
      <c r="G1055" s="162" t="s">
        <v>112</v>
      </c>
      <c r="H1055" s="162" t="s">
        <v>1680</v>
      </c>
    </row>
    <row r="1056" spans="1:8" x14ac:dyDescent="0.3">
      <c r="A1056" s="161">
        <v>45998</v>
      </c>
      <c r="B1056" s="162" t="s">
        <v>1350</v>
      </c>
      <c r="C1056" s="162" t="s">
        <v>1005</v>
      </c>
      <c r="D1056" s="162">
        <v>254</v>
      </c>
      <c r="E1056" s="162">
        <v>0</v>
      </c>
      <c r="F1056" s="162">
        <v>107907.21</v>
      </c>
      <c r="G1056" s="162" t="s">
        <v>91</v>
      </c>
      <c r="H1056" s="162" t="s">
        <v>1680</v>
      </c>
    </row>
    <row r="1057" spans="1:8" x14ac:dyDescent="0.3">
      <c r="A1057" s="161">
        <v>45998</v>
      </c>
      <c r="B1057" s="162" t="s">
        <v>726</v>
      </c>
      <c r="C1057" s="162" t="s">
        <v>727</v>
      </c>
      <c r="D1057" s="162">
        <v>0</v>
      </c>
      <c r="E1057" s="162">
        <v>1880</v>
      </c>
      <c r="F1057" s="162">
        <v>35947.120000000003</v>
      </c>
      <c r="G1057" s="162" t="s">
        <v>63</v>
      </c>
      <c r="H1057" s="162" t="s">
        <v>1779</v>
      </c>
    </row>
    <row r="1058" spans="1:8" x14ac:dyDescent="0.3">
      <c r="A1058" s="161">
        <v>45998</v>
      </c>
      <c r="B1058" s="162" t="s">
        <v>1352</v>
      </c>
      <c r="C1058" s="162" t="s">
        <v>1005</v>
      </c>
      <c r="D1058" s="162">
        <v>52</v>
      </c>
      <c r="E1058" s="162">
        <v>0</v>
      </c>
      <c r="F1058" s="162">
        <v>107855.21</v>
      </c>
      <c r="G1058" s="162" t="s">
        <v>131</v>
      </c>
      <c r="H1058" s="162" t="s">
        <v>1680</v>
      </c>
    </row>
    <row r="1059" spans="1:8" x14ac:dyDescent="0.3">
      <c r="A1059" s="161">
        <v>45998</v>
      </c>
      <c r="B1059" s="162" t="s">
        <v>1353</v>
      </c>
      <c r="C1059" s="162" t="s">
        <v>1005</v>
      </c>
      <c r="D1059" s="162">
        <v>220</v>
      </c>
      <c r="E1059" s="162">
        <v>0</v>
      </c>
      <c r="F1059" s="162">
        <v>107635.21</v>
      </c>
      <c r="G1059" s="162" t="s">
        <v>91</v>
      </c>
      <c r="H1059" s="162" t="s">
        <v>1680</v>
      </c>
    </row>
    <row r="1060" spans="1:8" x14ac:dyDescent="0.3">
      <c r="A1060" s="161">
        <v>45999</v>
      </c>
      <c r="B1060" s="162" t="s">
        <v>50</v>
      </c>
      <c r="C1060" s="162" t="s">
        <v>728</v>
      </c>
      <c r="D1060" s="162">
        <v>175.65</v>
      </c>
      <c r="E1060" s="162">
        <v>0</v>
      </c>
      <c r="F1060" s="162">
        <v>35771.47</v>
      </c>
      <c r="G1060" s="162" t="s">
        <v>49</v>
      </c>
      <c r="H1060" s="162" t="s">
        <v>1779</v>
      </c>
    </row>
    <row r="1061" spans="1:8" x14ac:dyDescent="0.3">
      <c r="A1061" s="161">
        <v>45999</v>
      </c>
      <c r="B1061" s="162" t="s">
        <v>50</v>
      </c>
      <c r="C1061" s="162" t="s">
        <v>729</v>
      </c>
      <c r="D1061" s="162">
        <v>1117.9100000000001</v>
      </c>
      <c r="E1061" s="162">
        <v>0</v>
      </c>
      <c r="F1061" s="162">
        <v>34653.56</v>
      </c>
      <c r="G1061" s="162" t="s">
        <v>49</v>
      </c>
      <c r="H1061" s="162" t="s">
        <v>1779</v>
      </c>
    </row>
    <row r="1062" spans="1:8" x14ac:dyDescent="0.3">
      <c r="A1062" s="161">
        <v>45999.609305555547</v>
      </c>
      <c r="B1062" s="162" t="s">
        <v>2364</v>
      </c>
      <c r="C1062" s="162" t="s">
        <v>2365</v>
      </c>
      <c r="D1062" s="162">
        <v>0</v>
      </c>
      <c r="E1062" s="162">
        <v>122.22</v>
      </c>
      <c r="F1062" s="162">
        <v>10237.6</v>
      </c>
      <c r="G1062" s="162" t="s">
        <v>2048</v>
      </c>
      <c r="H1062" s="162" t="s">
        <v>1019</v>
      </c>
    </row>
    <row r="1063" spans="1:8" x14ac:dyDescent="0.3">
      <c r="A1063" s="161">
        <v>46000</v>
      </c>
      <c r="B1063" s="162" t="s">
        <v>50</v>
      </c>
      <c r="C1063" s="162" t="s">
        <v>731</v>
      </c>
      <c r="D1063" s="162">
        <v>170.87</v>
      </c>
      <c r="E1063" s="162">
        <v>0</v>
      </c>
      <c r="F1063" s="162">
        <v>34424.54</v>
      </c>
      <c r="G1063" s="162" t="s">
        <v>49</v>
      </c>
      <c r="H1063" s="162" t="s">
        <v>1779</v>
      </c>
    </row>
    <row r="1064" spans="1:8" x14ac:dyDescent="0.3">
      <c r="A1064" s="161">
        <v>46000</v>
      </c>
      <c r="B1064" s="162" t="s">
        <v>50</v>
      </c>
      <c r="C1064" s="162" t="s">
        <v>730</v>
      </c>
      <c r="D1064" s="162">
        <v>58.15</v>
      </c>
      <c r="E1064" s="162">
        <v>0</v>
      </c>
      <c r="F1064" s="162">
        <v>34595.410000000003</v>
      </c>
      <c r="G1064" s="162" t="s">
        <v>49</v>
      </c>
      <c r="H1064" s="162" t="s">
        <v>1779</v>
      </c>
    </row>
    <row r="1065" spans="1:8" x14ac:dyDescent="0.3">
      <c r="A1065" s="161">
        <v>46001</v>
      </c>
      <c r="B1065" s="162" t="s">
        <v>1355</v>
      </c>
      <c r="C1065" s="162" t="s">
        <v>1005</v>
      </c>
      <c r="D1065" s="162">
        <v>5000</v>
      </c>
      <c r="E1065" s="162">
        <v>0</v>
      </c>
      <c r="F1065" s="162">
        <v>102635.21</v>
      </c>
      <c r="G1065" s="162" t="s">
        <v>1031</v>
      </c>
      <c r="H1065" s="162" t="s">
        <v>1680</v>
      </c>
    </row>
    <row r="1066" spans="1:8" x14ac:dyDescent="0.3">
      <c r="A1066" s="161">
        <v>46001</v>
      </c>
      <c r="B1066" s="162" t="s">
        <v>50</v>
      </c>
      <c r="C1066" s="162" t="s">
        <v>733</v>
      </c>
      <c r="D1066" s="162">
        <v>1005.4</v>
      </c>
      <c r="E1066" s="162">
        <v>0</v>
      </c>
      <c r="F1066" s="162">
        <v>33361.050000000003</v>
      </c>
      <c r="G1066" s="162" t="s">
        <v>49</v>
      </c>
      <c r="H1066" s="162" t="s">
        <v>1779</v>
      </c>
    </row>
    <row r="1067" spans="1:8" x14ac:dyDescent="0.3">
      <c r="A1067" s="161">
        <v>46001</v>
      </c>
      <c r="B1067" s="162" t="s">
        <v>1356</v>
      </c>
      <c r="C1067" s="162" t="s">
        <v>1005</v>
      </c>
      <c r="D1067" s="162">
        <v>52</v>
      </c>
      <c r="E1067" s="162">
        <v>0</v>
      </c>
      <c r="F1067" s="162">
        <v>102583.21</v>
      </c>
      <c r="G1067" s="162" t="s">
        <v>131</v>
      </c>
      <c r="H1067" s="162" t="s">
        <v>1680</v>
      </c>
    </row>
    <row r="1068" spans="1:8" x14ac:dyDescent="0.3">
      <c r="A1068" s="161">
        <v>46001</v>
      </c>
      <c r="B1068" s="162" t="s">
        <v>50</v>
      </c>
      <c r="C1068" s="162" t="s">
        <v>732</v>
      </c>
      <c r="D1068" s="162">
        <v>58.09</v>
      </c>
      <c r="E1068" s="162">
        <v>0</v>
      </c>
      <c r="F1068" s="162">
        <v>34366.449999999997</v>
      </c>
      <c r="G1068" s="162" t="s">
        <v>49</v>
      </c>
      <c r="H1068" s="162" t="s">
        <v>1779</v>
      </c>
    </row>
    <row r="1069" spans="1:8" x14ac:dyDescent="0.3">
      <c r="A1069" s="161">
        <v>46001</v>
      </c>
      <c r="B1069" s="162" t="s">
        <v>1743</v>
      </c>
      <c r="C1069" s="162"/>
      <c r="D1069" s="162">
        <v>0</v>
      </c>
      <c r="E1069" s="162">
        <v>5000</v>
      </c>
      <c r="F1069" s="162">
        <v>13798.96</v>
      </c>
      <c r="G1069" s="162" t="s">
        <v>1031</v>
      </c>
      <c r="H1069" s="162" t="s">
        <v>837</v>
      </c>
    </row>
    <row r="1070" spans="1:8" x14ac:dyDescent="0.3">
      <c r="A1070" s="161">
        <v>46001</v>
      </c>
      <c r="B1070" s="162" t="s">
        <v>1744</v>
      </c>
      <c r="C1070" s="162"/>
      <c r="D1070" s="162">
        <v>5000</v>
      </c>
      <c r="E1070" s="162">
        <v>0</v>
      </c>
      <c r="F1070" s="162">
        <v>8798.9599999999991</v>
      </c>
      <c r="G1070" s="162" t="s">
        <v>1019</v>
      </c>
      <c r="H1070" s="162" t="s">
        <v>837</v>
      </c>
    </row>
    <row r="1071" spans="1:8" x14ac:dyDescent="0.3">
      <c r="A1071" s="161">
        <v>46001</v>
      </c>
      <c r="B1071" s="162" t="s">
        <v>1357</v>
      </c>
      <c r="C1071" s="162" t="s">
        <v>1005</v>
      </c>
      <c r="D1071" s="162">
        <v>35</v>
      </c>
      <c r="E1071" s="162">
        <v>0</v>
      </c>
      <c r="F1071" s="162">
        <v>102548.21</v>
      </c>
      <c r="G1071" s="162" t="s">
        <v>131</v>
      </c>
      <c r="H1071" s="162" t="s">
        <v>1680</v>
      </c>
    </row>
    <row r="1072" spans="1:8" x14ac:dyDescent="0.3">
      <c r="A1072" s="161">
        <v>46001</v>
      </c>
      <c r="B1072" s="162" t="s">
        <v>1742</v>
      </c>
      <c r="C1072" s="162"/>
      <c r="D1072" s="162">
        <v>0</v>
      </c>
      <c r="E1072" s="162">
        <v>50</v>
      </c>
      <c r="F1072" s="162">
        <v>8798.9599999999991</v>
      </c>
      <c r="G1072" s="162" t="s">
        <v>1031</v>
      </c>
      <c r="H1072" s="162" t="s">
        <v>837</v>
      </c>
    </row>
    <row r="1073" spans="1:8" x14ac:dyDescent="0.3">
      <c r="A1073" s="161">
        <v>46001.357222222221</v>
      </c>
      <c r="B1073" s="162" t="s">
        <v>2366</v>
      </c>
      <c r="C1073" s="162" t="s">
        <v>2367</v>
      </c>
      <c r="D1073" s="162">
        <v>0</v>
      </c>
      <c r="E1073" s="162">
        <v>501</v>
      </c>
      <c r="F1073" s="162">
        <v>10738.6</v>
      </c>
      <c r="G1073" s="162" t="s">
        <v>606</v>
      </c>
      <c r="H1073" s="162" t="s">
        <v>1019</v>
      </c>
    </row>
    <row r="1074" spans="1:8" x14ac:dyDescent="0.3">
      <c r="A1074" s="161">
        <v>46001.648622685178</v>
      </c>
      <c r="B1074" s="162" t="s">
        <v>2368</v>
      </c>
      <c r="C1074" s="162" t="s">
        <v>2369</v>
      </c>
      <c r="D1074" s="162">
        <v>0</v>
      </c>
      <c r="E1074" s="162">
        <v>50</v>
      </c>
      <c r="F1074" s="162">
        <v>10788.6</v>
      </c>
      <c r="G1074" s="162" t="s">
        <v>1031</v>
      </c>
      <c r="H1074" s="162" t="s">
        <v>1019</v>
      </c>
    </row>
    <row r="1075" spans="1:8" x14ac:dyDescent="0.3">
      <c r="A1075" s="161">
        <v>46001.649328703701</v>
      </c>
      <c r="B1075" s="162" t="s">
        <v>2370</v>
      </c>
      <c r="C1075" s="162" t="s">
        <v>2371</v>
      </c>
      <c r="D1075" s="162">
        <v>100</v>
      </c>
      <c r="E1075" s="162">
        <v>0</v>
      </c>
      <c r="F1075" s="162">
        <v>10688.6</v>
      </c>
      <c r="G1075" s="162" t="s">
        <v>1031</v>
      </c>
      <c r="H1075" s="162" t="s">
        <v>1019</v>
      </c>
    </row>
    <row r="1076" spans="1:8" x14ac:dyDescent="0.3">
      <c r="A1076" s="161">
        <v>46001.649780092594</v>
      </c>
      <c r="B1076" s="162" t="s">
        <v>2372</v>
      </c>
      <c r="C1076" s="162" t="s">
        <v>2373</v>
      </c>
      <c r="D1076" s="162">
        <v>0</v>
      </c>
      <c r="E1076" s="162">
        <v>1</v>
      </c>
      <c r="F1076" s="162">
        <v>10689.6</v>
      </c>
      <c r="G1076" s="162" t="s">
        <v>91</v>
      </c>
      <c r="H1076" s="162" t="s">
        <v>1019</v>
      </c>
    </row>
    <row r="1077" spans="1:8" x14ac:dyDescent="0.3">
      <c r="A1077" s="161">
        <v>46001.658576388887</v>
      </c>
      <c r="B1077" s="162" t="s">
        <v>2374</v>
      </c>
      <c r="C1077" s="162" t="s">
        <v>2375</v>
      </c>
      <c r="D1077" s="162">
        <v>0</v>
      </c>
      <c r="E1077" s="162">
        <v>5000</v>
      </c>
      <c r="F1077" s="162">
        <v>15689.6</v>
      </c>
      <c r="G1077" s="162" t="s">
        <v>837</v>
      </c>
      <c r="H1077" s="162" t="s">
        <v>1019</v>
      </c>
    </row>
    <row r="1078" spans="1:8" x14ac:dyDescent="0.3">
      <c r="A1078" s="161">
        <v>46002</v>
      </c>
      <c r="B1078" s="162" t="s">
        <v>50</v>
      </c>
      <c r="C1078" s="162" t="s">
        <v>734</v>
      </c>
      <c r="D1078" s="162">
        <v>57.73</v>
      </c>
      <c r="E1078" s="162">
        <v>0</v>
      </c>
      <c r="F1078" s="162">
        <v>33303.32</v>
      </c>
      <c r="G1078" s="162" t="s">
        <v>49</v>
      </c>
      <c r="H1078" s="162" t="s">
        <v>1779</v>
      </c>
    </row>
    <row r="1079" spans="1:8" x14ac:dyDescent="0.3">
      <c r="A1079" s="161">
        <v>46003</v>
      </c>
      <c r="B1079" s="162" t="s">
        <v>735</v>
      </c>
      <c r="C1079" s="162" t="s">
        <v>736</v>
      </c>
      <c r="D1079" s="162">
        <v>0</v>
      </c>
      <c r="E1079" s="162">
        <v>265.73</v>
      </c>
      <c r="F1079" s="162">
        <v>33569.050000000003</v>
      </c>
      <c r="G1079" s="162" t="s">
        <v>49</v>
      </c>
      <c r="H1079" s="162" t="s">
        <v>1779</v>
      </c>
    </row>
    <row r="1080" spans="1:8" x14ac:dyDescent="0.3">
      <c r="A1080" s="161">
        <v>46003</v>
      </c>
      <c r="B1080" s="162" t="s">
        <v>50</v>
      </c>
      <c r="C1080" s="162" t="s">
        <v>737</v>
      </c>
      <c r="D1080" s="162">
        <v>57.73</v>
      </c>
      <c r="E1080" s="162">
        <v>0</v>
      </c>
      <c r="F1080" s="162">
        <v>33511.32</v>
      </c>
      <c r="G1080" s="162" t="s">
        <v>49</v>
      </c>
      <c r="H1080" s="162" t="s">
        <v>1779</v>
      </c>
    </row>
    <row r="1081" spans="1:8" x14ac:dyDescent="0.3">
      <c r="A1081" s="161">
        <v>46003</v>
      </c>
      <c r="B1081" s="162" t="s">
        <v>1358</v>
      </c>
      <c r="C1081" s="162" t="s">
        <v>1005</v>
      </c>
      <c r="D1081" s="162">
        <v>24</v>
      </c>
      <c r="E1081" s="162">
        <v>0</v>
      </c>
      <c r="F1081" s="162">
        <v>102524.21</v>
      </c>
      <c r="G1081" s="162" t="s">
        <v>131</v>
      </c>
      <c r="H1081" s="162" t="s">
        <v>1680</v>
      </c>
    </row>
    <row r="1082" spans="1:8" x14ac:dyDescent="0.3">
      <c r="A1082" s="161">
        <v>46004</v>
      </c>
      <c r="B1082" s="162" t="s">
        <v>1359</v>
      </c>
      <c r="C1082" s="162" t="s">
        <v>1005</v>
      </c>
      <c r="D1082" s="162">
        <v>30</v>
      </c>
      <c r="E1082" s="162">
        <v>0</v>
      </c>
      <c r="F1082" s="162">
        <v>102494.21</v>
      </c>
      <c r="G1082" s="162" t="s">
        <v>91</v>
      </c>
      <c r="H1082" s="162" t="s">
        <v>1680</v>
      </c>
    </row>
    <row r="1083" spans="1:8" x14ac:dyDescent="0.3">
      <c r="A1083" s="161">
        <v>46005</v>
      </c>
      <c r="B1083" s="162" t="s">
        <v>1360</v>
      </c>
      <c r="C1083" s="162" t="s">
        <v>1005</v>
      </c>
      <c r="D1083" s="162">
        <v>0</v>
      </c>
      <c r="E1083" s="162">
        <v>20.72</v>
      </c>
      <c r="F1083" s="162">
        <v>102514.93</v>
      </c>
      <c r="G1083" s="162" t="s">
        <v>1014</v>
      </c>
      <c r="H1083" s="162" t="s">
        <v>1680</v>
      </c>
    </row>
    <row r="1084" spans="1:8" x14ac:dyDescent="0.3">
      <c r="A1084" s="161">
        <v>46005</v>
      </c>
      <c r="B1084" s="162" t="s">
        <v>1361</v>
      </c>
      <c r="C1084" s="162" t="s">
        <v>1005</v>
      </c>
      <c r="D1084" s="162">
        <v>265.06</v>
      </c>
      <c r="E1084" s="162">
        <v>0</v>
      </c>
      <c r="F1084" s="162">
        <v>102249.87</v>
      </c>
      <c r="G1084" s="162" t="s">
        <v>91</v>
      </c>
      <c r="H1084" s="162" t="s">
        <v>1680</v>
      </c>
    </row>
    <row r="1085" spans="1:8" x14ac:dyDescent="0.3">
      <c r="A1085" s="161">
        <v>46006</v>
      </c>
      <c r="B1085" s="162" t="s">
        <v>1362</v>
      </c>
      <c r="C1085" s="162" t="s">
        <v>1005</v>
      </c>
      <c r="D1085" s="162">
        <v>35000</v>
      </c>
      <c r="E1085" s="162">
        <v>0</v>
      </c>
      <c r="F1085" s="162">
        <v>67249.87</v>
      </c>
      <c r="G1085" s="162" t="s">
        <v>1363</v>
      </c>
      <c r="H1085" s="162" t="s">
        <v>1680</v>
      </c>
    </row>
    <row r="1086" spans="1:8" x14ac:dyDescent="0.3">
      <c r="A1086" s="161">
        <v>46006</v>
      </c>
      <c r="B1086" s="162" t="s">
        <v>50</v>
      </c>
      <c r="C1086" s="162" t="s">
        <v>741</v>
      </c>
      <c r="D1086" s="162">
        <v>173.49</v>
      </c>
      <c r="E1086" s="162">
        <v>0</v>
      </c>
      <c r="F1086" s="162">
        <v>33445.64</v>
      </c>
      <c r="G1086" s="162" t="s">
        <v>49</v>
      </c>
      <c r="H1086" s="162" t="s">
        <v>1779</v>
      </c>
    </row>
    <row r="1087" spans="1:8" x14ac:dyDescent="0.3">
      <c r="A1087" s="161">
        <v>46006</v>
      </c>
      <c r="B1087" s="162" t="s">
        <v>740</v>
      </c>
      <c r="C1087" s="162" t="s">
        <v>83</v>
      </c>
      <c r="D1087" s="162">
        <v>365.8</v>
      </c>
      <c r="E1087" s="162">
        <v>0</v>
      </c>
      <c r="F1087" s="162">
        <v>33619.129999999997</v>
      </c>
      <c r="G1087" s="162" t="s">
        <v>9</v>
      </c>
      <c r="H1087" s="162" t="s">
        <v>1779</v>
      </c>
    </row>
    <row r="1088" spans="1:8" x14ac:dyDescent="0.3">
      <c r="A1088" s="161">
        <v>46006</v>
      </c>
      <c r="B1088" s="162" t="s">
        <v>738</v>
      </c>
      <c r="C1088" s="162" t="s">
        <v>739</v>
      </c>
      <c r="D1088" s="162">
        <v>0</v>
      </c>
      <c r="E1088" s="162">
        <v>473.61</v>
      </c>
      <c r="F1088" s="162">
        <v>33984.93</v>
      </c>
      <c r="G1088" s="162" t="s">
        <v>49</v>
      </c>
      <c r="H1088" s="162" t="s">
        <v>1779</v>
      </c>
    </row>
    <row r="1089" spans="1:8" x14ac:dyDescent="0.3">
      <c r="A1089" s="161">
        <v>46007</v>
      </c>
      <c r="B1089" s="162" t="s">
        <v>742</v>
      </c>
      <c r="C1089" s="162" t="s">
        <v>743</v>
      </c>
      <c r="D1089" s="162">
        <v>0</v>
      </c>
      <c r="E1089" s="162">
        <v>350.92</v>
      </c>
      <c r="F1089" s="162">
        <v>33796.559999999998</v>
      </c>
      <c r="G1089" s="162" t="s">
        <v>49</v>
      </c>
      <c r="H1089" s="162" t="s">
        <v>1779</v>
      </c>
    </row>
    <row r="1090" spans="1:8" x14ac:dyDescent="0.3">
      <c r="A1090" s="161">
        <v>46007</v>
      </c>
      <c r="B1090" s="162" t="s">
        <v>50</v>
      </c>
      <c r="C1090" s="162" t="s">
        <v>744</v>
      </c>
      <c r="D1090" s="162">
        <v>58</v>
      </c>
      <c r="E1090" s="162">
        <v>0</v>
      </c>
      <c r="F1090" s="162">
        <v>33738.559999999998</v>
      </c>
      <c r="G1090" s="162" t="s">
        <v>49</v>
      </c>
      <c r="H1090" s="162" t="s">
        <v>1779</v>
      </c>
    </row>
    <row r="1091" spans="1:8" x14ac:dyDescent="0.3">
      <c r="A1091" s="161">
        <v>46007</v>
      </c>
      <c r="B1091" s="162" t="s">
        <v>50</v>
      </c>
      <c r="C1091" s="162" t="s">
        <v>745</v>
      </c>
      <c r="D1091" s="162">
        <v>14.53</v>
      </c>
      <c r="E1091" s="162">
        <v>0</v>
      </c>
      <c r="F1091" s="162">
        <v>33724.03</v>
      </c>
      <c r="G1091" s="162" t="s">
        <v>49</v>
      </c>
      <c r="H1091" s="162" t="s">
        <v>1779</v>
      </c>
    </row>
    <row r="1092" spans="1:8" x14ac:dyDescent="0.3">
      <c r="A1092" s="161">
        <v>46008</v>
      </c>
      <c r="B1092" s="162" t="s">
        <v>50</v>
      </c>
      <c r="C1092" s="162" t="s">
        <v>747</v>
      </c>
      <c r="D1092" s="162">
        <v>1267.79</v>
      </c>
      <c r="E1092" s="162">
        <v>0</v>
      </c>
      <c r="F1092" s="162">
        <v>32398.12</v>
      </c>
      <c r="G1092" s="162" t="s">
        <v>49</v>
      </c>
      <c r="H1092" s="162" t="s">
        <v>1779</v>
      </c>
    </row>
    <row r="1093" spans="1:8" x14ac:dyDescent="0.3">
      <c r="A1093" s="161">
        <v>46008</v>
      </c>
      <c r="B1093" s="162" t="s">
        <v>1364</v>
      </c>
      <c r="C1093" s="162" t="s">
        <v>1005</v>
      </c>
      <c r="D1093" s="162">
        <v>100</v>
      </c>
      <c r="E1093" s="162">
        <v>0</v>
      </c>
      <c r="F1093" s="162">
        <v>67149.87</v>
      </c>
      <c r="G1093" s="162" t="s">
        <v>996</v>
      </c>
      <c r="H1093" s="162" t="s">
        <v>1680</v>
      </c>
    </row>
    <row r="1094" spans="1:8" x14ac:dyDescent="0.3">
      <c r="A1094" s="161">
        <v>46008</v>
      </c>
      <c r="B1094" s="162" t="s">
        <v>1365</v>
      </c>
      <c r="C1094" s="162" t="s">
        <v>1005</v>
      </c>
      <c r="D1094" s="162">
        <v>23900</v>
      </c>
      <c r="E1094" s="162">
        <v>0</v>
      </c>
      <c r="F1094" s="162">
        <v>43249.87</v>
      </c>
      <c r="G1094" s="162" t="s">
        <v>996</v>
      </c>
      <c r="H1094" s="162" t="s">
        <v>1680</v>
      </c>
    </row>
    <row r="1095" spans="1:8" x14ac:dyDescent="0.3">
      <c r="A1095" s="161">
        <v>46008</v>
      </c>
      <c r="B1095" s="162" t="s">
        <v>50</v>
      </c>
      <c r="C1095" s="162" t="s">
        <v>746</v>
      </c>
      <c r="D1095" s="162">
        <v>58.12</v>
      </c>
      <c r="E1095" s="162">
        <v>0</v>
      </c>
      <c r="F1095" s="162">
        <v>33665.910000000003</v>
      </c>
      <c r="G1095" s="162" t="s">
        <v>49</v>
      </c>
      <c r="H1095" s="162" t="s">
        <v>1779</v>
      </c>
    </row>
    <row r="1096" spans="1:8" x14ac:dyDescent="0.3">
      <c r="A1096" s="161">
        <v>46008</v>
      </c>
      <c r="B1096" s="162" t="s">
        <v>1366</v>
      </c>
      <c r="C1096" s="162" t="s">
        <v>1005</v>
      </c>
      <c r="D1096" s="162">
        <v>27</v>
      </c>
      <c r="E1096" s="162">
        <v>0</v>
      </c>
      <c r="F1096" s="162">
        <v>43222.87</v>
      </c>
      <c r="G1096" s="162" t="s">
        <v>131</v>
      </c>
      <c r="H1096" s="162" t="s">
        <v>1680</v>
      </c>
    </row>
    <row r="1097" spans="1:8" x14ac:dyDescent="0.3">
      <c r="A1097" s="161">
        <v>46008.379641203697</v>
      </c>
      <c r="B1097" s="162" t="s">
        <v>2376</v>
      </c>
      <c r="C1097" s="162" t="s">
        <v>2377</v>
      </c>
      <c r="D1097" s="162">
        <v>1000</v>
      </c>
      <c r="E1097" s="162">
        <v>0</v>
      </c>
      <c r="F1097" s="162">
        <v>14689.6</v>
      </c>
      <c r="G1097" s="162" t="s">
        <v>91</v>
      </c>
      <c r="H1097" s="162" t="s">
        <v>1019</v>
      </c>
    </row>
    <row r="1098" spans="1:8" x14ac:dyDescent="0.3">
      <c r="A1098" s="161">
        <v>46009</v>
      </c>
      <c r="B1098" s="162" t="s">
        <v>50</v>
      </c>
      <c r="C1098" s="162" t="s">
        <v>748</v>
      </c>
      <c r="D1098" s="162">
        <v>57.67</v>
      </c>
      <c r="E1098" s="162">
        <v>0</v>
      </c>
      <c r="F1098" s="162">
        <v>32340.45</v>
      </c>
      <c r="G1098" s="162" t="s">
        <v>49</v>
      </c>
      <c r="H1098" s="162" t="s">
        <v>1779</v>
      </c>
    </row>
    <row r="1099" spans="1:8" x14ac:dyDescent="0.3">
      <c r="A1099" s="161">
        <v>46010</v>
      </c>
      <c r="B1099" s="162" t="s">
        <v>1368</v>
      </c>
      <c r="C1099" s="162" t="s">
        <v>1005</v>
      </c>
      <c r="D1099" s="162">
        <v>54</v>
      </c>
      <c r="E1099" s="162">
        <v>0</v>
      </c>
      <c r="F1099" s="162">
        <v>42877.87</v>
      </c>
      <c r="G1099" s="162" t="s">
        <v>131</v>
      </c>
      <c r="H1099" s="162" t="s">
        <v>1680</v>
      </c>
    </row>
    <row r="1100" spans="1:8" x14ac:dyDescent="0.3">
      <c r="A1100" s="161">
        <v>46010</v>
      </c>
      <c r="B1100" s="162" t="s">
        <v>50</v>
      </c>
      <c r="C1100" s="162" t="s">
        <v>751</v>
      </c>
      <c r="D1100" s="162">
        <v>57.67</v>
      </c>
      <c r="E1100" s="162">
        <v>0</v>
      </c>
      <c r="F1100" s="162">
        <v>32428.880000000001</v>
      </c>
      <c r="G1100" s="162" t="s">
        <v>49</v>
      </c>
      <c r="H1100" s="162" t="s">
        <v>1779</v>
      </c>
    </row>
    <row r="1101" spans="1:8" x14ac:dyDescent="0.3">
      <c r="A1101" s="161">
        <v>46010</v>
      </c>
      <c r="B1101" s="162" t="s">
        <v>749</v>
      </c>
      <c r="C1101" s="162" t="s">
        <v>750</v>
      </c>
      <c r="D1101" s="162">
        <v>0</v>
      </c>
      <c r="E1101" s="162">
        <v>146.1</v>
      </c>
      <c r="F1101" s="162">
        <v>32486.55</v>
      </c>
      <c r="G1101" s="162" t="s">
        <v>49</v>
      </c>
      <c r="H1101" s="162" t="s">
        <v>1779</v>
      </c>
    </row>
    <row r="1102" spans="1:8" x14ac:dyDescent="0.3">
      <c r="A1102" s="161">
        <v>46010</v>
      </c>
      <c r="B1102" s="162" t="s">
        <v>1367</v>
      </c>
      <c r="C1102" s="162" t="s">
        <v>1005</v>
      </c>
      <c r="D1102" s="162">
        <v>291</v>
      </c>
      <c r="E1102" s="162">
        <v>0</v>
      </c>
      <c r="F1102" s="162">
        <v>42931.87</v>
      </c>
      <c r="G1102" s="162" t="s">
        <v>91</v>
      </c>
      <c r="H1102" s="162" t="s">
        <v>1680</v>
      </c>
    </row>
    <row r="1103" spans="1:8" x14ac:dyDescent="0.3">
      <c r="A1103" s="161">
        <v>46011</v>
      </c>
      <c r="B1103" s="162" t="s">
        <v>1369</v>
      </c>
      <c r="C1103" s="162" t="s">
        <v>1005</v>
      </c>
      <c r="D1103" s="162">
        <v>52</v>
      </c>
      <c r="E1103" s="162">
        <v>0</v>
      </c>
      <c r="F1103" s="162">
        <v>42825.87</v>
      </c>
      <c r="G1103" s="162" t="s">
        <v>131</v>
      </c>
      <c r="H1103" s="162" t="s">
        <v>1680</v>
      </c>
    </row>
    <row r="1104" spans="1:8" x14ac:dyDescent="0.3">
      <c r="A1104" s="161">
        <v>46011</v>
      </c>
      <c r="B1104" s="162" t="s">
        <v>1371</v>
      </c>
      <c r="C1104" s="162" t="s">
        <v>1005</v>
      </c>
      <c r="D1104" s="162">
        <v>1000</v>
      </c>
      <c r="E1104" s="162">
        <v>0</v>
      </c>
      <c r="F1104" s="162">
        <v>41797.870000000003</v>
      </c>
      <c r="G1104" s="162" t="s">
        <v>91</v>
      </c>
      <c r="H1104" s="162" t="s">
        <v>1680</v>
      </c>
    </row>
    <row r="1105" spans="1:8" x14ac:dyDescent="0.3">
      <c r="A1105" s="161">
        <v>46011</v>
      </c>
      <c r="B1105" s="162" t="s">
        <v>1370</v>
      </c>
      <c r="C1105" s="162" t="s">
        <v>1005</v>
      </c>
      <c r="D1105" s="162">
        <v>28</v>
      </c>
      <c r="E1105" s="162">
        <v>0</v>
      </c>
      <c r="F1105" s="162">
        <v>42797.87</v>
      </c>
      <c r="G1105" s="162" t="s">
        <v>131</v>
      </c>
      <c r="H1105" s="162" t="s">
        <v>1680</v>
      </c>
    </row>
    <row r="1106" spans="1:8" x14ac:dyDescent="0.3">
      <c r="A1106" s="161">
        <v>46012</v>
      </c>
      <c r="B1106" s="162" t="s">
        <v>1373</v>
      </c>
      <c r="C1106" s="162" t="s">
        <v>1005</v>
      </c>
      <c r="D1106" s="162">
        <v>52</v>
      </c>
      <c r="E1106" s="162">
        <v>0</v>
      </c>
      <c r="F1106" s="162">
        <v>41745.870000000003</v>
      </c>
      <c r="G1106" s="162" t="s">
        <v>131</v>
      </c>
      <c r="H1106" s="162" t="s">
        <v>1680</v>
      </c>
    </row>
    <row r="1107" spans="1:8" x14ac:dyDescent="0.3">
      <c r="A1107" s="161">
        <v>46013</v>
      </c>
      <c r="B1107" s="162" t="s">
        <v>50</v>
      </c>
      <c r="C1107" s="162" t="s">
        <v>754</v>
      </c>
      <c r="D1107" s="162">
        <v>173.16</v>
      </c>
      <c r="E1107" s="162">
        <v>0</v>
      </c>
      <c r="F1107" s="162">
        <v>32646.400000000001</v>
      </c>
      <c r="G1107" s="162" t="s">
        <v>49</v>
      </c>
      <c r="H1107" s="162" t="s">
        <v>1779</v>
      </c>
    </row>
    <row r="1108" spans="1:8" x14ac:dyDescent="0.3">
      <c r="A1108" s="161">
        <v>46013</v>
      </c>
      <c r="B1108" s="162" t="s">
        <v>752</v>
      </c>
      <c r="C1108" s="162" t="s">
        <v>753</v>
      </c>
      <c r="D1108" s="162">
        <v>0</v>
      </c>
      <c r="E1108" s="162">
        <v>390.68</v>
      </c>
      <c r="F1108" s="162">
        <v>32819.56</v>
      </c>
      <c r="G1108" s="162" t="s">
        <v>49</v>
      </c>
      <c r="H1108" s="162" t="s">
        <v>1779</v>
      </c>
    </row>
    <row r="1109" spans="1:8" x14ac:dyDescent="0.3">
      <c r="A1109" s="161">
        <v>46013</v>
      </c>
      <c r="B1109" s="162" t="s">
        <v>1375</v>
      </c>
      <c r="C1109" s="162" t="s">
        <v>1005</v>
      </c>
      <c r="D1109" s="162">
        <v>0</v>
      </c>
      <c r="E1109" s="162">
        <v>900</v>
      </c>
      <c r="F1109" s="162">
        <v>41395.870000000003</v>
      </c>
      <c r="G1109" s="162" t="s">
        <v>1014</v>
      </c>
      <c r="H1109" s="162" t="s">
        <v>1680</v>
      </c>
    </row>
    <row r="1110" spans="1:8" x14ac:dyDescent="0.3">
      <c r="A1110" s="161">
        <v>46013</v>
      </c>
      <c r="B1110" s="162" t="s">
        <v>1376</v>
      </c>
      <c r="C1110" s="162" t="s">
        <v>1005</v>
      </c>
      <c r="D1110" s="162">
        <v>96</v>
      </c>
      <c r="E1110" s="162">
        <v>0</v>
      </c>
      <c r="F1110" s="162">
        <v>41299.870000000003</v>
      </c>
      <c r="G1110" s="162" t="s">
        <v>131</v>
      </c>
      <c r="H1110" s="162" t="s">
        <v>1680</v>
      </c>
    </row>
    <row r="1111" spans="1:8" x14ac:dyDescent="0.3">
      <c r="A1111" s="161">
        <v>46013</v>
      </c>
      <c r="B1111" s="162" t="s">
        <v>1374</v>
      </c>
      <c r="C1111" s="162" t="s">
        <v>1005</v>
      </c>
      <c r="D1111" s="162">
        <v>1250</v>
      </c>
      <c r="E1111" s="162">
        <v>0</v>
      </c>
      <c r="F1111" s="162">
        <v>40495.870000000003</v>
      </c>
      <c r="G1111" s="162" t="s">
        <v>1028</v>
      </c>
      <c r="H1111" s="162" t="s">
        <v>1680</v>
      </c>
    </row>
    <row r="1112" spans="1:8" x14ac:dyDescent="0.3">
      <c r="A1112" s="161">
        <v>46013</v>
      </c>
      <c r="B1112" s="162" t="s">
        <v>1745</v>
      </c>
      <c r="C1112" s="162"/>
      <c r="D1112" s="162">
        <v>0</v>
      </c>
      <c r="E1112" s="162">
        <v>150</v>
      </c>
      <c r="F1112" s="162">
        <v>8948.9599999999991</v>
      </c>
      <c r="G1112" s="162" t="s">
        <v>1031</v>
      </c>
      <c r="H1112" s="162" t="s">
        <v>837</v>
      </c>
    </row>
    <row r="1113" spans="1:8" x14ac:dyDescent="0.3">
      <c r="A1113" s="161">
        <v>46013</v>
      </c>
      <c r="B1113" s="162" t="s">
        <v>1377</v>
      </c>
      <c r="C1113" s="162" t="s">
        <v>1005</v>
      </c>
      <c r="D1113" s="162">
        <v>10</v>
      </c>
      <c r="E1113" s="162">
        <v>0</v>
      </c>
      <c r="F1113" s="162">
        <v>41289.870000000003</v>
      </c>
      <c r="G1113" s="162" t="s">
        <v>91</v>
      </c>
      <c r="H1113" s="162" t="s">
        <v>1680</v>
      </c>
    </row>
    <row r="1114" spans="1:8" x14ac:dyDescent="0.3">
      <c r="A1114" s="161">
        <v>46013.912708333337</v>
      </c>
      <c r="B1114" s="162" t="s">
        <v>2379</v>
      </c>
      <c r="C1114" s="162" t="s">
        <v>2380</v>
      </c>
      <c r="D1114" s="162">
        <v>150</v>
      </c>
      <c r="E1114" s="162">
        <v>0</v>
      </c>
      <c r="F1114" s="162">
        <v>14539.6</v>
      </c>
      <c r="G1114" s="162" t="s">
        <v>1031</v>
      </c>
      <c r="H1114" s="162" t="s">
        <v>1019</v>
      </c>
    </row>
    <row r="1115" spans="1:8" x14ac:dyDescent="0.3">
      <c r="A1115" s="161">
        <v>46014</v>
      </c>
      <c r="B1115" s="162" t="s">
        <v>755</v>
      </c>
      <c r="C1115" s="162" t="s">
        <v>756</v>
      </c>
      <c r="D1115" s="162">
        <v>0</v>
      </c>
      <c r="E1115" s="162">
        <v>14449.97</v>
      </c>
      <c r="F1115" s="162">
        <v>47096.37</v>
      </c>
      <c r="G1115" s="162" t="s">
        <v>49</v>
      </c>
      <c r="H1115" s="162" t="s">
        <v>1779</v>
      </c>
    </row>
    <row r="1116" spans="1:8" x14ac:dyDescent="0.3">
      <c r="A1116" s="161">
        <v>46014</v>
      </c>
      <c r="B1116" s="162" t="s">
        <v>757</v>
      </c>
      <c r="C1116" s="162" t="s">
        <v>758</v>
      </c>
      <c r="D1116" s="162">
        <v>0</v>
      </c>
      <c r="E1116" s="162">
        <v>1897.9</v>
      </c>
      <c r="F1116" s="162">
        <v>48994.27</v>
      </c>
      <c r="G1116" s="162" t="s">
        <v>49</v>
      </c>
      <c r="H1116" s="162" t="s">
        <v>1779</v>
      </c>
    </row>
    <row r="1117" spans="1:8" x14ac:dyDescent="0.3">
      <c r="A1117" s="161">
        <v>46014</v>
      </c>
      <c r="B1117" s="162" t="s">
        <v>1748</v>
      </c>
      <c r="C1117" s="162"/>
      <c r="D1117" s="162">
        <v>10000</v>
      </c>
      <c r="E1117" s="162">
        <v>0</v>
      </c>
      <c r="F1117" s="162">
        <v>8948.9599999999991</v>
      </c>
      <c r="G1117" s="162" t="s">
        <v>181</v>
      </c>
      <c r="H1117" s="162" t="s">
        <v>837</v>
      </c>
    </row>
    <row r="1118" spans="1:8" x14ac:dyDescent="0.3">
      <c r="A1118" s="161">
        <v>46014</v>
      </c>
      <c r="B1118" s="162" t="s">
        <v>1383</v>
      </c>
      <c r="C1118" s="162" t="s">
        <v>1005</v>
      </c>
      <c r="D1118" s="162">
        <v>210</v>
      </c>
      <c r="E1118" s="162">
        <v>0</v>
      </c>
      <c r="F1118" s="162">
        <v>39659.870000000003</v>
      </c>
      <c r="G1118" s="162" t="s">
        <v>1053</v>
      </c>
      <c r="H1118" s="162" t="s">
        <v>1680</v>
      </c>
    </row>
    <row r="1119" spans="1:8" x14ac:dyDescent="0.3">
      <c r="A1119" s="161">
        <v>46014</v>
      </c>
      <c r="B1119" s="162" t="s">
        <v>1747</v>
      </c>
      <c r="C1119" s="162"/>
      <c r="D1119" s="162">
        <v>0</v>
      </c>
      <c r="E1119" s="162">
        <v>5000</v>
      </c>
      <c r="F1119" s="162">
        <v>18948.96</v>
      </c>
      <c r="G1119" s="162" t="s">
        <v>181</v>
      </c>
      <c r="H1119" s="162" t="s">
        <v>837</v>
      </c>
    </row>
    <row r="1120" spans="1:8" x14ac:dyDescent="0.3">
      <c r="A1120" s="161">
        <v>46014</v>
      </c>
      <c r="B1120" s="162" t="s">
        <v>1746</v>
      </c>
      <c r="C1120" s="162"/>
      <c r="D1120" s="162">
        <v>0</v>
      </c>
      <c r="E1120" s="162">
        <v>5000</v>
      </c>
      <c r="F1120" s="162">
        <v>13948.96</v>
      </c>
      <c r="G1120" s="162" t="s">
        <v>181</v>
      </c>
      <c r="H1120" s="162" t="s">
        <v>837</v>
      </c>
    </row>
    <row r="1121" spans="1:8" x14ac:dyDescent="0.3">
      <c r="A1121" s="161">
        <v>46014</v>
      </c>
      <c r="B1121" s="162" t="s">
        <v>1379</v>
      </c>
      <c r="C1121" s="162" t="s">
        <v>1005</v>
      </c>
      <c r="D1121" s="162">
        <v>1300</v>
      </c>
      <c r="E1121" s="162">
        <v>0</v>
      </c>
      <c r="F1121" s="162">
        <v>39989.870000000003</v>
      </c>
      <c r="G1121" s="162" t="s">
        <v>1028</v>
      </c>
      <c r="H1121" s="162" t="s">
        <v>1680</v>
      </c>
    </row>
    <row r="1122" spans="1:8" x14ac:dyDescent="0.3">
      <c r="A1122" s="161">
        <v>46014</v>
      </c>
      <c r="B1122" s="162" t="s">
        <v>1382</v>
      </c>
      <c r="C1122" s="162" t="s">
        <v>1005</v>
      </c>
      <c r="D1122" s="162">
        <v>30</v>
      </c>
      <c r="E1122" s="162">
        <v>0</v>
      </c>
      <c r="F1122" s="162">
        <v>39869.870000000003</v>
      </c>
      <c r="G1122" s="162" t="s">
        <v>91</v>
      </c>
      <c r="H1122" s="162" t="s">
        <v>1680</v>
      </c>
    </row>
    <row r="1123" spans="1:8" x14ac:dyDescent="0.3">
      <c r="A1123" s="161">
        <v>46014</v>
      </c>
      <c r="B1123" s="162" t="s">
        <v>50</v>
      </c>
      <c r="C1123" s="162" t="s">
        <v>759</v>
      </c>
      <c r="D1123" s="162">
        <v>57.86</v>
      </c>
      <c r="E1123" s="162">
        <v>0</v>
      </c>
      <c r="F1123" s="162">
        <v>48936.41</v>
      </c>
      <c r="G1123" s="162" t="s">
        <v>49</v>
      </c>
      <c r="H1123" s="162" t="s">
        <v>1779</v>
      </c>
    </row>
    <row r="1124" spans="1:8" x14ac:dyDescent="0.3">
      <c r="A1124" s="161">
        <v>46014</v>
      </c>
      <c r="B1124" s="162" t="s">
        <v>1384</v>
      </c>
      <c r="C1124" s="162" t="s">
        <v>1005</v>
      </c>
      <c r="D1124" s="162">
        <v>23</v>
      </c>
      <c r="E1124" s="162">
        <v>0</v>
      </c>
      <c r="F1124" s="162">
        <v>39636.870000000003</v>
      </c>
      <c r="G1124" s="162" t="s">
        <v>91</v>
      </c>
      <c r="H1124" s="162" t="s">
        <v>1680</v>
      </c>
    </row>
    <row r="1125" spans="1:8" x14ac:dyDescent="0.3">
      <c r="A1125" s="161">
        <v>46014</v>
      </c>
      <c r="B1125" s="162" t="s">
        <v>1380</v>
      </c>
      <c r="C1125" s="162" t="s">
        <v>1005</v>
      </c>
      <c r="D1125" s="162">
        <v>90</v>
      </c>
      <c r="E1125" s="162">
        <v>0</v>
      </c>
      <c r="F1125" s="162">
        <v>39899.870000000003</v>
      </c>
      <c r="G1125" s="162" t="s">
        <v>91</v>
      </c>
      <c r="H1125" s="162" t="s">
        <v>1680</v>
      </c>
    </row>
    <row r="1126" spans="1:8" x14ac:dyDescent="0.3">
      <c r="A1126" s="161">
        <v>46014</v>
      </c>
      <c r="B1126" s="162" t="s">
        <v>50</v>
      </c>
      <c r="C1126" s="162" t="s">
        <v>760</v>
      </c>
      <c r="D1126" s="162">
        <v>294.05</v>
      </c>
      <c r="E1126" s="162">
        <v>0</v>
      </c>
      <c r="F1126" s="162">
        <v>48642.36</v>
      </c>
      <c r="G1126" s="162" t="s">
        <v>49</v>
      </c>
      <c r="H1126" s="162" t="s">
        <v>1779</v>
      </c>
    </row>
    <row r="1127" spans="1:8" x14ac:dyDescent="0.3">
      <c r="A1127" s="161">
        <v>46015</v>
      </c>
      <c r="B1127" s="162" t="s">
        <v>1387</v>
      </c>
      <c r="C1127" s="162" t="s">
        <v>1005</v>
      </c>
      <c r="D1127" s="162">
        <v>257</v>
      </c>
      <c r="E1127" s="162">
        <v>0</v>
      </c>
      <c r="F1127" s="162">
        <v>38079.870000000003</v>
      </c>
      <c r="G1127" s="162" t="s">
        <v>91</v>
      </c>
      <c r="H1127" s="162" t="s">
        <v>1680</v>
      </c>
    </row>
    <row r="1128" spans="1:8" x14ac:dyDescent="0.3">
      <c r="A1128" s="161">
        <v>46015</v>
      </c>
      <c r="B1128" s="162" t="s">
        <v>1749</v>
      </c>
      <c r="C1128" s="162"/>
      <c r="D1128" s="162">
        <v>0</v>
      </c>
      <c r="E1128" s="162">
        <v>100</v>
      </c>
      <c r="F1128" s="162">
        <v>9048.9599999999991</v>
      </c>
      <c r="G1128" s="162" t="s">
        <v>1031</v>
      </c>
      <c r="H1128" s="162" t="s">
        <v>837</v>
      </c>
    </row>
    <row r="1129" spans="1:8" x14ac:dyDescent="0.3">
      <c r="A1129" s="161">
        <v>46015</v>
      </c>
      <c r="B1129" s="162" t="s">
        <v>50</v>
      </c>
      <c r="C1129" s="162" t="s">
        <v>761</v>
      </c>
      <c r="D1129" s="162">
        <v>58.43</v>
      </c>
      <c r="E1129" s="162">
        <v>0</v>
      </c>
      <c r="F1129" s="162">
        <v>48583.93</v>
      </c>
      <c r="G1129" s="162" t="s">
        <v>49</v>
      </c>
      <c r="H1129" s="162" t="s">
        <v>1779</v>
      </c>
    </row>
    <row r="1130" spans="1:8" x14ac:dyDescent="0.3">
      <c r="A1130" s="161">
        <v>46015</v>
      </c>
      <c r="B1130" s="162" t="s">
        <v>1386</v>
      </c>
      <c r="C1130" s="162" t="s">
        <v>1005</v>
      </c>
      <c r="D1130" s="162">
        <v>1300</v>
      </c>
      <c r="E1130" s="162">
        <v>0</v>
      </c>
      <c r="F1130" s="162">
        <v>38336.870000000003</v>
      </c>
      <c r="G1130" s="162" t="s">
        <v>1028</v>
      </c>
      <c r="H1130" s="162" t="s">
        <v>1680</v>
      </c>
    </row>
    <row r="1131" spans="1:8" x14ac:dyDescent="0.3">
      <c r="A1131" s="161">
        <v>46016</v>
      </c>
      <c r="B1131" s="162" t="s">
        <v>1750</v>
      </c>
      <c r="C1131" s="162"/>
      <c r="D1131" s="162">
        <v>0</v>
      </c>
      <c r="E1131" s="162">
        <v>1000</v>
      </c>
      <c r="F1131" s="162">
        <v>10048.959999999999</v>
      </c>
      <c r="G1131" s="162" t="s">
        <v>91</v>
      </c>
      <c r="H1131" s="162" t="s">
        <v>837</v>
      </c>
    </row>
    <row r="1132" spans="1:8" x14ac:dyDescent="0.3">
      <c r="A1132" s="161">
        <v>46016</v>
      </c>
      <c r="B1132" s="162" t="s">
        <v>1394</v>
      </c>
      <c r="C1132" s="162" t="s">
        <v>1005</v>
      </c>
      <c r="D1132" s="162">
        <v>110</v>
      </c>
      <c r="E1132" s="162">
        <v>0</v>
      </c>
      <c r="F1132" s="162">
        <v>35009.870000000003</v>
      </c>
      <c r="G1132" s="162" t="s">
        <v>91</v>
      </c>
      <c r="H1132" s="162" t="s">
        <v>1680</v>
      </c>
    </row>
    <row r="1133" spans="1:8" x14ac:dyDescent="0.3">
      <c r="A1133" s="161">
        <v>46016</v>
      </c>
      <c r="B1133" s="162" t="s">
        <v>1718</v>
      </c>
      <c r="C1133" s="162"/>
      <c r="D1133" s="162">
        <v>0</v>
      </c>
      <c r="E1133" s="162">
        <v>60</v>
      </c>
      <c r="F1133" s="162">
        <v>10108.959999999999</v>
      </c>
      <c r="G1133" s="162" t="s">
        <v>22</v>
      </c>
      <c r="H1133" s="162" t="s">
        <v>837</v>
      </c>
    </row>
    <row r="1134" spans="1:8" x14ac:dyDescent="0.3">
      <c r="A1134" s="161">
        <v>46016</v>
      </c>
      <c r="B1134" s="162" t="s">
        <v>1392</v>
      </c>
      <c r="C1134" s="162" t="s">
        <v>1005</v>
      </c>
      <c r="D1134" s="162">
        <v>160</v>
      </c>
      <c r="E1134" s="162">
        <v>0</v>
      </c>
      <c r="F1134" s="162">
        <v>35119.870000000003</v>
      </c>
      <c r="G1134" s="162" t="s">
        <v>91</v>
      </c>
      <c r="H1134" s="162" t="s">
        <v>1680</v>
      </c>
    </row>
    <row r="1135" spans="1:8" x14ac:dyDescent="0.3">
      <c r="A1135" s="161">
        <v>46016</v>
      </c>
      <c r="B1135" s="162" t="s">
        <v>1390</v>
      </c>
      <c r="C1135" s="162" t="s">
        <v>1005</v>
      </c>
      <c r="D1135" s="162">
        <v>1600</v>
      </c>
      <c r="E1135" s="162">
        <v>0</v>
      </c>
      <c r="F1135" s="162">
        <v>35279.870000000003</v>
      </c>
      <c r="G1135" s="162" t="s">
        <v>91</v>
      </c>
      <c r="H1135" s="162" t="s">
        <v>1680</v>
      </c>
    </row>
    <row r="1136" spans="1:8" x14ac:dyDescent="0.3">
      <c r="A1136" s="161">
        <v>46016</v>
      </c>
      <c r="B1136" s="162" t="s">
        <v>1389</v>
      </c>
      <c r="C1136" s="162" t="s">
        <v>1005</v>
      </c>
      <c r="D1136" s="162">
        <v>1200</v>
      </c>
      <c r="E1136" s="162">
        <v>0</v>
      </c>
      <c r="F1136" s="162">
        <v>36879.870000000003</v>
      </c>
      <c r="G1136" s="162" t="s">
        <v>1028</v>
      </c>
      <c r="H1136" s="162" t="s">
        <v>1680</v>
      </c>
    </row>
    <row r="1137" spans="1:8" x14ac:dyDescent="0.3">
      <c r="A1137" s="161">
        <v>46016.354074074072</v>
      </c>
      <c r="B1137" s="162" t="s">
        <v>2381</v>
      </c>
      <c r="C1137" s="162" t="s">
        <v>2382</v>
      </c>
      <c r="D1137" s="162">
        <v>150</v>
      </c>
      <c r="E1137" s="162">
        <v>0</v>
      </c>
      <c r="F1137" s="162">
        <v>14389.6</v>
      </c>
      <c r="G1137" s="162" t="s">
        <v>1031</v>
      </c>
      <c r="H1137" s="162" t="s">
        <v>1019</v>
      </c>
    </row>
    <row r="1138" spans="1:8" x14ac:dyDescent="0.3">
      <c r="A1138" s="161">
        <v>46017</v>
      </c>
      <c r="B1138" s="162" t="s">
        <v>1399</v>
      </c>
      <c r="C1138" s="162" t="s">
        <v>1005</v>
      </c>
      <c r="D1138" s="162">
        <v>20</v>
      </c>
      <c r="E1138" s="162">
        <v>0</v>
      </c>
      <c r="F1138" s="162">
        <v>33469.870000000003</v>
      </c>
      <c r="G1138" s="162" t="s">
        <v>91</v>
      </c>
      <c r="H1138" s="162" t="s">
        <v>1680</v>
      </c>
    </row>
    <row r="1139" spans="1:8" x14ac:dyDescent="0.3">
      <c r="A1139" s="161">
        <v>46017</v>
      </c>
      <c r="B1139" s="162" t="s">
        <v>1398</v>
      </c>
      <c r="C1139" s="162" t="s">
        <v>1005</v>
      </c>
      <c r="D1139" s="162">
        <v>1450</v>
      </c>
      <c r="E1139" s="162">
        <v>0</v>
      </c>
      <c r="F1139" s="162">
        <v>33489.870000000003</v>
      </c>
      <c r="G1139" s="162" t="s">
        <v>1028</v>
      </c>
      <c r="H1139" s="162" t="s">
        <v>1680</v>
      </c>
    </row>
    <row r="1140" spans="1:8" x14ac:dyDescent="0.3">
      <c r="A1140" s="161">
        <v>46017</v>
      </c>
      <c r="B1140" s="162" t="s">
        <v>1396</v>
      </c>
      <c r="C1140" s="162" t="s">
        <v>1005</v>
      </c>
      <c r="D1140" s="162">
        <v>70</v>
      </c>
      <c r="E1140" s="162">
        <v>0</v>
      </c>
      <c r="F1140" s="162">
        <v>34939.870000000003</v>
      </c>
      <c r="G1140" s="162" t="s">
        <v>91</v>
      </c>
      <c r="H1140" s="162" t="s">
        <v>1680</v>
      </c>
    </row>
    <row r="1141" spans="1:8" x14ac:dyDescent="0.3">
      <c r="A1141" s="161">
        <v>46017</v>
      </c>
      <c r="B1141" s="162" t="s">
        <v>50</v>
      </c>
      <c r="C1141" s="162" t="s">
        <v>765</v>
      </c>
      <c r="D1141" s="162">
        <v>37432.6</v>
      </c>
      <c r="E1141" s="162">
        <v>0</v>
      </c>
      <c r="F1141" s="162">
        <v>12182.03</v>
      </c>
      <c r="G1141" s="162" t="s">
        <v>49</v>
      </c>
      <c r="H1141" s="162" t="s">
        <v>1779</v>
      </c>
    </row>
    <row r="1142" spans="1:8" x14ac:dyDescent="0.3">
      <c r="A1142" s="161">
        <v>46017</v>
      </c>
      <c r="B1142" s="162" t="s">
        <v>762</v>
      </c>
      <c r="C1142" s="162" t="s">
        <v>763</v>
      </c>
      <c r="D1142" s="162">
        <v>0</v>
      </c>
      <c r="E1142" s="162">
        <v>1147.56</v>
      </c>
      <c r="F1142" s="162">
        <v>49731.49</v>
      </c>
      <c r="G1142" s="162" t="s">
        <v>49</v>
      </c>
      <c r="H1142" s="162" t="s">
        <v>1779</v>
      </c>
    </row>
    <row r="1143" spans="1:8" x14ac:dyDescent="0.3">
      <c r="A1143" s="161">
        <v>46017</v>
      </c>
      <c r="B1143" s="162" t="s">
        <v>50</v>
      </c>
      <c r="C1143" s="162" t="s">
        <v>764</v>
      </c>
      <c r="D1143" s="162">
        <v>116.86</v>
      </c>
      <c r="E1143" s="162">
        <v>0</v>
      </c>
      <c r="F1143" s="162">
        <v>49614.63</v>
      </c>
      <c r="G1143" s="162" t="s">
        <v>49</v>
      </c>
      <c r="H1143" s="162" t="s">
        <v>1779</v>
      </c>
    </row>
    <row r="1144" spans="1:8" x14ac:dyDescent="0.3">
      <c r="A1144" s="161">
        <v>46018</v>
      </c>
      <c r="B1144" s="162" t="s">
        <v>1408</v>
      </c>
      <c r="C1144" s="162" t="s">
        <v>1005</v>
      </c>
      <c r="D1144" s="162">
        <v>220</v>
      </c>
      <c r="E1144" s="162">
        <v>0</v>
      </c>
      <c r="F1144" s="162">
        <v>27179.87</v>
      </c>
      <c r="G1144" s="162" t="s">
        <v>91</v>
      </c>
      <c r="H1144" s="162" t="s">
        <v>1680</v>
      </c>
    </row>
    <row r="1145" spans="1:8" x14ac:dyDescent="0.3">
      <c r="A1145" s="161">
        <v>46018</v>
      </c>
      <c r="B1145" s="162" t="s">
        <v>1406</v>
      </c>
      <c r="C1145" s="162" t="s">
        <v>1005</v>
      </c>
      <c r="D1145" s="162">
        <v>2000</v>
      </c>
      <c r="E1145" s="162">
        <v>0</v>
      </c>
      <c r="F1145" s="162">
        <v>27399.87</v>
      </c>
      <c r="G1145" s="162" t="s">
        <v>91</v>
      </c>
      <c r="H1145" s="162" t="s">
        <v>1680</v>
      </c>
    </row>
    <row r="1146" spans="1:8" x14ac:dyDescent="0.3">
      <c r="A1146" s="161">
        <v>46018</v>
      </c>
      <c r="B1146" s="162" t="s">
        <v>1404</v>
      </c>
      <c r="C1146" s="162" t="s">
        <v>1005</v>
      </c>
      <c r="D1146" s="162">
        <v>2500</v>
      </c>
      <c r="E1146" s="162">
        <v>0</v>
      </c>
      <c r="F1146" s="162">
        <v>29399.87</v>
      </c>
      <c r="G1146" s="162" t="s">
        <v>91</v>
      </c>
      <c r="H1146" s="162" t="s">
        <v>1680</v>
      </c>
    </row>
    <row r="1147" spans="1:8" x14ac:dyDescent="0.3">
      <c r="A1147" s="161">
        <v>46018</v>
      </c>
      <c r="B1147" s="162" t="s">
        <v>1402</v>
      </c>
      <c r="C1147" s="162" t="s">
        <v>1005</v>
      </c>
      <c r="D1147" s="162">
        <v>120</v>
      </c>
      <c r="E1147" s="162">
        <v>0</v>
      </c>
      <c r="F1147" s="162">
        <v>31899.87</v>
      </c>
      <c r="G1147" s="162" t="s">
        <v>91</v>
      </c>
      <c r="H1147" s="162" t="s">
        <v>1680</v>
      </c>
    </row>
    <row r="1148" spans="1:8" x14ac:dyDescent="0.3">
      <c r="A1148" s="161">
        <v>46018</v>
      </c>
      <c r="B1148" s="162" t="s">
        <v>1401</v>
      </c>
      <c r="C1148" s="162" t="s">
        <v>1005</v>
      </c>
      <c r="D1148" s="162">
        <v>1450</v>
      </c>
      <c r="E1148" s="162">
        <v>0</v>
      </c>
      <c r="F1148" s="162">
        <v>32019.87</v>
      </c>
      <c r="G1148" s="162" t="s">
        <v>1028</v>
      </c>
      <c r="H1148" s="162" t="s">
        <v>1680</v>
      </c>
    </row>
    <row r="1149" spans="1:8" x14ac:dyDescent="0.3">
      <c r="A1149" s="161">
        <v>46019</v>
      </c>
      <c r="B1149" s="162" t="s">
        <v>1410</v>
      </c>
      <c r="C1149" s="162" t="s">
        <v>1005</v>
      </c>
      <c r="D1149" s="162">
        <v>1450</v>
      </c>
      <c r="E1149" s="162">
        <v>0</v>
      </c>
      <c r="F1149" s="162">
        <v>25729.87</v>
      </c>
      <c r="G1149" s="162" t="s">
        <v>1028</v>
      </c>
      <c r="H1149" s="162" t="s">
        <v>1680</v>
      </c>
    </row>
    <row r="1150" spans="1:8" x14ac:dyDescent="0.3">
      <c r="A1150" s="161">
        <v>46019.299432870372</v>
      </c>
      <c r="B1150" s="162" t="s">
        <v>2383</v>
      </c>
      <c r="C1150" s="162" t="s">
        <v>2384</v>
      </c>
      <c r="D1150" s="162">
        <v>8050</v>
      </c>
      <c r="E1150" s="162">
        <v>0</v>
      </c>
      <c r="F1150" s="162">
        <v>6339.6</v>
      </c>
      <c r="G1150" s="162" t="s">
        <v>2</v>
      </c>
      <c r="H1150" s="162" t="s">
        <v>1019</v>
      </c>
    </row>
    <row r="1151" spans="1:8" x14ac:dyDescent="0.3">
      <c r="A1151" s="161">
        <v>46020</v>
      </c>
      <c r="B1151" s="162" t="s">
        <v>1751</v>
      </c>
      <c r="C1151" s="162"/>
      <c r="D1151" s="162">
        <v>0</v>
      </c>
      <c r="E1151" s="162">
        <v>17320.330000000002</v>
      </c>
      <c r="F1151" s="162">
        <v>27429.29</v>
      </c>
      <c r="G1151" s="162" t="s">
        <v>1658</v>
      </c>
      <c r="H1151" s="162" t="s">
        <v>837</v>
      </c>
    </row>
    <row r="1152" spans="1:8" x14ac:dyDescent="0.3">
      <c r="A1152" s="161">
        <v>46020</v>
      </c>
      <c r="B1152" s="162" t="s">
        <v>50</v>
      </c>
      <c r="C1152" s="162" t="s">
        <v>768</v>
      </c>
      <c r="D1152" s="162">
        <v>136.5</v>
      </c>
      <c r="E1152" s="162">
        <v>0</v>
      </c>
      <c r="F1152" s="162">
        <v>7045.53</v>
      </c>
      <c r="G1152" s="162" t="s">
        <v>49</v>
      </c>
      <c r="H1152" s="162" t="s">
        <v>1779</v>
      </c>
    </row>
    <row r="1153" spans="1:8" x14ac:dyDescent="0.3">
      <c r="A1153" s="161">
        <v>46020</v>
      </c>
      <c r="B1153" s="162" t="s">
        <v>766</v>
      </c>
      <c r="C1153" s="162" t="s">
        <v>767</v>
      </c>
      <c r="D1153" s="162">
        <v>5000</v>
      </c>
      <c r="E1153" s="162">
        <v>0</v>
      </c>
      <c r="F1153" s="162">
        <v>7182.03</v>
      </c>
      <c r="G1153" s="162" t="s">
        <v>2</v>
      </c>
      <c r="H1153" s="162" t="s">
        <v>1779</v>
      </c>
    </row>
    <row r="1154" spans="1:8" x14ac:dyDescent="0.3">
      <c r="A1154" s="161">
        <v>46020</v>
      </c>
      <c r="B1154" s="162" t="s">
        <v>1414</v>
      </c>
      <c r="C1154" s="162" t="s">
        <v>1005</v>
      </c>
      <c r="D1154" s="162">
        <v>0</v>
      </c>
      <c r="E1154" s="162">
        <v>60.72</v>
      </c>
      <c r="F1154" s="162">
        <v>24190.59</v>
      </c>
      <c r="G1154" s="162" t="s">
        <v>1014</v>
      </c>
      <c r="H1154" s="162" t="s">
        <v>1680</v>
      </c>
    </row>
    <row r="1155" spans="1:8" x14ac:dyDescent="0.3">
      <c r="A1155" s="161">
        <v>46020</v>
      </c>
      <c r="B1155" s="162" t="s">
        <v>1415</v>
      </c>
      <c r="C1155" s="162" t="s">
        <v>1005</v>
      </c>
      <c r="D1155" s="162">
        <v>0</v>
      </c>
      <c r="E1155" s="162">
        <v>1900</v>
      </c>
      <c r="F1155" s="162">
        <v>26090.59</v>
      </c>
      <c r="G1155" s="162" t="s">
        <v>1014</v>
      </c>
      <c r="H1155" s="162" t="s">
        <v>1680</v>
      </c>
    </row>
    <row r="1156" spans="1:8" x14ac:dyDescent="0.3">
      <c r="A1156" s="161">
        <v>46020</v>
      </c>
      <c r="B1156" s="162" t="s">
        <v>1416</v>
      </c>
      <c r="C1156" s="162" t="s">
        <v>1005</v>
      </c>
      <c r="D1156" s="162">
        <v>0</v>
      </c>
      <c r="E1156" s="162">
        <v>10.72</v>
      </c>
      <c r="F1156" s="162">
        <v>26101.31</v>
      </c>
      <c r="G1156" s="162" t="s">
        <v>1014</v>
      </c>
      <c r="H1156" s="162" t="s">
        <v>1680</v>
      </c>
    </row>
    <row r="1157" spans="1:8" x14ac:dyDescent="0.3">
      <c r="A1157" s="161">
        <v>46020</v>
      </c>
      <c r="B1157" s="162" t="s">
        <v>1412</v>
      </c>
      <c r="C1157" s="162" t="s">
        <v>1005</v>
      </c>
      <c r="D1157" s="162">
        <v>150</v>
      </c>
      <c r="E1157" s="162">
        <v>0</v>
      </c>
      <c r="F1157" s="162">
        <v>24129.87</v>
      </c>
      <c r="G1157" s="162" t="s">
        <v>91</v>
      </c>
      <c r="H1157" s="162" t="s">
        <v>1680</v>
      </c>
    </row>
    <row r="1158" spans="1:8" x14ac:dyDescent="0.3">
      <c r="A1158" s="161">
        <v>46020</v>
      </c>
      <c r="B1158" s="162" t="s">
        <v>1411</v>
      </c>
      <c r="C1158" s="162" t="s">
        <v>1005</v>
      </c>
      <c r="D1158" s="162">
        <v>1450</v>
      </c>
      <c r="E1158" s="162">
        <v>0</v>
      </c>
      <c r="F1158" s="162">
        <v>24279.87</v>
      </c>
      <c r="G1158" s="162" t="s">
        <v>1028</v>
      </c>
      <c r="H1158" s="162" t="s">
        <v>1680</v>
      </c>
    </row>
    <row r="1159" spans="1:8" x14ac:dyDescent="0.3">
      <c r="A1159" s="161">
        <v>46020</v>
      </c>
      <c r="B1159" s="162" t="s">
        <v>50</v>
      </c>
      <c r="C1159" s="162" t="s">
        <v>769</v>
      </c>
      <c r="D1159" s="162">
        <v>2014.32</v>
      </c>
      <c r="E1159" s="162">
        <v>0</v>
      </c>
      <c r="F1159" s="162">
        <v>5031.21</v>
      </c>
      <c r="G1159" s="162" t="s">
        <v>49</v>
      </c>
      <c r="H1159" s="162" t="s">
        <v>1779</v>
      </c>
    </row>
    <row r="1160" spans="1:8" x14ac:dyDescent="0.3">
      <c r="A1160" s="161">
        <v>46021</v>
      </c>
      <c r="B1160" s="162" t="s">
        <v>1752</v>
      </c>
      <c r="C1160" s="162"/>
      <c r="D1160" s="162">
        <v>1450</v>
      </c>
      <c r="E1160" s="162">
        <v>0</v>
      </c>
      <c r="F1160" s="162">
        <v>25979.29</v>
      </c>
      <c r="G1160" s="162" t="s">
        <v>1028</v>
      </c>
      <c r="H1160" s="162" t="s">
        <v>837</v>
      </c>
    </row>
    <row r="1161" spans="1:8" x14ac:dyDescent="0.3">
      <c r="A1161" s="161">
        <v>46021</v>
      </c>
      <c r="B1161" s="162" t="s">
        <v>770</v>
      </c>
      <c r="C1161" s="162" t="s">
        <v>771</v>
      </c>
      <c r="D1161" s="162">
        <v>5000</v>
      </c>
      <c r="E1161" s="162">
        <v>0</v>
      </c>
      <c r="F1161" s="162">
        <v>31.21</v>
      </c>
      <c r="G1161" s="162" t="s">
        <v>2</v>
      </c>
      <c r="H1161" s="162" t="s">
        <v>1779</v>
      </c>
    </row>
    <row r="1162" spans="1:8" x14ac:dyDescent="0.3">
      <c r="A1162" s="161">
        <v>46021</v>
      </c>
      <c r="B1162" s="162" t="s">
        <v>50</v>
      </c>
      <c r="C1162" s="162" t="s">
        <v>772</v>
      </c>
      <c r="D1162" s="162">
        <v>31.21</v>
      </c>
      <c r="E1162" s="162">
        <v>0</v>
      </c>
      <c r="F1162" s="162">
        <v>0</v>
      </c>
      <c r="G1162" s="162" t="s">
        <v>49</v>
      </c>
      <c r="H1162" s="162" t="s">
        <v>1779</v>
      </c>
    </row>
    <row r="1163" spans="1:8" x14ac:dyDescent="0.3">
      <c r="A1163" s="161">
        <v>46021</v>
      </c>
      <c r="B1163" s="162" t="s">
        <v>1417</v>
      </c>
      <c r="C1163" s="162" t="s">
        <v>1005</v>
      </c>
      <c r="D1163" s="162">
        <v>7554.5</v>
      </c>
      <c r="E1163" s="162">
        <v>0</v>
      </c>
      <c r="F1163" s="162">
        <v>18546.810000000001</v>
      </c>
      <c r="G1163" s="162" t="s">
        <v>1014</v>
      </c>
      <c r="H1163" s="162" t="s">
        <v>1680</v>
      </c>
    </row>
    <row r="1164" spans="1:8" x14ac:dyDescent="0.3">
      <c r="A1164" s="161">
        <v>46021</v>
      </c>
      <c r="B1164" s="162" t="s">
        <v>1753</v>
      </c>
      <c r="C1164" s="162"/>
      <c r="D1164" s="162">
        <v>3158</v>
      </c>
      <c r="E1164" s="162">
        <v>0</v>
      </c>
      <c r="F1164" s="162">
        <v>22821.29</v>
      </c>
      <c r="G1164" s="162" t="s">
        <v>91</v>
      </c>
      <c r="H1164" s="162" t="s">
        <v>837</v>
      </c>
    </row>
    <row r="1165" spans="1:8" x14ac:dyDescent="0.3">
      <c r="A1165" s="161">
        <v>46021</v>
      </c>
      <c r="B1165" s="162" t="s">
        <v>1755</v>
      </c>
      <c r="C1165" s="162"/>
      <c r="D1165" s="162">
        <v>4000</v>
      </c>
      <c r="E1165" s="162">
        <v>0</v>
      </c>
      <c r="F1165" s="162">
        <v>18821.29</v>
      </c>
      <c r="G1165" s="162" t="s">
        <v>1019</v>
      </c>
      <c r="H1165" s="162" t="s">
        <v>837</v>
      </c>
    </row>
    <row r="1166" spans="1:8" x14ac:dyDescent="0.3">
      <c r="A1166" s="161">
        <v>46021.877453703702</v>
      </c>
      <c r="B1166" s="162" t="s">
        <v>2385</v>
      </c>
      <c r="C1166" s="162" t="s">
        <v>2386</v>
      </c>
      <c r="D1166" s="162">
        <v>0</v>
      </c>
      <c r="E1166" s="162">
        <v>4000</v>
      </c>
      <c r="F1166" s="162">
        <v>10339.6</v>
      </c>
      <c r="G1166" s="162" t="s">
        <v>837</v>
      </c>
      <c r="H1166" s="162" t="s">
        <v>1019</v>
      </c>
    </row>
    <row r="1167" spans="1:8" x14ac:dyDescent="0.3">
      <c r="A1167" s="161">
        <v>46022</v>
      </c>
      <c r="B1167" s="162" t="s">
        <v>1756</v>
      </c>
      <c r="C1167" s="162"/>
      <c r="D1167" s="162">
        <v>1500</v>
      </c>
      <c r="E1167" s="162">
        <v>0</v>
      </c>
      <c r="F1167" s="162">
        <v>17321.29</v>
      </c>
      <c r="G1167" s="162" t="s">
        <v>1028</v>
      </c>
      <c r="H1167" s="162" t="s">
        <v>837</v>
      </c>
    </row>
    <row r="1168" spans="1:8" x14ac:dyDescent="0.3">
      <c r="A1168" s="161">
        <v>46022</v>
      </c>
      <c r="B1168" s="162" t="s">
        <v>1759</v>
      </c>
      <c r="C1168" s="162"/>
      <c r="D1168" s="162">
        <v>35</v>
      </c>
      <c r="E1168" s="162">
        <v>0</v>
      </c>
      <c r="F1168" s="162">
        <v>17146.29</v>
      </c>
      <c r="G1168" s="162" t="s">
        <v>91</v>
      </c>
      <c r="H1168" s="162" t="s">
        <v>837</v>
      </c>
    </row>
    <row r="1169" spans="1:8" x14ac:dyDescent="0.3">
      <c r="A1169" s="161">
        <v>46022</v>
      </c>
      <c r="B1169" s="162" t="s">
        <v>1761</v>
      </c>
      <c r="C1169" s="162"/>
      <c r="D1169" s="162">
        <v>52</v>
      </c>
      <c r="E1169" s="162">
        <v>0</v>
      </c>
      <c r="F1169" s="162">
        <v>17094.29</v>
      </c>
      <c r="G1169" s="162" t="s">
        <v>131</v>
      </c>
      <c r="H1169" s="162" t="s">
        <v>837</v>
      </c>
    </row>
    <row r="1170" spans="1:8" x14ac:dyDescent="0.3">
      <c r="A1170" s="161">
        <v>46022</v>
      </c>
      <c r="B1170" s="162" t="s">
        <v>1757</v>
      </c>
      <c r="C1170" s="162"/>
      <c r="D1170" s="162">
        <v>140</v>
      </c>
      <c r="E1170" s="162">
        <v>0</v>
      </c>
      <c r="F1170" s="162">
        <v>17181.29</v>
      </c>
      <c r="G1170" s="162" t="s">
        <v>91</v>
      </c>
      <c r="H1170" s="162" t="s">
        <v>837</v>
      </c>
    </row>
    <row r="1171" spans="1:8" x14ac:dyDescent="0.3">
      <c r="A1171" s="161">
        <v>46023</v>
      </c>
      <c r="B1171" s="162" t="s">
        <v>1424</v>
      </c>
      <c r="C1171" s="162" t="s">
        <v>1005</v>
      </c>
      <c r="D1171" s="162">
        <v>0</v>
      </c>
      <c r="E1171" s="162">
        <v>410</v>
      </c>
      <c r="F1171" s="162">
        <v>111730.21</v>
      </c>
      <c r="G1171" s="162" t="s">
        <v>22</v>
      </c>
      <c r="H1171" s="162" t="s">
        <v>1680</v>
      </c>
    </row>
    <row r="1172" spans="1:8" x14ac:dyDescent="0.3">
      <c r="A1172" s="161">
        <v>46023</v>
      </c>
      <c r="B1172" s="162" t="s">
        <v>1419</v>
      </c>
      <c r="C1172" s="162" t="s">
        <v>1005</v>
      </c>
      <c r="D1172" s="162">
        <v>578</v>
      </c>
      <c r="E1172" s="162">
        <v>0</v>
      </c>
      <c r="F1172" s="162">
        <v>16468.810000000001</v>
      </c>
      <c r="G1172" s="162" t="s">
        <v>131</v>
      </c>
      <c r="H1172" s="162" t="s">
        <v>1680</v>
      </c>
    </row>
    <row r="1173" spans="1:8" x14ac:dyDescent="0.3">
      <c r="A1173" s="161">
        <v>46023</v>
      </c>
      <c r="B1173" s="162" t="s">
        <v>1418</v>
      </c>
      <c r="C1173" s="162" t="s">
        <v>1005</v>
      </c>
      <c r="D1173" s="162">
        <v>1500</v>
      </c>
      <c r="E1173" s="162">
        <v>0</v>
      </c>
      <c r="F1173" s="162">
        <v>17046.810000000001</v>
      </c>
      <c r="G1173" s="162" t="s">
        <v>1028</v>
      </c>
      <c r="H1173" s="162" t="s">
        <v>1680</v>
      </c>
    </row>
    <row r="1174" spans="1:8" x14ac:dyDescent="0.3">
      <c r="A1174" s="161">
        <v>46023</v>
      </c>
      <c r="B1174" s="162" t="s">
        <v>1420</v>
      </c>
      <c r="C1174" s="162" t="s">
        <v>1005</v>
      </c>
      <c r="D1174" s="162">
        <v>0</v>
      </c>
      <c r="E1174" s="162">
        <v>96180</v>
      </c>
      <c r="F1174" s="162">
        <v>112648.81</v>
      </c>
      <c r="G1174" s="162" t="s">
        <v>972</v>
      </c>
      <c r="H1174" s="162" t="s">
        <v>1680</v>
      </c>
    </row>
    <row r="1175" spans="1:8" x14ac:dyDescent="0.3">
      <c r="A1175" s="161">
        <v>46023</v>
      </c>
      <c r="B1175" s="162" t="s">
        <v>1421</v>
      </c>
      <c r="C1175" s="162" t="s">
        <v>1005</v>
      </c>
      <c r="D1175" s="162">
        <v>1088.5999999999999</v>
      </c>
      <c r="E1175" s="162">
        <v>0</v>
      </c>
      <c r="F1175" s="162">
        <v>111560.21</v>
      </c>
      <c r="G1175" s="162" t="s">
        <v>1014</v>
      </c>
      <c r="H1175" s="162" t="s">
        <v>1680</v>
      </c>
    </row>
    <row r="1176" spans="1:8" x14ac:dyDescent="0.3">
      <c r="A1176" s="161">
        <v>46023</v>
      </c>
      <c r="B1176" s="162" t="s">
        <v>1422</v>
      </c>
      <c r="C1176" s="162" t="s">
        <v>1005</v>
      </c>
      <c r="D1176" s="162">
        <v>240</v>
      </c>
      <c r="E1176" s="162">
        <v>0</v>
      </c>
      <c r="F1176" s="162">
        <v>111320.21</v>
      </c>
      <c r="G1176" s="162" t="s">
        <v>91</v>
      </c>
      <c r="H1176" s="162" t="s">
        <v>1680</v>
      </c>
    </row>
    <row r="1177" spans="1:8" x14ac:dyDescent="0.3">
      <c r="A1177" s="161">
        <v>46023</v>
      </c>
      <c r="B1177" s="162" t="s">
        <v>50</v>
      </c>
      <c r="C1177" s="162" t="s">
        <v>778</v>
      </c>
      <c r="D1177" s="162">
        <v>70.89</v>
      </c>
      <c r="E1177" s="162">
        <v>0</v>
      </c>
      <c r="F1177" s="162">
        <v>37054.29</v>
      </c>
      <c r="G1177" s="162" t="s">
        <v>49</v>
      </c>
      <c r="H1177" s="162" t="s">
        <v>1779</v>
      </c>
    </row>
    <row r="1178" spans="1:8" x14ac:dyDescent="0.3">
      <c r="A1178" s="161">
        <v>46023</v>
      </c>
      <c r="B1178" s="162" t="s">
        <v>773</v>
      </c>
      <c r="C1178" s="162" t="s">
        <v>83</v>
      </c>
      <c r="D1178" s="162">
        <v>0</v>
      </c>
      <c r="E1178" s="162">
        <v>253</v>
      </c>
      <c r="F1178" s="162">
        <v>253</v>
      </c>
      <c r="G1178" s="162" t="s">
        <v>22</v>
      </c>
      <c r="H1178" s="162" t="s">
        <v>1779</v>
      </c>
    </row>
    <row r="1179" spans="1:8" x14ac:dyDescent="0.3">
      <c r="A1179" s="161">
        <v>46023</v>
      </c>
      <c r="B1179" s="162" t="s">
        <v>776</v>
      </c>
      <c r="C1179" s="162" t="s">
        <v>777</v>
      </c>
      <c r="D1179" s="162">
        <v>0</v>
      </c>
      <c r="E1179" s="162">
        <v>8894.89</v>
      </c>
      <c r="F1179" s="162">
        <v>37125.18</v>
      </c>
      <c r="G1179" s="162" t="s">
        <v>49</v>
      </c>
      <c r="H1179" s="162" t="s">
        <v>1779</v>
      </c>
    </row>
    <row r="1180" spans="1:8" x14ac:dyDescent="0.3">
      <c r="A1180" s="161">
        <v>46023</v>
      </c>
      <c r="B1180" s="162" t="s">
        <v>774</v>
      </c>
      <c r="C1180" s="162" t="s">
        <v>775</v>
      </c>
      <c r="D1180" s="162">
        <v>0</v>
      </c>
      <c r="E1180" s="162">
        <v>27977.29</v>
      </c>
      <c r="F1180" s="162">
        <v>28230.29</v>
      </c>
      <c r="G1180" s="162" t="s">
        <v>49</v>
      </c>
      <c r="H1180" s="162" t="s">
        <v>1779</v>
      </c>
    </row>
    <row r="1181" spans="1:8" x14ac:dyDescent="0.3">
      <c r="A1181" s="161">
        <v>46023</v>
      </c>
      <c r="B1181" s="162" t="s">
        <v>1762</v>
      </c>
      <c r="C1181" s="162"/>
      <c r="D1181" s="162">
        <v>320</v>
      </c>
      <c r="E1181" s="162">
        <v>0</v>
      </c>
      <c r="F1181" s="162">
        <v>16774.29</v>
      </c>
      <c r="G1181" s="162" t="s">
        <v>91</v>
      </c>
      <c r="H1181" s="162" t="s">
        <v>837</v>
      </c>
    </row>
    <row r="1182" spans="1:8" x14ac:dyDescent="0.3">
      <c r="A1182" s="161">
        <v>46023</v>
      </c>
      <c r="B1182" s="162" t="s">
        <v>1763</v>
      </c>
      <c r="C1182" s="162"/>
      <c r="D1182" s="162">
        <v>119</v>
      </c>
      <c r="E1182" s="162">
        <v>0</v>
      </c>
      <c r="F1182" s="162">
        <v>16655.29</v>
      </c>
      <c r="G1182" s="162" t="s">
        <v>91</v>
      </c>
      <c r="H1182" s="162" t="s">
        <v>837</v>
      </c>
    </row>
    <row r="1183" spans="1:8" x14ac:dyDescent="0.3">
      <c r="A1183" s="161">
        <v>46023.213518518518</v>
      </c>
      <c r="B1183" s="162" t="s">
        <v>2387</v>
      </c>
      <c r="C1183" s="162"/>
      <c r="D1183" s="162">
        <v>0</v>
      </c>
      <c r="E1183" s="162">
        <v>66</v>
      </c>
      <c r="F1183" s="162">
        <v>10405.6</v>
      </c>
      <c r="G1183" s="162" t="s">
        <v>22</v>
      </c>
      <c r="H1183" s="162" t="s">
        <v>1019</v>
      </c>
    </row>
    <row r="1184" spans="1:8" x14ac:dyDescent="0.3">
      <c r="A1184" s="161">
        <v>46024</v>
      </c>
      <c r="B1184" s="162" t="s">
        <v>1428</v>
      </c>
      <c r="C1184" s="162" t="s">
        <v>1005</v>
      </c>
      <c r="D1184" s="162">
        <v>70</v>
      </c>
      <c r="E1184" s="162">
        <v>0</v>
      </c>
      <c r="F1184" s="162">
        <v>34160.21</v>
      </c>
      <c r="G1184" s="162" t="s">
        <v>91</v>
      </c>
      <c r="H1184" s="162" t="s">
        <v>1680</v>
      </c>
    </row>
    <row r="1185" spans="1:8" x14ac:dyDescent="0.3">
      <c r="A1185" s="161">
        <v>46024</v>
      </c>
      <c r="B1185" s="162" t="s">
        <v>1427</v>
      </c>
      <c r="C1185" s="162" t="s">
        <v>1005</v>
      </c>
      <c r="D1185" s="162">
        <v>75000</v>
      </c>
      <c r="E1185" s="162">
        <v>0</v>
      </c>
      <c r="F1185" s="162">
        <v>34230.21</v>
      </c>
      <c r="G1185" s="162" t="s">
        <v>996</v>
      </c>
      <c r="H1185" s="162" t="s">
        <v>1680</v>
      </c>
    </row>
    <row r="1186" spans="1:8" x14ac:dyDescent="0.3">
      <c r="A1186" s="161">
        <v>46024</v>
      </c>
      <c r="B1186" s="162" t="s">
        <v>1426</v>
      </c>
      <c r="C1186" s="162" t="s">
        <v>1005</v>
      </c>
      <c r="D1186" s="162">
        <v>1000</v>
      </c>
      <c r="E1186" s="162">
        <v>0</v>
      </c>
      <c r="F1186" s="162">
        <v>109230.21</v>
      </c>
      <c r="G1186" s="162" t="s">
        <v>996</v>
      </c>
      <c r="H1186" s="162" t="s">
        <v>1680</v>
      </c>
    </row>
    <row r="1187" spans="1:8" x14ac:dyDescent="0.3">
      <c r="A1187" s="161">
        <v>46024</v>
      </c>
      <c r="B1187" s="162" t="s">
        <v>1434</v>
      </c>
      <c r="C1187" s="162" t="s">
        <v>1005</v>
      </c>
      <c r="D1187" s="162">
        <v>40</v>
      </c>
      <c r="E1187" s="162">
        <v>0</v>
      </c>
      <c r="F1187" s="162">
        <v>29706.21</v>
      </c>
      <c r="G1187" s="162" t="s">
        <v>91</v>
      </c>
      <c r="H1187" s="162" t="s">
        <v>1680</v>
      </c>
    </row>
    <row r="1188" spans="1:8" x14ac:dyDescent="0.3">
      <c r="A1188" s="161">
        <v>46024</v>
      </c>
      <c r="B1188" s="162" t="s">
        <v>1436</v>
      </c>
      <c r="C1188" s="162" t="s">
        <v>1005</v>
      </c>
      <c r="D1188" s="162">
        <v>140</v>
      </c>
      <c r="E1188" s="162">
        <v>0</v>
      </c>
      <c r="F1188" s="162">
        <v>29566.21</v>
      </c>
      <c r="G1188" s="162" t="s">
        <v>91</v>
      </c>
      <c r="H1188" s="162" t="s">
        <v>1680</v>
      </c>
    </row>
    <row r="1189" spans="1:8" x14ac:dyDescent="0.3">
      <c r="A1189" s="161">
        <v>46024</v>
      </c>
      <c r="B1189" s="162" t="s">
        <v>1765</v>
      </c>
      <c r="C1189" s="162"/>
      <c r="D1189" s="162">
        <v>30</v>
      </c>
      <c r="E1189" s="162">
        <v>0</v>
      </c>
      <c r="F1189" s="162">
        <v>16625.29</v>
      </c>
      <c r="G1189" s="162" t="s">
        <v>91</v>
      </c>
      <c r="H1189" s="162" t="s">
        <v>837</v>
      </c>
    </row>
    <row r="1190" spans="1:8" x14ac:dyDescent="0.3">
      <c r="A1190" s="161">
        <v>46024</v>
      </c>
      <c r="B1190" s="162" t="s">
        <v>1766</v>
      </c>
      <c r="C1190" s="162"/>
      <c r="D1190" s="162">
        <v>160</v>
      </c>
      <c r="E1190" s="162">
        <v>0</v>
      </c>
      <c r="F1190" s="162">
        <v>16465.29</v>
      </c>
      <c r="G1190" s="162" t="s">
        <v>91</v>
      </c>
      <c r="H1190" s="162" t="s">
        <v>837</v>
      </c>
    </row>
    <row r="1191" spans="1:8" x14ac:dyDescent="0.3">
      <c r="A1191" s="161">
        <v>46024</v>
      </c>
      <c r="B1191" s="162" t="s">
        <v>1767</v>
      </c>
      <c r="C1191" s="162"/>
      <c r="D1191" s="162">
        <v>100</v>
      </c>
      <c r="E1191" s="162">
        <v>0</v>
      </c>
      <c r="F1191" s="162">
        <v>16365.29</v>
      </c>
      <c r="G1191" s="162" t="s">
        <v>91</v>
      </c>
      <c r="H1191" s="162" t="s">
        <v>837</v>
      </c>
    </row>
    <row r="1192" spans="1:8" x14ac:dyDescent="0.3">
      <c r="A1192" s="161">
        <v>46024</v>
      </c>
      <c r="B1192" s="162" t="s">
        <v>1432</v>
      </c>
      <c r="C1192" s="162" t="s">
        <v>1005</v>
      </c>
      <c r="D1192" s="162">
        <v>80</v>
      </c>
      <c r="E1192" s="162">
        <v>0</v>
      </c>
      <c r="F1192" s="162">
        <v>29746.21</v>
      </c>
      <c r="G1192" s="162" t="s">
        <v>91</v>
      </c>
      <c r="H1192" s="162" t="s">
        <v>1680</v>
      </c>
    </row>
    <row r="1193" spans="1:8" x14ac:dyDescent="0.3">
      <c r="A1193" s="161">
        <v>46024</v>
      </c>
      <c r="B1193" s="162" t="s">
        <v>1768</v>
      </c>
      <c r="C1193" s="162"/>
      <c r="D1193" s="162">
        <v>63</v>
      </c>
      <c r="E1193" s="162">
        <v>0</v>
      </c>
      <c r="F1193" s="162">
        <v>16302.29</v>
      </c>
      <c r="G1193" s="162" t="s">
        <v>91</v>
      </c>
      <c r="H1193" s="162" t="s">
        <v>837</v>
      </c>
    </row>
    <row r="1194" spans="1:8" x14ac:dyDescent="0.3">
      <c r="A1194" s="161">
        <v>46024</v>
      </c>
      <c r="B1194" s="162" t="s">
        <v>1425</v>
      </c>
      <c r="C1194" s="162" t="s">
        <v>1005</v>
      </c>
      <c r="D1194" s="162">
        <v>1500</v>
      </c>
      <c r="E1194" s="162">
        <v>0</v>
      </c>
      <c r="F1194" s="162">
        <v>110230.21</v>
      </c>
      <c r="G1194" s="162" t="s">
        <v>1028</v>
      </c>
      <c r="H1194" s="162" t="s">
        <v>1680</v>
      </c>
    </row>
    <row r="1195" spans="1:8" x14ac:dyDescent="0.3">
      <c r="A1195" s="161">
        <v>46024</v>
      </c>
      <c r="B1195" s="162" t="s">
        <v>1430</v>
      </c>
      <c r="C1195" s="162" t="s">
        <v>1005</v>
      </c>
      <c r="D1195" s="162">
        <v>4334</v>
      </c>
      <c r="E1195" s="162">
        <v>0</v>
      </c>
      <c r="F1195" s="162">
        <v>29826.21</v>
      </c>
      <c r="G1195" s="162" t="s">
        <v>91</v>
      </c>
      <c r="H1195" s="162" t="s">
        <v>1680</v>
      </c>
    </row>
    <row r="1196" spans="1:8" x14ac:dyDescent="0.3">
      <c r="A1196" s="161">
        <v>46024</v>
      </c>
      <c r="B1196" s="162" t="s">
        <v>779</v>
      </c>
      <c r="C1196" s="162" t="s">
        <v>780</v>
      </c>
      <c r="D1196" s="162">
        <v>0</v>
      </c>
      <c r="E1196" s="162">
        <v>253.39</v>
      </c>
      <c r="F1196" s="162">
        <v>37307.68</v>
      </c>
      <c r="G1196" s="162" t="s">
        <v>49</v>
      </c>
      <c r="H1196" s="162" t="s">
        <v>1779</v>
      </c>
    </row>
    <row r="1197" spans="1:8" x14ac:dyDescent="0.3">
      <c r="A1197" s="161">
        <v>46024</v>
      </c>
      <c r="B1197" s="162" t="s">
        <v>59</v>
      </c>
      <c r="C1197" s="162" t="s">
        <v>782</v>
      </c>
      <c r="D1197" s="162">
        <v>0</v>
      </c>
      <c r="E1197" s="162">
        <v>1627.68</v>
      </c>
      <c r="F1197" s="162">
        <v>38870.04</v>
      </c>
      <c r="G1197" s="162" t="s">
        <v>49</v>
      </c>
      <c r="H1197" s="162" t="s">
        <v>1779</v>
      </c>
    </row>
    <row r="1198" spans="1:8" x14ac:dyDescent="0.3">
      <c r="A1198" s="161">
        <v>46024</v>
      </c>
      <c r="B1198" s="162" t="s">
        <v>50</v>
      </c>
      <c r="C1198" s="162" t="s">
        <v>781</v>
      </c>
      <c r="D1198" s="162">
        <v>65.319999999999993</v>
      </c>
      <c r="E1198" s="162">
        <v>0</v>
      </c>
      <c r="F1198" s="162">
        <v>37242.36</v>
      </c>
      <c r="G1198" s="162" t="s">
        <v>49</v>
      </c>
      <c r="H1198" s="162" t="s">
        <v>1779</v>
      </c>
    </row>
    <row r="1199" spans="1:8" x14ac:dyDescent="0.3">
      <c r="A1199" s="161">
        <v>46025</v>
      </c>
      <c r="B1199" s="162" t="s">
        <v>1457</v>
      </c>
      <c r="C1199" s="162" t="s">
        <v>1005</v>
      </c>
      <c r="D1199" s="162">
        <v>70.3</v>
      </c>
      <c r="E1199" s="162">
        <v>0</v>
      </c>
      <c r="F1199" s="162">
        <v>27349.91</v>
      </c>
      <c r="G1199" s="162" t="s">
        <v>91</v>
      </c>
      <c r="H1199" s="162" t="s">
        <v>1680</v>
      </c>
    </row>
    <row r="1200" spans="1:8" x14ac:dyDescent="0.3">
      <c r="A1200" s="161">
        <v>46025</v>
      </c>
      <c r="B1200" s="162" t="s">
        <v>1455</v>
      </c>
      <c r="C1200" s="162" t="s">
        <v>1005</v>
      </c>
      <c r="D1200" s="162">
        <v>30</v>
      </c>
      <c r="E1200" s="162">
        <v>0</v>
      </c>
      <c r="F1200" s="162">
        <v>27420.21</v>
      </c>
      <c r="G1200" s="162" t="s">
        <v>91</v>
      </c>
      <c r="H1200" s="162" t="s">
        <v>1680</v>
      </c>
    </row>
    <row r="1201" spans="1:8" x14ac:dyDescent="0.3">
      <c r="A1201" s="161">
        <v>46025</v>
      </c>
      <c r="B1201" s="162" t="s">
        <v>1454</v>
      </c>
      <c r="C1201" s="162" t="s">
        <v>1005</v>
      </c>
      <c r="D1201" s="162">
        <v>80</v>
      </c>
      <c r="E1201" s="162">
        <v>0</v>
      </c>
      <c r="F1201" s="162">
        <v>27450.21</v>
      </c>
      <c r="G1201" s="162" t="s">
        <v>91</v>
      </c>
      <c r="H1201" s="162" t="s">
        <v>1680</v>
      </c>
    </row>
    <row r="1202" spans="1:8" x14ac:dyDescent="0.3">
      <c r="A1202" s="161">
        <v>46025</v>
      </c>
      <c r="B1202" s="162" t="s">
        <v>1452</v>
      </c>
      <c r="C1202" s="162" t="s">
        <v>1005</v>
      </c>
      <c r="D1202" s="162">
        <v>110</v>
      </c>
      <c r="E1202" s="162">
        <v>0</v>
      </c>
      <c r="F1202" s="162">
        <v>27530.21</v>
      </c>
      <c r="G1202" s="162" t="s">
        <v>91</v>
      </c>
      <c r="H1202" s="162" t="s">
        <v>1680</v>
      </c>
    </row>
    <row r="1203" spans="1:8" x14ac:dyDescent="0.3">
      <c r="A1203" s="161">
        <v>46025</v>
      </c>
      <c r="B1203" s="162" t="s">
        <v>1460</v>
      </c>
      <c r="C1203" s="162" t="s">
        <v>1005</v>
      </c>
      <c r="D1203" s="162">
        <v>0</v>
      </c>
      <c r="E1203" s="162">
        <v>100</v>
      </c>
      <c r="F1203" s="162">
        <v>28449.91</v>
      </c>
      <c r="G1203" s="162" t="s">
        <v>1031</v>
      </c>
      <c r="H1203" s="162" t="s">
        <v>1680</v>
      </c>
    </row>
    <row r="1204" spans="1:8" x14ac:dyDescent="0.3">
      <c r="A1204" s="161">
        <v>46025</v>
      </c>
      <c r="B1204" s="162" t="s">
        <v>1449</v>
      </c>
      <c r="C1204" s="162" t="s">
        <v>1005</v>
      </c>
      <c r="D1204" s="162">
        <v>15</v>
      </c>
      <c r="E1204" s="162">
        <v>0</v>
      </c>
      <c r="F1204" s="162">
        <v>27686.21</v>
      </c>
      <c r="G1204" s="162" t="s">
        <v>91</v>
      </c>
      <c r="H1204" s="162" t="s">
        <v>1680</v>
      </c>
    </row>
    <row r="1205" spans="1:8" x14ac:dyDescent="0.3">
      <c r="A1205" s="161">
        <v>46025</v>
      </c>
      <c r="B1205" s="162" t="s">
        <v>1447</v>
      </c>
      <c r="C1205" s="162" t="s">
        <v>1005</v>
      </c>
      <c r="D1205" s="162">
        <v>50</v>
      </c>
      <c r="E1205" s="162">
        <v>0</v>
      </c>
      <c r="F1205" s="162">
        <v>27701.21</v>
      </c>
      <c r="G1205" s="162" t="s">
        <v>91</v>
      </c>
      <c r="H1205" s="162" t="s">
        <v>1680</v>
      </c>
    </row>
    <row r="1206" spans="1:8" x14ac:dyDescent="0.3">
      <c r="A1206" s="161">
        <v>46025</v>
      </c>
      <c r="B1206" s="162" t="s">
        <v>1443</v>
      </c>
      <c r="C1206" s="162" t="s">
        <v>1005</v>
      </c>
      <c r="D1206" s="162">
        <v>20</v>
      </c>
      <c r="E1206" s="162">
        <v>0</v>
      </c>
      <c r="F1206" s="162">
        <v>27806.21</v>
      </c>
      <c r="G1206" s="162" t="s">
        <v>91</v>
      </c>
      <c r="H1206" s="162" t="s">
        <v>1680</v>
      </c>
    </row>
    <row r="1207" spans="1:8" x14ac:dyDescent="0.3">
      <c r="A1207" s="161">
        <v>46025</v>
      </c>
      <c r="B1207" s="162" t="s">
        <v>1441</v>
      </c>
      <c r="C1207" s="162" t="s">
        <v>1005</v>
      </c>
      <c r="D1207" s="162">
        <v>40</v>
      </c>
      <c r="E1207" s="162">
        <v>0</v>
      </c>
      <c r="F1207" s="162">
        <v>27826.21</v>
      </c>
      <c r="G1207" s="162" t="s">
        <v>91</v>
      </c>
      <c r="H1207" s="162" t="s">
        <v>1680</v>
      </c>
    </row>
    <row r="1208" spans="1:8" x14ac:dyDescent="0.3">
      <c r="A1208" s="161">
        <v>46025</v>
      </c>
      <c r="B1208" s="162" t="s">
        <v>1439</v>
      </c>
      <c r="C1208" s="162" t="s">
        <v>1005</v>
      </c>
      <c r="D1208" s="162">
        <v>200</v>
      </c>
      <c r="E1208" s="162">
        <v>0</v>
      </c>
      <c r="F1208" s="162">
        <v>27866.21</v>
      </c>
      <c r="G1208" s="162" t="s">
        <v>91</v>
      </c>
      <c r="H1208" s="162" t="s">
        <v>1680</v>
      </c>
    </row>
    <row r="1209" spans="1:8" x14ac:dyDescent="0.3">
      <c r="A1209" s="161">
        <v>46025</v>
      </c>
      <c r="B1209" s="162" t="s">
        <v>1438</v>
      </c>
      <c r="C1209" s="162" t="s">
        <v>1005</v>
      </c>
      <c r="D1209" s="162">
        <v>1500</v>
      </c>
      <c r="E1209" s="162">
        <v>0</v>
      </c>
      <c r="F1209" s="162">
        <v>28066.21</v>
      </c>
      <c r="G1209" s="162" t="s">
        <v>1028</v>
      </c>
      <c r="H1209" s="162" t="s">
        <v>1680</v>
      </c>
    </row>
    <row r="1210" spans="1:8" x14ac:dyDescent="0.3">
      <c r="A1210" s="161">
        <v>46025</v>
      </c>
      <c r="B1210" s="162" t="s">
        <v>1461</v>
      </c>
      <c r="C1210" s="162" t="s">
        <v>1005</v>
      </c>
      <c r="D1210" s="162">
        <v>0</v>
      </c>
      <c r="E1210" s="162">
        <v>11900</v>
      </c>
      <c r="F1210" s="162">
        <v>40349.910000000003</v>
      </c>
      <c r="G1210" s="162" t="s">
        <v>1031</v>
      </c>
      <c r="H1210" s="162" t="s">
        <v>1680</v>
      </c>
    </row>
    <row r="1211" spans="1:8" x14ac:dyDescent="0.3">
      <c r="A1211" s="161">
        <v>46025</v>
      </c>
      <c r="B1211" s="162" t="s">
        <v>1459</v>
      </c>
      <c r="C1211" s="162" t="s">
        <v>1005</v>
      </c>
      <c r="D1211" s="162">
        <v>0</v>
      </c>
      <c r="E1211" s="162">
        <v>1000</v>
      </c>
      <c r="F1211" s="162">
        <v>28349.91</v>
      </c>
      <c r="G1211" s="162" t="s">
        <v>1014</v>
      </c>
      <c r="H1211" s="162" t="s">
        <v>1680</v>
      </c>
    </row>
    <row r="1212" spans="1:8" x14ac:dyDescent="0.3">
      <c r="A1212" s="161">
        <v>46025</v>
      </c>
      <c r="B1212" s="162" t="s">
        <v>1450</v>
      </c>
      <c r="C1212" s="162" t="s">
        <v>1005</v>
      </c>
      <c r="D1212" s="162">
        <v>46</v>
      </c>
      <c r="E1212" s="162">
        <v>0</v>
      </c>
      <c r="F1212" s="162">
        <v>27640.21</v>
      </c>
      <c r="G1212" s="162" t="s">
        <v>91</v>
      </c>
      <c r="H1212" s="162" t="s">
        <v>1680</v>
      </c>
    </row>
    <row r="1213" spans="1:8" x14ac:dyDescent="0.3">
      <c r="A1213" s="161">
        <v>46025</v>
      </c>
      <c r="B1213" s="162" t="s">
        <v>1445</v>
      </c>
      <c r="C1213" s="162" t="s">
        <v>1005</v>
      </c>
      <c r="D1213" s="162">
        <v>55</v>
      </c>
      <c r="E1213" s="162">
        <v>0</v>
      </c>
      <c r="F1213" s="162">
        <v>27751.21</v>
      </c>
      <c r="G1213" s="162" t="s">
        <v>91</v>
      </c>
      <c r="H1213" s="162" t="s">
        <v>1680</v>
      </c>
    </row>
    <row r="1214" spans="1:8" x14ac:dyDescent="0.3">
      <c r="A1214" s="161">
        <v>46025.423263888893</v>
      </c>
      <c r="B1214" s="162" t="s">
        <v>2388</v>
      </c>
      <c r="C1214" s="162" t="s">
        <v>2389</v>
      </c>
      <c r="D1214" s="162">
        <v>0</v>
      </c>
      <c r="E1214" s="162">
        <v>25783.1</v>
      </c>
      <c r="F1214" s="162">
        <v>36188.699999999997</v>
      </c>
      <c r="G1214" s="162" t="s">
        <v>1735</v>
      </c>
      <c r="H1214" s="162" t="s">
        <v>1019</v>
      </c>
    </row>
    <row r="1215" spans="1:8" x14ac:dyDescent="0.3">
      <c r="A1215" s="161">
        <v>46025.973124999997</v>
      </c>
      <c r="B1215" s="162" t="s">
        <v>2390</v>
      </c>
      <c r="C1215" s="162" t="s">
        <v>2391</v>
      </c>
      <c r="D1215" s="162">
        <v>328.7</v>
      </c>
      <c r="E1215" s="162">
        <v>0</v>
      </c>
      <c r="F1215" s="162">
        <v>35860</v>
      </c>
      <c r="G1215" s="162" t="s">
        <v>1189</v>
      </c>
      <c r="H1215" s="162" t="s">
        <v>1019</v>
      </c>
    </row>
    <row r="1216" spans="1:8" x14ac:dyDescent="0.3">
      <c r="A1216" s="161">
        <v>46026</v>
      </c>
      <c r="B1216" s="162" t="s">
        <v>1462</v>
      </c>
      <c r="C1216" s="162" t="s">
        <v>1005</v>
      </c>
      <c r="D1216" s="162">
        <v>1500</v>
      </c>
      <c r="E1216" s="162">
        <v>0</v>
      </c>
      <c r="F1216" s="162">
        <v>38849.910000000003</v>
      </c>
      <c r="G1216" s="162" t="s">
        <v>1028</v>
      </c>
      <c r="H1216" s="162" t="s">
        <v>1680</v>
      </c>
    </row>
    <row r="1217" spans="1:8" x14ac:dyDescent="0.3">
      <c r="A1217" s="161">
        <v>46026</v>
      </c>
      <c r="B1217" s="162" t="s">
        <v>1465</v>
      </c>
      <c r="C1217" s="162" t="s">
        <v>1005</v>
      </c>
      <c r="D1217" s="162">
        <v>85</v>
      </c>
      <c r="E1217" s="162">
        <v>0</v>
      </c>
      <c r="F1217" s="162">
        <v>38689.910000000003</v>
      </c>
      <c r="G1217" s="162" t="s">
        <v>91</v>
      </c>
      <c r="H1217" s="162" t="s">
        <v>1680</v>
      </c>
    </row>
    <row r="1218" spans="1:8" x14ac:dyDescent="0.3">
      <c r="A1218" s="161">
        <v>46026</v>
      </c>
      <c r="B1218" s="162" t="s">
        <v>1466</v>
      </c>
      <c r="C1218" s="162" t="s">
        <v>1005</v>
      </c>
      <c r="D1218" s="162">
        <v>40</v>
      </c>
      <c r="E1218" s="162">
        <v>0</v>
      </c>
      <c r="F1218" s="162">
        <v>38649.910000000003</v>
      </c>
      <c r="G1218" s="162" t="s">
        <v>91</v>
      </c>
      <c r="H1218" s="162" t="s">
        <v>1680</v>
      </c>
    </row>
    <row r="1219" spans="1:8" x14ac:dyDescent="0.3">
      <c r="A1219" s="161">
        <v>46026</v>
      </c>
      <c r="B1219" s="162" t="s">
        <v>1468</v>
      </c>
      <c r="C1219" s="162" t="s">
        <v>1005</v>
      </c>
      <c r="D1219" s="162">
        <v>1500</v>
      </c>
      <c r="E1219" s="162">
        <v>0</v>
      </c>
      <c r="F1219" s="162">
        <v>37149.910000000003</v>
      </c>
      <c r="G1219" s="162" t="s">
        <v>1028</v>
      </c>
      <c r="H1219" s="162" t="s">
        <v>1680</v>
      </c>
    </row>
    <row r="1220" spans="1:8" x14ac:dyDescent="0.3">
      <c r="A1220" s="161">
        <v>46026</v>
      </c>
      <c r="B1220" s="162" t="s">
        <v>1463</v>
      </c>
      <c r="C1220" s="162" t="s">
        <v>1005</v>
      </c>
      <c r="D1220" s="162">
        <v>75</v>
      </c>
      <c r="E1220" s="162">
        <v>0</v>
      </c>
      <c r="F1220" s="162">
        <v>38774.910000000003</v>
      </c>
      <c r="G1220" s="162" t="s">
        <v>91</v>
      </c>
      <c r="H1220" s="162" t="s">
        <v>1680</v>
      </c>
    </row>
    <row r="1221" spans="1:8" x14ac:dyDescent="0.3">
      <c r="A1221" s="161">
        <v>46027</v>
      </c>
      <c r="B1221" s="162" t="s">
        <v>50</v>
      </c>
      <c r="C1221" s="162" t="s">
        <v>784</v>
      </c>
      <c r="D1221" s="162">
        <v>49.27</v>
      </c>
      <c r="E1221" s="162">
        <v>0</v>
      </c>
      <c r="F1221" s="162">
        <v>38622.800000000003</v>
      </c>
      <c r="G1221" s="162" t="s">
        <v>49</v>
      </c>
      <c r="H1221" s="162" t="s">
        <v>1779</v>
      </c>
    </row>
    <row r="1222" spans="1:8" x14ac:dyDescent="0.3">
      <c r="A1222" s="161">
        <v>46027</v>
      </c>
      <c r="B1222" s="162" t="s">
        <v>1470</v>
      </c>
      <c r="C1222" s="162" t="s">
        <v>1005</v>
      </c>
      <c r="D1222" s="162">
        <v>40</v>
      </c>
      <c r="E1222" s="162">
        <v>0</v>
      </c>
      <c r="F1222" s="162">
        <v>69109.91</v>
      </c>
      <c r="G1222" s="162" t="s">
        <v>91</v>
      </c>
      <c r="H1222" s="162" t="s">
        <v>1680</v>
      </c>
    </row>
    <row r="1223" spans="1:8" x14ac:dyDescent="0.3">
      <c r="A1223" s="161">
        <v>46027</v>
      </c>
      <c r="B1223" s="162" t="s">
        <v>50</v>
      </c>
      <c r="C1223" s="162" t="s">
        <v>783</v>
      </c>
      <c r="D1223" s="162">
        <v>197.97</v>
      </c>
      <c r="E1223" s="162">
        <v>0</v>
      </c>
      <c r="F1223" s="162">
        <v>38672.07</v>
      </c>
      <c r="G1223" s="162" t="s">
        <v>49</v>
      </c>
      <c r="H1223" s="162" t="s">
        <v>1779</v>
      </c>
    </row>
    <row r="1224" spans="1:8" x14ac:dyDescent="0.3">
      <c r="A1224" s="161">
        <v>46027</v>
      </c>
      <c r="B1224" s="162" t="s">
        <v>1469</v>
      </c>
      <c r="C1224" s="162" t="s">
        <v>1005</v>
      </c>
      <c r="D1224" s="162">
        <v>0</v>
      </c>
      <c r="E1224" s="162">
        <v>32000</v>
      </c>
      <c r="F1224" s="162">
        <v>69149.91</v>
      </c>
      <c r="G1224" s="162" t="s">
        <v>996</v>
      </c>
      <c r="H1224" s="162" t="s">
        <v>1680</v>
      </c>
    </row>
    <row r="1225" spans="1:8" x14ac:dyDescent="0.3">
      <c r="A1225" s="161">
        <v>46027.574907407397</v>
      </c>
      <c r="B1225" s="162" t="s">
        <v>2392</v>
      </c>
      <c r="C1225" s="162" t="s">
        <v>2393</v>
      </c>
      <c r="D1225" s="162">
        <v>1300</v>
      </c>
      <c r="E1225" s="162">
        <v>0</v>
      </c>
      <c r="F1225" s="162">
        <v>34560</v>
      </c>
      <c r="G1225" s="162" t="s">
        <v>91</v>
      </c>
      <c r="H1225" s="162" t="s">
        <v>1019</v>
      </c>
    </row>
    <row r="1226" spans="1:8" x14ac:dyDescent="0.3">
      <c r="A1226" s="161">
        <v>46028</v>
      </c>
      <c r="B1226" s="162" t="s">
        <v>1477</v>
      </c>
      <c r="C1226" s="162" t="s">
        <v>1005</v>
      </c>
      <c r="D1226" s="162">
        <v>50</v>
      </c>
      <c r="E1226" s="162">
        <v>0</v>
      </c>
      <c r="F1226" s="162">
        <v>67580.67</v>
      </c>
      <c r="G1226" s="162" t="s">
        <v>91</v>
      </c>
      <c r="H1226" s="162" t="s">
        <v>1680</v>
      </c>
    </row>
    <row r="1227" spans="1:8" x14ac:dyDescent="0.3">
      <c r="A1227" s="161">
        <v>46028</v>
      </c>
      <c r="B1227" s="162" t="s">
        <v>50</v>
      </c>
      <c r="C1227" s="162" t="s">
        <v>786</v>
      </c>
      <c r="D1227" s="162">
        <v>4080.19</v>
      </c>
      <c r="E1227" s="162">
        <v>0</v>
      </c>
      <c r="F1227" s="162">
        <v>34476.639999999999</v>
      </c>
      <c r="G1227" s="162" t="s">
        <v>49</v>
      </c>
      <c r="H1227" s="162" t="s">
        <v>1779</v>
      </c>
    </row>
    <row r="1228" spans="1:8" x14ac:dyDescent="0.3">
      <c r="A1228" s="161">
        <v>46028</v>
      </c>
      <c r="B1228" s="162" t="s">
        <v>50</v>
      </c>
      <c r="C1228" s="162" t="s">
        <v>785</v>
      </c>
      <c r="D1228" s="162">
        <v>65.97</v>
      </c>
      <c r="E1228" s="162">
        <v>0</v>
      </c>
      <c r="F1228" s="162">
        <v>38556.83</v>
      </c>
      <c r="G1228" s="162" t="s">
        <v>49</v>
      </c>
      <c r="H1228" s="162" t="s">
        <v>1779</v>
      </c>
    </row>
    <row r="1229" spans="1:8" x14ac:dyDescent="0.3">
      <c r="A1229" s="161">
        <v>46028</v>
      </c>
      <c r="B1229" s="162" t="s">
        <v>1475</v>
      </c>
      <c r="C1229" s="162" t="s">
        <v>1005</v>
      </c>
      <c r="D1229" s="162">
        <v>120</v>
      </c>
      <c r="E1229" s="162">
        <v>0</v>
      </c>
      <c r="F1229" s="162">
        <v>67630.67</v>
      </c>
      <c r="G1229" s="162" t="s">
        <v>91</v>
      </c>
      <c r="H1229" s="162" t="s">
        <v>1680</v>
      </c>
    </row>
    <row r="1230" spans="1:8" x14ac:dyDescent="0.3">
      <c r="A1230" s="161">
        <v>46028</v>
      </c>
      <c r="B1230" s="162" t="s">
        <v>1472</v>
      </c>
      <c r="C1230" s="162" t="s">
        <v>1005</v>
      </c>
      <c r="D1230" s="162">
        <v>1309.24</v>
      </c>
      <c r="E1230" s="162">
        <v>0</v>
      </c>
      <c r="F1230" s="162">
        <v>67800.67</v>
      </c>
      <c r="G1230" s="162" t="s">
        <v>1028</v>
      </c>
      <c r="H1230" s="162" t="s">
        <v>1680</v>
      </c>
    </row>
    <row r="1231" spans="1:8" x14ac:dyDescent="0.3">
      <c r="A1231" s="161">
        <v>46028</v>
      </c>
      <c r="B1231" s="162" t="s">
        <v>1473</v>
      </c>
      <c r="C1231" s="162" t="s">
        <v>1005</v>
      </c>
      <c r="D1231" s="162">
        <v>50</v>
      </c>
      <c r="E1231" s="162">
        <v>0</v>
      </c>
      <c r="F1231" s="162">
        <v>67750.67</v>
      </c>
      <c r="G1231" s="162" t="s">
        <v>91</v>
      </c>
      <c r="H1231" s="162" t="s">
        <v>1680</v>
      </c>
    </row>
    <row r="1232" spans="1:8" x14ac:dyDescent="0.3">
      <c r="A1232" s="161">
        <v>46028.500752314823</v>
      </c>
      <c r="B1232" s="162" t="s">
        <v>2395</v>
      </c>
      <c r="C1232" s="162" t="s">
        <v>2396</v>
      </c>
      <c r="D1232" s="162">
        <v>10000</v>
      </c>
      <c r="E1232" s="162">
        <v>0</v>
      </c>
      <c r="F1232" s="162">
        <v>24560</v>
      </c>
      <c r="G1232" s="162" t="s">
        <v>1735</v>
      </c>
      <c r="H1232" s="162" t="s">
        <v>1019</v>
      </c>
    </row>
    <row r="1233" spans="1:8" x14ac:dyDescent="0.3">
      <c r="A1233" s="161">
        <v>46028.759733796287</v>
      </c>
      <c r="B1233" s="162" t="s">
        <v>2397</v>
      </c>
      <c r="C1233" s="162" t="s">
        <v>2398</v>
      </c>
      <c r="D1233" s="162">
        <v>63</v>
      </c>
      <c r="E1233" s="162">
        <v>0</v>
      </c>
      <c r="F1233" s="162">
        <v>24497</v>
      </c>
      <c r="G1233" s="162" t="s">
        <v>91</v>
      </c>
      <c r="H1233" s="162" t="s">
        <v>1019</v>
      </c>
    </row>
    <row r="1234" spans="1:8" x14ac:dyDescent="0.3">
      <c r="A1234" s="161">
        <v>46029</v>
      </c>
      <c r="B1234" s="162" t="s">
        <v>1479</v>
      </c>
      <c r="C1234" s="162" t="s">
        <v>1005</v>
      </c>
      <c r="D1234" s="162">
        <v>20</v>
      </c>
      <c r="E1234" s="162">
        <v>0</v>
      </c>
      <c r="F1234" s="162">
        <v>67560.67</v>
      </c>
      <c r="G1234" s="162" t="s">
        <v>91</v>
      </c>
      <c r="H1234" s="162" t="s">
        <v>1680</v>
      </c>
    </row>
    <row r="1235" spans="1:8" x14ac:dyDescent="0.3">
      <c r="A1235" s="161">
        <v>46029</v>
      </c>
      <c r="B1235" s="162" t="s">
        <v>787</v>
      </c>
      <c r="C1235" s="162" t="s">
        <v>788</v>
      </c>
      <c r="D1235" s="162">
        <v>0</v>
      </c>
      <c r="E1235" s="162">
        <v>1880</v>
      </c>
      <c r="F1235" s="162">
        <v>36356.639999999999</v>
      </c>
      <c r="G1235" s="162" t="s">
        <v>63</v>
      </c>
      <c r="H1235" s="162" t="s">
        <v>1779</v>
      </c>
    </row>
    <row r="1236" spans="1:8" x14ac:dyDescent="0.3">
      <c r="A1236" s="161">
        <v>46029</v>
      </c>
      <c r="B1236" s="162" t="s">
        <v>50</v>
      </c>
      <c r="C1236" s="162" t="s">
        <v>789</v>
      </c>
      <c r="D1236" s="162">
        <v>64.52</v>
      </c>
      <c r="E1236" s="162">
        <v>0</v>
      </c>
      <c r="F1236" s="162">
        <v>36292.120000000003</v>
      </c>
      <c r="G1236" s="162" t="s">
        <v>49</v>
      </c>
      <c r="H1236" s="162" t="s">
        <v>1779</v>
      </c>
    </row>
    <row r="1237" spans="1:8" x14ac:dyDescent="0.3">
      <c r="A1237" s="161">
        <v>46030</v>
      </c>
      <c r="B1237" s="162" t="s">
        <v>790</v>
      </c>
      <c r="C1237" s="162" t="s">
        <v>791</v>
      </c>
      <c r="D1237" s="162">
        <v>0</v>
      </c>
      <c r="E1237" s="162">
        <v>79</v>
      </c>
      <c r="F1237" s="162">
        <v>36371.120000000003</v>
      </c>
      <c r="G1237" s="162" t="s">
        <v>49</v>
      </c>
      <c r="H1237" s="162" t="s">
        <v>1779</v>
      </c>
    </row>
    <row r="1238" spans="1:8" x14ac:dyDescent="0.3">
      <c r="A1238" s="161">
        <v>46030</v>
      </c>
      <c r="B1238" s="162" t="s">
        <v>50</v>
      </c>
      <c r="C1238" s="162" t="s">
        <v>792</v>
      </c>
      <c r="D1238" s="162">
        <v>64.52</v>
      </c>
      <c r="E1238" s="162">
        <v>0</v>
      </c>
      <c r="F1238" s="162">
        <v>36306.6</v>
      </c>
      <c r="G1238" s="162" t="s">
        <v>49</v>
      </c>
      <c r="H1238" s="162" t="s">
        <v>1779</v>
      </c>
    </row>
    <row r="1239" spans="1:8" x14ac:dyDescent="0.3">
      <c r="A1239" s="161">
        <v>46030</v>
      </c>
      <c r="B1239" s="162" t="s">
        <v>793</v>
      </c>
      <c r="C1239" s="162" t="s">
        <v>794</v>
      </c>
      <c r="D1239" s="162">
        <v>295</v>
      </c>
      <c r="E1239" s="162">
        <v>0</v>
      </c>
      <c r="F1239" s="162">
        <v>36011.599999999999</v>
      </c>
      <c r="G1239" s="162" t="s">
        <v>7</v>
      </c>
      <c r="H1239" s="162" t="s">
        <v>1779</v>
      </c>
    </row>
    <row r="1240" spans="1:8" x14ac:dyDescent="0.3">
      <c r="A1240" s="161">
        <v>46030</v>
      </c>
      <c r="B1240" s="162" t="s">
        <v>50</v>
      </c>
      <c r="C1240" s="162" t="s">
        <v>795</v>
      </c>
      <c r="D1240" s="162">
        <v>2547.16</v>
      </c>
      <c r="E1240" s="162">
        <v>0</v>
      </c>
      <c r="F1240" s="162">
        <v>33464.44</v>
      </c>
      <c r="G1240" s="162" t="s">
        <v>49</v>
      </c>
      <c r="H1240" s="162" t="s">
        <v>1779</v>
      </c>
    </row>
    <row r="1241" spans="1:8" x14ac:dyDescent="0.3">
      <c r="A1241" s="161">
        <v>46031</v>
      </c>
      <c r="B1241" s="162" t="s">
        <v>1480</v>
      </c>
      <c r="C1241" s="162" t="s">
        <v>1005</v>
      </c>
      <c r="D1241" s="162">
        <v>3813.6</v>
      </c>
      <c r="E1241" s="162">
        <v>0</v>
      </c>
      <c r="F1241" s="162">
        <v>63747.07</v>
      </c>
      <c r="G1241" s="162" t="s">
        <v>1014</v>
      </c>
      <c r="H1241" s="162" t="s">
        <v>1680</v>
      </c>
    </row>
    <row r="1242" spans="1:8" x14ac:dyDescent="0.3">
      <c r="A1242" s="161">
        <v>46031</v>
      </c>
      <c r="B1242" s="162" t="s">
        <v>1481</v>
      </c>
      <c r="C1242" s="162" t="s">
        <v>1005</v>
      </c>
      <c r="D1242" s="162">
        <v>15</v>
      </c>
      <c r="E1242" s="162">
        <v>0</v>
      </c>
      <c r="F1242" s="162">
        <v>63732.07</v>
      </c>
      <c r="G1242" s="162" t="s">
        <v>91</v>
      </c>
      <c r="H1242" s="162" t="s">
        <v>1680</v>
      </c>
    </row>
    <row r="1243" spans="1:8" x14ac:dyDescent="0.3">
      <c r="A1243" s="161">
        <v>46031</v>
      </c>
      <c r="B1243" s="162" t="s">
        <v>50</v>
      </c>
      <c r="C1243" s="162" t="s">
        <v>797</v>
      </c>
      <c r="D1243" s="162">
        <v>1507.51</v>
      </c>
      <c r="E1243" s="162">
        <v>0</v>
      </c>
      <c r="F1243" s="162">
        <v>31893.29</v>
      </c>
      <c r="G1243" s="162" t="s">
        <v>49</v>
      </c>
      <c r="H1243" s="162" t="s">
        <v>1779</v>
      </c>
    </row>
    <row r="1244" spans="1:8" x14ac:dyDescent="0.3">
      <c r="A1244" s="161">
        <v>46031</v>
      </c>
      <c r="B1244" s="162" t="s">
        <v>50</v>
      </c>
      <c r="C1244" s="162" t="s">
        <v>796</v>
      </c>
      <c r="D1244" s="162">
        <v>63.64</v>
      </c>
      <c r="E1244" s="162">
        <v>0</v>
      </c>
      <c r="F1244" s="162">
        <v>33400.800000000003</v>
      </c>
      <c r="G1244" s="162" t="s">
        <v>49</v>
      </c>
      <c r="H1244" s="162" t="s">
        <v>1779</v>
      </c>
    </row>
    <row r="1245" spans="1:8" x14ac:dyDescent="0.3">
      <c r="A1245" s="161">
        <v>46031.784074074072</v>
      </c>
      <c r="B1245" s="162" t="s">
        <v>2400</v>
      </c>
      <c r="C1245" s="162" t="s">
        <v>2401</v>
      </c>
      <c r="D1245" s="162">
        <v>4384.5</v>
      </c>
      <c r="E1245" s="162">
        <v>0</v>
      </c>
      <c r="F1245" s="162">
        <v>20112.5</v>
      </c>
      <c r="G1245" s="162" t="s">
        <v>1014</v>
      </c>
      <c r="H1245" s="162" t="s">
        <v>1019</v>
      </c>
    </row>
    <row r="1246" spans="1:8" x14ac:dyDescent="0.3">
      <c r="A1246" s="161">
        <v>46032.832743055558</v>
      </c>
      <c r="B1246" s="162" t="s">
        <v>2402</v>
      </c>
      <c r="C1246" s="162" t="s">
        <v>2403</v>
      </c>
      <c r="D1246" s="162">
        <v>15</v>
      </c>
      <c r="E1246" s="162">
        <v>0</v>
      </c>
      <c r="F1246" s="162">
        <v>20097.5</v>
      </c>
      <c r="G1246" s="162" t="s">
        <v>91</v>
      </c>
      <c r="H1246" s="162" t="s">
        <v>1019</v>
      </c>
    </row>
    <row r="1247" spans="1:8" x14ac:dyDescent="0.3">
      <c r="A1247" s="161">
        <v>46033</v>
      </c>
      <c r="B1247" s="162" t="s">
        <v>1494</v>
      </c>
      <c r="C1247" s="162" t="s">
        <v>1005</v>
      </c>
      <c r="D1247" s="162">
        <v>20</v>
      </c>
      <c r="E1247" s="162">
        <v>0</v>
      </c>
      <c r="F1247" s="162">
        <v>63102.07</v>
      </c>
      <c r="G1247" s="162" t="s">
        <v>91</v>
      </c>
      <c r="H1247" s="162" t="s">
        <v>1680</v>
      </c>
    </row>
    <row r="1248" spans="1:8" x14ac:dyDescent="0.3">
      <c r="A1248" s="161">
        <v>46033</v>
      </c>
      <c r="B1248" s="162" t="s">
        <v>1492</v>
      </c>
      <c r="C1248" s="162" t="s">
        <v>1005</v>
      </c>
      <c r="D1248" s="162">
        <v>190</v>
      </c>
      <c r="E1248" s="162">
        <v>0</v>
      </c>
      <c r="F1248" s="162">
        <v>63122.07</v>
      </c>
      <c r="G1248" s="162" t="s">
        <v>91</v>
      </c>
      <c r="H1248" s="162" t="s">
        <v>1680</v>
      </c>
    </row>
    <row r="1249" spans="1:8" x14ac:dyDescent="0.3">
      <c r="A1249" s="161">
        <v>46033</v>
      </c>
      <c r="B1249" s="162" t="s">
        <v>1491</v>
      </c>
      <c r="C1249" s="162" t="s">
        <v>1005</v>
      </c>
      <c r="D1249" s="162">
        <v>160</v>
      </c>
      <c r="E1249" s="162">
        <v>0</v>
      </c>
      <c r="F1249" s="162">
        <v>63312.07</v>
      </c>
      <c r="G1249" s="162" t="s">
        <v>91</v>
      </c>
      <c r="H1249" s="162" t="s">
        <v>1680</v>
      </c>
    </row>
    <row r="1250" spans="1:8" x14ac:dyDescent="0.3">
      <c r="A1250" s="161">
        <v>46033</v>
      </c>
      <c r="B1250" s="162" t="s">
        <v>1489</v>
      </c>
      <c r="C1250" s="162" t="s">
        <v>1005</v>
      </c>
      <c r="D1250" s="162">
        <v>90</v>
      </c>
      <c r="E1250" s="162">
        <v>0</v>
      </c>
      <c r="F1250" s="162">
        <v>63472.07</v>
      </c>
      <c r="G1250" s="162" t="s">
        <v>91</v>
      </c>
      <c r="H1250" s="162" t="s">
        <v>1680</v>
      </c>
    </row>
    <row r="1251" spans="1:8" x14ac:dyDescent="0.3">
      <c r="A1251" s="161">
        <v>46033</v>
      </c>
      <c r="B1251" s="162" t="s">
        <v>1487</v>
      </c>
      <c r="C1251" s="162" t="s">
        <v>1005</v>
      </c>
      <c r="D1251" s="162">
        <v>50</v>
      </c>
      <c r="E1251" s="162">
        <v>0</v>
      </c>
      <c r="F1251" s="162">
        <v>63562.07</v>
      </c>
      <c r="G1251" s="162" t="s">
        <v>91</v>
      </c>
      <c r="H1251" s="162" t="s">
        <v>1680</v>
      </c>
    </row>
    <row r="1252" spans="1:8" x14ac:dyDescent="0.3">
      <c r="A1252" s="161">
        <v>46033</v>
      </c>
      <c r="B1252" s="162" t="s">
        <v>1485</v>
      </c>
      <c r="C1252" s="162" t="s">
        <v>1005</v>
      </c>
      <c r="D1252" s="162">
        <v>20</v>
      </c>
      <c r="E1252" s="162">
        <v>0</v>
      </c>
      <c r="F1252" s="162">
        <v>63612.07</v>
      </c>
      <c r="G1252" s="162" t="s">
        <v>91</v>
      </c>
      <c r="H1252" s="162" t="s">
        <v>1680</v>
      </c>
    </row>
    <row r="1253" spans="1:8" x14ac:dyDescent="0.3">
      <c r="A1253" s="161">
        <v>46033</v>
      </c>
      <c r="B1253" s="162" t="s">
        <v>1483</v>
      </c>
      <c r="C1253" s="162" t="s">
        <v>1005</v>
      </c>
      <c r="D1253" s="162">
        <v>100</v>
      </c>
      <c r="E1253" s="162">
        <v>0</v>
      </c>
      <c r="F1253" s="162">
        <v>63632.07</v>
      </c>
      <c r="G1253" s="162" t="s">
        <v>91</v>
      </c>
      <c r="H1253" s="162" t="s">
        <v>1680</v>
      </c>
    </row>
    <row r="1254" spans="1:8" x14ac:dyDescent="0.3">
      <c r="A1254" s="161">
        <v>46033.336157407408</v>
      </c>
      <c r="B1254" s="162" t="s">
        <v>2404</v>
      </c>
      <c r="C1254" s="162" t="s">
        <v>2405</v>
      </c>
      <c r="D1254" s="162">
        <v>72</v>
      </c>
      <c r="E1254" s="162">
        <v>0</v>
      </c>
      <c r="F1254" s="162">
        <v>20025.5</v>
      </c>
      <c r="G1254" s="162" t="s">
        <v>91</v>
      </c>
      <c r="H1254" s="162" t="s">
        <v>1019</v>
      </c>
    </row>
    <row r="1255" spans="1:8" x14ac:dyDescent="0.3">
      <c r="A1255" s="161">
        <v>46033.337685185194</v>
      </c>
      <c r="B1255" s="162" t="s">
        <v>2406</v>
      </c>
      <c r="C1255" s="162" t="s">
        <v>2407</v>
      </c>
      <c r="D1255" s="162">
        <v>192</v>
      </c>
      <c r="E1255" s="162">
        <v>0</v>
      </c>
      <c r="F1255" s="162">
        <v>19833.5</v>
      </c>
      <c r="G1255" s="162" t="s">
        <v>91</v>
      </c>
      <c r="H1255" s="162" t="s">
        <v>1019</v>
      </c>
    </row>
    <row r="1256" spans="1:8" x14ac:dyDescent="0.3">
      <c r="A1256" s="161">
        <v>46033.478622685187</v>
      </c>
      <c r="B1256" s="162" t="s">
        <v>2409</v>
      </c>
      <c r="C1256" s="162" t="s">
        <v>2410</v>
      </c>
      <c r="D1256" s="162">
        <v>480</v>
      </c>
      <c r="E1256" s="162">
        <v>0</v>
      </c>
      <c r="F1256" s="162">
        <v>19353.5</v>
      </c>
      <c r="G1256" s="162" t="s">
        <v>91</v>
      </c>
      <c r="H1256" s="162" t="s">
        <v>1019</v>
      </c>
    </row>
    <row r="1257" spans="1:8" x14ac:dyDescent="0.3">
      <c r="A1257" s="161">
        <v>46034</v>
      </c>
      <c r="B1257" s="162" t="s">
        <v>1496</v>
      </c>
      <c r="C1257" s="162" t="s">
        <v>1005</v>
      </c>
      <c r="D1257" s="162">
        <v>410.26</v>
      </c>
      <c r="E1257" s="162">
        <v>0</v>
      </c>
      <c r="F1257" s="162">
        <v>62691.81</v>
      </c>
      <c r="G1257" s="162" t="s">
        <v>91</v>
      </c>
      <c r="H1257" s="162" t="s">
        <v>1680</v>
      </c>
    </row>
    <row r="1258" spans="1:8" x14ac:dyDescent="0.3">
      <c r="A1258" s="161">
        <v>46034</v>
      </c>
      <c r="B1258" s="162" t="s">
        <v>1501</v>
      </c>
      <c r="C1258" s="162" t="s">
        <v>1005</v>
      </c>
      <c r="D1258" s="162">
        <v>39</v>
      </c>
      <c r="E1258" s="162">
        <v>0</v>
      </c>
      <c r="F1258" s="162">
        <v>62429.81</v>
      </c>
      <c r="G1258" s="162" t="s">
        <v>112</v>
      </c>
      <c r="H1258" s="162" t="s">
        <v>1680</v>
      </c>
    </row>
    <row r="1259" spans="1:8" x14ac:dyDescent="0.3">
      <c r="A1259" s="161">
        <v>46034</v>
      </c>
      <c r="B1259" s="162" t="s">
        <v>1502</v>
      </c>
      <c r="C1259" s="162" t="s">
        <v>1005</v>
      </c>
      <c r="D1259" s="162">
        <v>40000</v>
      </c>
      <c r="E1259" s="162">
        <v>0</v>
      </c>
      <c r="F1259" s="162">
        <v>22429.81</v>
      </c>
      <c r="G1259" s="162" t="s">
        <v>1019</v>
      </c>
      <c r="H1259" s="162" t="s">
        <v>1680</v>
      </c>
    </row>
    <row r="1260" spans="1:8" x14ac:dyDescent="0.3">
      <c r="A1260" s="161">
        <v>46034</v>
      </c>
      <c r="B1260" s="162" t="s">
        <v>1497</v>
      </c>
      <c r="C1260" s="162" t="s">
        <v>1005</v>
      </c>
      <c r="D1260" s="162">
        <v>30</v>
      </c>
      <c r="E1260" s="162">
        <v>0</v>
      </c>
      <c r="F1260" s="162">
        <v>62661.81</v>
      </c>
      <c r="G1260" s="162" t="s">
        <v>91</v>
      </c>
      <c r="H1260" s="162" t="s">
        <v>1680</v>
      </c>
    </row>
    <row r="1261" spans="1:8" x14ac:dyDescent="0.3">
      <c r="A1261" s="161">
        <v>46034</v>
      </c>
      <c r="B1261" s="162" t="s">
        <v>50</v>
      </c>
      <c r="C1261" s="162" t="s">
        <v>798</v>
      </c>
      <c r="D1261" s="162">
        <v>189.3</v>
      </c>
      <c r="E1261" s="162">
        <v>0</v>
      </c>
      <c r="F1261" s="162">
        <v>31703.99</v>
      </c>
      <c r="G1261" s="162" t="s">
        <v>49</v>
      </c>
      <c r="H1261" s="162" t="s">
        <v>1779</v>
      </c>
    </row>
    <row r="1262" spans="1:8" x14ac:dyDescent="0.3">
      <c r="A1262" s="161">
        <v>46034</v>
      </c>
      <c r="B1262" s="162" t="s">
        <v>1500</v>
      </c>
      <c r="C1262" s="162" t="s">
        <v>1005</v>
      </c>
      <c r="D1262" s="162">
        <v>121</v>
      </c>
      <c r="E1262" s="162">
        <v>0</v>
      </c>
      <c r="F1262" s="162">
        <v>62468.81</v>
      </c>
      <c r="G1262" s="162" t="s">
        <v>91</v>
      </c>
      <c r="H1262" s="162" t="s">
        <v>1680</v>
      </c>
    </row>
    <row r="1263" spans="1:8" x14ac:dyDescent="0.3">
      <c r="A1263" s="161">
        <v>46034</v>
      </c>
      <c r="B1263" s="162" t="s">
        <v>1498</v>
      </c>
      <c r="C1263" s="162" t="s">
        <v>1005</v>
      </c>
      <c r="D1263" s="162">
        <v>72</v>
      </c>
      <c r="E1263" s="162">
        <v>0</v>
      </c>
      <c r="F1263" s="162">
        <v>62589.81</v>
      </c>
      <c r="G1263" s="162" t="s">
        <v>91</v>
      </c>
      <c r="H1263" s="162" t="s">
        <v>1680</v>
      </c>
    </row>
    <row r="1264" spans="1:8" x14ac:dyDescent="0.3">
      <c r="A1264" s="161">
        <v>46034.358796296299</v>
      </c>
      <c r="B1264" s="162" t="s">
        <v>2412</v>
      </c>
      <c r="C1264" s="162" t="s">
        <v>2413</v>
      </c>
      <c r="D1264" s="162">
        <v>0</v>
      </c>
      <c r="E1264" s="162">
        <v>501</v>
      </c>
      <c r="F1264" s="162">
        <v>19854.5</v>
      </c>
      <c r="G1264" s="162" t="s">
        <v>606</v>
      </c>
      <c r="H1264" s="162" t="s">
        <v>1019</v>
      </c>
    </row>
    <row r="1265" spans="1:8" x14ac:dyDescent="0.3">
      <c r="A1265" s="161">
        <v>46034.974259259259</v>
      </c>
      <c r="B1265" s="162" t="s">
        <v>2414</v>
      </c>
      <c r="C1265" s="162" t="s">
        <v>2415</v>
      </c>
      <c r="D1265" s="162">
        <v>0</v>
      </c>
      <c r="E1265" s="162">
        <v>100.03</v>
      </c>
      <c r="F1265" s="162">
        <v>19954.53</v>
      </c>
      <c r="G1265" s="162" t="s">
        <v>1658</v>
      </c>
      <c r="H1265" s="162" t="s">
        <v>1019</v>
      </c>
    </row>
    <row r="1266" spans="1:8" x14ac:dyDescent="0.3">
      <c r="A1266" s="161">
        <v>46034.996724537043</v>
      </c>
      <c r="B1266" s="162" t="s">
        <v>2416</v>
      </c>
      <c r="C1266" s="162" t="s">
        <v>2417</v>
      </c>
      <c r="D1266" s="162">
        <v>0</v>
      </c>
      <c r="E1266" s="162">
        <v>40000</v>
      </c>
      <c r="F1266" s="162">
        <v>59954.53</v>
      </c>
      <c r="G1266" s="162" t="s">
        <v>1680</v>
      </c>
      <c r="H1266" s="162" t="s">
        <v>1019</v>
      </c>
    </row>
    <row r="1267" spans="1:8" x14ac:dyDescent="0.3">
      <c r="A1267" s="161">
        <v>46034.997187499997</v>
      </c>
      <c r="B1267" s="162" t="s">
        <v>2418</v>
      </c>
      <c r="C1267" s="162" t="s">
        <v>2419</v>
      </c>
      <c r="D1267" s="162">
        <v>40000</v>
      </c>
      <c r="E1267" s="162">
        <v>0</v>
      </c>
      <c r="F1267" s="162">
        <v>19954.53</v>
      </c>
      <c r="G1267" s="162" t="s">
        <v>1028</v>
      </c>
      <c r="H1267" s="162" t="s">
        <v>1019</v>
      </c>
    </row>
    <row r="1268" spans="1:8" x14ac:dyDescent="0.3">
      <c r="A1268" s="161">
        <v>46035</v>
      </c>
      <c r="B1268" s="162" t="s">
        <v>50</v>
      </c>
      <c r="C1268" s="162" t="s">
        <v>803</v>
      </c>
      <c r="D1268" s="162">
        <v>2035.9</v>
      </c>
      <c r="E1268" s="162">
        <v>0</v>
      </c>
      <c r="F1268" s="162">
        <v>30359.119999999999</v>
      </c>
      <c r="G1268" s="162" t="s">
        <v>49</v>
      </c>
      <c r="H1268" s="162" t="s">
        <v>1779</v>
      </c>
    </row>
    <row r="1269" spans="1:8" x14ac:dyDescent="0.3">
      <c r="A1269" s="161">
        <v>46035</v>
      </c>
      <c r="B1269" s="162" t="s">
        <v>799</v>
      </c>
      <c r="C1269" s="162" t="s">
        <v>800</v>
      </c>
      <c r="D1269" s="162">
        <v>0</v>
      </c>
      <c r="E1269" s="162">
        <v>836.73</v>
      </c>
      <c r="F1269" s="162">
        <v>32540.720000000001</v>
      </c>
      <c r="G1269" s="162" t="s">
        <v>49</v>
      </c>
      <c r="H1269" s="162" t="s">
        <v>1779</v>
      </c>
    </row>
    <row r="1270" spans="1:8" x14ac:dyDescent="0.3">
      <c r="A1270" s="161">
        <v>46035</v>
      </c>
      <c r="B1270" s="162" t="s">
        <v>50</v>
      </c>
      <c r="C1270" s="162" t="s">
        <v>801</v>
      </c>
      <c r="D1270" s="162">
        <v>63.1</v>
      </c>
      <c r="E1270" s="162">
        <v>0</v>
      </c>
      <c r="F1270" s="162">
        <v>32477.62</v>
      </c>
      <c r="G1270" s="162" t="s">
        <v>49</v>
      </c>
      <c r="H1270" s="162" t="s">
        <v>1779</v>
      </c>
    </row>
    <row r="1271" spans="1:8" x14ac:dyDescent="0.3">
      <c r="A1271" s="161">
        <v>46035</v>
      </c>
      <c r="B1271" s="162" t="s">
        <v>1503</v>
      </c>
      <c r="C1271" s="162" t="s">
        <v>1005</v>
      </c>
      <c r="D1271" s="162">
        <v>20</v>
      </c>
      <c r="E1271" s="162">
        <v>0</v>
      </c>
      <c r="F1271" s="162">
        <v>22409.81</v>
      </c>
      <c r="G1271" s="162" t="s">
        <v>91</v>
      </c>
      <c r="H1271" s="162" t="s">
        <v>1680</v>
      </c>
    </row>
    <row r="1272" spans="1:8" x14ac:dyDescent="0.3">
      <c r="A1272" s="161">
        <v>46035</v>
      </c>
      <c r="B1272" s="162" t="s">
        <v>802</v>
      </c>
      <c r="C1272" s="162" t="s">
        <v>83</v>
      </c>
      <c r="D1272" s="162">
        <v>82.6</v>
      </c>
      <c r="E1272" s="162">
        <v>0</v>
      </c>
      <c r="F1272" s="162">
        <v>32395.02</v>
      </c>
      <c r="G1272" s="162" t="s">
        <v>9</v>
      </c>
      <c r="H1272" s="162" t="s">
        <v>1779</v>
      </c>
    </row>
    <row r="1273" spans="1:8" x14ac:dyDescent="0.3">
      <c r="A1273" s="161">
        <v>46035</v>
      </c>
      <c r="B1273" s="162" t="s">
        <v>1505</v>
      </c>
      <c r="C1273" s="162" t="s">
        <v>1005</v>
      </c>
      <c r="D1273" s="162">
        <v>20</v>
      </c>
      <c r="E1273" s="162">
        <v>0</v>
      </c>
      <c r="F1273" s="162">
        <v>22389.81</v>
      </c>
      <c r="G1273" s="162" t="s">
        <v>91</v>
      </c>
      <c r="H1273" s="162" t="s">
        <v>1680</v>
      </c>
    </row>
    <row r="1274" spans="1:8" x14ac:dyDescent="0.3">
      <c r="A1274" s="161">
        <v>46035</v>
      </c>
      <c r="B1274" s="162" t="s">
        <v>1769</v>
      </c>
      <c r="C1274" s="162"/>
      <c r="D1274" s="162">
        <v>470</v>
      </c>
      <c r="E1274" s="162">
        <v>0</v>
      </c>
      <c r="F1274" s="162">
        <v>15832.29</v>
      </c>
      <c r="G1274" s="162" t="s">
        <v>91</v>
      </c>
      <c r="H1274" s="162" t="s">
        <v>837</v>
      </c>
    </row>
    <row r="1275" spans="1:8" x14ac:dyDescent="0.3">
      <c r="A1275" s="161">
        <v>46036</v>
      </c>
      <c r="B1275" s="162" t="s">
        <v>50</v>
      </c>
      <c r="C1275" s="162" t="s">
        <v>804</v>
      </c>
      <c r="D1275" s="162">
        <v>62.67</v>
      </c>
      <c r="E1275" s="162">
        <v>0</v>
      </c>
      <c r="F1275" s="162">
        <v>30296.45</v>
      </c>
      <c r="G1275" s="162" t="s">
        <v>49</v>
      </c>
      <c r="H1275" s="162" t="s">
        <v>1779</v>
      </c>
    </row>
    <row r="1276" spans="1:8" x14ac:dyDescent="0.3">
      <c r="A1276" s="161">
        <v>46037</v>
      </c>
      <c r="B1276" s="162" t="s">
        <v>1506</v>
      </c>
      <c r="C1276" s="162" t="s">
        <v>1005</v>
      </c>
      <c r="D1276" s="162">
        <v>245</v>
      </c>
      <c r="E1276" s="162">
        <v>0</v>
      </c>
      <c r="F1276" s="162">
        <v>22144.81</v>
      </c>
      <c r="G1276" s="162" t="s">
        <v>91</v>
      </c>
      <c r="H1276" s="162" t="s">
        <v>1680</v>
      </c>
    </row>
    <row r="1277" spans="1:8" x14ac:dyDescent="0.3">
      <c r="A1277" s="161">
        <v>46037</v>
      </c>
      <c r="B1277" s="162" t="s">
        <v>1508</v>
      </c>
      <c r="C1277" s="162" t="s">
        <v>1005</v>
      </c>
      <c r="D1277" s="162">
        <v>45</v>
      </c>
      <c r="E1277" s="162">
        <v>0</v>
      </c>
      <c r="F1277" s="162">
        <v>22099.81</v>
      </c>
      <c r="G1277" s="162" t="s">
        <v>91</v>
      </c>
      <c r="H1277" s="162" t="s">
        <v>1680</v>
      </c>
    </row>
    <row r="1278" spans="1:8" x14ac:dyDescent="0.3">
      <c r="A1278" s="161">
        <v>46037</v>
      </c>
      <c r="B1278" s="162" t="s">
        <v>1771</v>
      </c>
      <c r="C1278" s="162"/>
      <c r="D1278" s="162">
        <v>50</v>
      </c>
      <c r="E1278" s="162">
        <v>0</v>
      </c>
      <c r="F1278" s="162">
        <v>15782.29</v>
      </c>
      <c r="G1278" s="162" t="s">
        <v>91</v>
      </c>
      <c r="H1278" s="162" t="s">
        <v>837</v>
      </c>
    </row>
    <row r="1279" spans="1:8" x14ac:dyDescent="0.3">
      <c r="A1279" s="161">
        <v>46037</v>
      </c>
      <c r="B1279" s="162" t="s">
        <v>1773</v>
      </c>
      <c r="C1279" s="162"/>
      <c r="D1279" s="162">
        <v>0</v>
      </c>
      <c r="E1279" s="162">
        <v>4217.71</v>
      </c>
      <c r="F1279" s="162">
        <v>20000</v>
      </c>
      <c r="G1279" s="162" t="s">
        <v>1019</v>
      </c>
      <c r="H1279" s="162" t="s">
        <v>837</v>
      </c>
    </row>
    <row r="1280" spans="1:8" x14ac:dyDescent="0.3">
      <c r="A1280" s="161">
        <v>46037</v>
      </c>
      <c r="B1280" s="162" t="s">
        <v>1774</v>
      </c>
      <c r="C1280" s="162"/>
      <c r="D1280" s="162">
        <v>0</v>
      </c>
      <c r="E1280" s="162">
        <v>8000</v>
      </c>
      <c r="F1280" s="162">
        <v>28000</v>
      </c>
      <c r="G1280" s="162" t="s">
        <v>1019</v>
      </c>
      <c r="H1280" s="162" t="s">
        <v>837</v>
      </c>
    </row>
    <row r="1281" spans="1:8" x14ac:dyDescent="0.3">
      <c r="A1281" s="161">
        <v>46037.904490740737</v>
      </c>
      <c r="B1281" s="162" t="s">
        <v>2420</v>
      </c>
      <c r="C1281" s="162" t="s">
        <v>2421</v>
      </c>
      <c r="D1281" s="162">
        <v>4217.71</v>
      </c>
      <c r="E1281" s="162">
        <v>0</v>
      </c>
      <c r="F1281" s="162">
        <v>15736.82</v>
      </c>
      <c r="G1281" s="162" t="s">
        <v>837</v>
      </c>
      <c r="H1281" s="162" t="s">
        <v>1019</v>
      </c>
    </row>
    <row r="1282" spans="1:8" x14ac:dyDescent="0.3">
      <c r="A1282" s="161">
        <v>46037.907372685193</v>
      </c>
      <c r="B1282" s="162" t="s">
        <v>2422</v>
      </c>
      <c r="C1282" s="162" t="s">
        <v>2423</v>
      </c>
      <c r="D1282" s="162">
        <v>8000</v>
      </c>
      <c r="E1282" s="162">
        <v>0</v>
      </c>
      <c r="F1282" s="162">
        <v>7736.82</v>
      </c>
      <c r="G1282" s="162" t="s">
        <v>837</v>
      </c>
      <c r="H1282" s="162" t="s">
        <v>1019</v>
      </c>
    </row>
    <row r="1283" spans="1:8" x14ac:dyDescent="0.3">
      <c r="A1283" s="161">
        <v>46038</v>
      </c>
      <c r="B1283" s="162" t="s">
        <v>805</v>
      </c>
      <c r="C1283" s="162" t="s">
        <v>806</v>
      </c>
      <c r="D1283" s="162">
        <v>0</v>
      </c>
      <c r="E1283" s="162">
        <v>697.51</v>
      </c>
      <c r="F1283" s="162">
        <v>30993.96</v>
      </c>
      <c r="G1283" s="162" t="s">
        <v>49</v>
      </c>
      <c r="H1283" s="162" t="s">
        <v>1779</v>
      </c>
    </row>
    <row r="1284" spans="1:8" x14ac:dyDescent="0.3">
      <c r="A1284" s="161">
        <v>46038</v>
      </c>
      <c r="B1284" s="162" t="s">
        <v>1510</v>
      </c>
      <c r="C1284" s="162" t="s">
        <v>1005</v>
      </c>
      <c r="D1284" s="162">
        <v>125</v>
      </c>
      <c r="E1284" s="162">
        <v>0</v>
      </c>
      <c r="F1284" s="162">
        <v>21974.81</v>
      </c>
      <c r="G1284" s="162" t="s">
        <v>91</v>
      </c>
      <c r="H1284" s="162" t="s">
        <v>1680</v>
      </c>
    </row>
    <row r="1285" spans="1:8" x14ac:dyDescent="0.3">
      <c r="A1285" s="161">
        <v>46038</v>
      </c>
      <c r="B1285" s="162" t="s">
        <v>50</v>
      </c>
      <c r="C1285" s="162" t="s">
        <v>808</v>
      </c>
      <c r="D1285" s="162">
        <v>1079.57</v>
      </c>
      <c r="E1285" s="162">
        <v>0</v>
      </c>
      <c r="F1285" s="162">
        <v>29789.05</v>
      </c>
      <c r="G1285" s="162" t="s">
        <v>49</v>
      </c>
      <c r="H1285" s="162" t="s">
        <v>1779</v>
      </c>
    </row>
    <row r="1286" spans="1:8" x14ac:dyDescent="0.3">
      <c r="A1286" s="161">
        <v>46038</v>
      </c>
      <c r="B1286" s="162" t="s">
        <v>50</v>
      </c>
      <c r="C1286" s="162" t="s">
        <v>807</v>
      </c>
      <c r="D1286" s="162">
        <v>125.34</v>
      </c>
      <c r="E1286" s="162">
        <v>0</v>
      </c>
      <c r="F1286" s="162">
        <v>30868.62</v>
      </c>
      <c r="G1286" s="162" t="s">
        <v>49</v>
      </c>
      <c r="H1286" s="162" t="s">
        <v>1779</v>
      </c>
    </row>
    <row r="1287" spans="1:8" x14ac:dyDescent="0.3">
      <c r="A1287" s="161">
        <v>46038.970833333333</v>
      </c>
      <c r="B1287" s="162" t="s">
        <v>2424</v>
      </c>
      <c r="C1287" s="162" t="s">
        <v>2425</v>
      </c>
      <c r="D1287" s="162">
        <v>1930.19</v>
      </c>
      <c r="E1287" s="162">
        <v>0</v>
      </c>
      <c r="F1287" s="162">
        <v>5806.63</v>
      </c>
      <c r="G1287" s="162" t="s">
        <v>1189</v>
      </c>
      <c r="H1287" s="162" t="s">
        <v>1019</v>
      </c>
    </row>
    <row r="1288" spans="1:8" x14ac:dyDescent="0.3">
      <c r="A1288" s="161">
        <v>46039</v>
      </c>
      <c r="B1288" s="162" t="s">
        <v>1512</v>
      </c>
      <c r="C1288" s="162" t="s">
        <v>1005</v>
      </c>
      <c r="D1288" s="162">
        <v>30</v>
      </c>
      <c r="E1288" s="162">
        <v>0</v>
      </c>
      <c r="F1288" s="162">
        <v>21944.81</v>
      </c>
      <c r="G1288" s="162" t="s">
        <v>91</v>
      </c>
      <c r="H1288" s="162" t="s">
        <v>1680</v>
      </c>
    </row>
    <row r="1289" spans="1:8" x14ac:dyDescent="0.3">
      <c r="A1289" s="161">
        <v>46039</v>
      </c>
      <c r="B1289" s="162" t="s">
        <v>1469</v>
      </c>
      <c r="C1289" s="162" t="s">
        <v>1005</v>
      </c>
      <c r="D1289" s="162">
        <v>0</v>
      </c>
      <c r="E1289" s="162">
        <v>2000</v>
      </c>
      <c r="F1289" s="162">
        <v>23944.81</v>
      </c>
      <c r="G1289" s="162" t="s">
        <v>996</v>
      </c>
      <c r="H1289" s="162" t="s">
        <v>1680</v>
      </c>
    </row>
    <row r="1290" spans="1:8" x14ac:dyDescent="0.3">
      <c r="A1290" s="161">
        <v>46039</v>
      </c>
      <c r="B1290" s="162" t="s">
        <v>1514</v>
      </c>
      <c r="C1290" s="162" t="s">
        <v>1005</v>
      </c>
      <c r="D1290" s="162">
        <v>90</v>
      </c>
      <c r="E1290" s="162">
        <v>0</v>
      </c>
      <c r="F1290" s="162">
        <v>11660.81</v>
      </c>
      <c r="G1290" s="162" t="s">
        <v>91</v>
      </c>
      <c r="H1290" s="162" t="s">
        <v>1680</v>
      </c>
    </row>
    <row r="1291" spans="1:8" x14ac:dyDescent="0.3">
      <c r="A1291" s="161">
        <v>46039</v>
      </c>
      <c r="B1291" s="162" t="s">
        <v>1516</v>
      </c>
      <c r="C1291" s="162" t="s">
        <v>1005</v>
      </c>
      <c r="D1291" s="162">
        <v>260</v>
      </c>
      <c r="E1291" s="162">
        <v>0</v>
      </c>
      <c r="F1291" s="162">
        <v>11400.81</v>
      </c>
      <c r="G1291" s="162" t="s">
        <v>91</v>
      </c>
      <c r="H1291" s="162" t="s">
        <v>1680</v>
      </c>
    </row>
    <row r="1292" spans="1:8" x14ac:dyDescent="0.3">
      <c r="A1292" s="161">
        <v>46039</v>
      </c>
      <c r="B1292" s="162" t="s">
        <v>1518</v>
      </c>
      <c r="C1292" s="162" t="s">
        <v>1005</v>
      </c>
      <c r="D1292" s="162">
        <v>10</v>
      </c>
      <c r="E1292" s="162">
        <v>0</v>
      </c>
      <c r="F1292" s="162">
        <v>11390.81</v>
      </c>
      <c r="G1292" s="162" t="s">
        <v>91</v>
      </c>
      <c r="H1292" s="162" t="s">
        <v>1680</v>
      </c>
    </row>
    <row r="1293" spans="1:8" x14ac:dyDescent="0.3">
      <c r="A1293" s="161">
        <v>46039</v>
      </c>
      <c r="B1293" s="162" t="s">
        <v>1513</v>
      </c>
      <c r="C1293" s="162" t="s">
        <v>1005</v>
      </c>
      <c r="D1293" s="162">
        <v>12194</v>
      </c>
      <c r="E1293" s="162">
        <v>0</v>
      </c>
      <c r="F1293" s="162">
        <v>11750.81</v>
      </c>
      <c r="G1293" s="162" t="s">
        <v>1019</v>
      </c>
      <c r="H1293" s="162" t="s">
        <v>1680</v>
      </c>
    </row>
    <row r="1294" spans="1:8" x14ac:dyDescent="0.3">
      <c r="A1294" s="161">
        <v>46039.45815972222</v>
      </c>
      <c r="B1294" s="162" t="s">
        <v>2426</v>
      </c>
      <c r="C1294" s="162" t="s">
        <v>2427</v>
      </c>
      <c r="D1294" s="162">
        <v>0</v>
      </c>
      <c r="E1294" s="162">
        <v>12194</v>
      </c>
      <c r="F1294" s="162">
        <v>18000.63</v>
      </c>
      <c r="G1294" s="162" t="s">
        <v>1680</v>
      </c>
      <c r="H1294" s="162" t="s">
        <v>1019</v>
      </c>
    </row>
    <row r="1295" spans="1:8" x14ac:dyDescent="0.3">
      <c r="A1295" s="161">
        <v>46040</v>
      </c>
      <c r="B1295" s="162" t="s">
        <v>1521</v>
      </c>
      <c r="C1295" s="162" t="s">
        <v>1005</v>
      </c>
      <c r="D1295" s="162">
        <v>3614.3</v>
      </c>
      <c r="E1295" s="162">
        <v>0</v>
      </c>
      <c r="F1295" s="162">
        <v>7537.51</v>
      </c>
      <c r="G1295" s="162" t="s">
        <v>131</v>
      </c>
      <c r="H1295" s="162" t="s">
        <v>1680</v>
      </c>
    </row>
    <row r="1296" spans="1:8" x14ac:dyDescent="0.3">
      <c r="A1296" s="161">
        <v>46040</v>
      </c>
      <c r="B1296" s="162" t="s">
        <v>1520</v>
      </c>
      <c r="C1296" s="162" t="s">
        <v>1005</v>
      </c>
      <c r="D1296" s="162">
        <v>239</v>
      </c>
      <c r="E1296" s="162">
        <v>0</v>
      </c>
      <c r="F1296" s="162">
        <v>11151.81</v>
      </c>
      <c r="G1296" s="162" t="s">
        <v>91</v>
      </c>
      <c r="H1296" s="162" t="s">
        <v>1680</v>
      </c>
    </row>
    <row r="1297" spans="1:8" x14ac:dyDescent="0.3">
      <c r="A1297" s="161">
        <v>46041</v>
      </c>
      <c r="B1297" s="162" t="s">
        <v>1525</v>
      </c>
      <c r="C1297" s="162" t="s">
        <v>1005</v>
      </c>
      <c r="D1297" s="162">
        <v>30</v>
      </c>
      <c r="E1297" s="162">
        <v>0</v>
      </c>
      <c r="F1297" s="162">
        <v>4982.51</v>
      </c>
      <c r="G1297" s="162" t="s">
        <v>91</v>
      </c>
      <c r="H1297" s="162" t="s">
        <v>1680</v>
      </c>
    </row>
    <row r="1298" spans="1:8" x14ac:dyDescent="0.3">
      <c r="A1298" s="161">
        <v>46041</v>
      </c>
      <c r="B1298" s="162" t="s">
        <v>1523</v>
      </c>
      <c r="C1298" s="162" t="s">
        <v>1005</v>
      </c>
      <c r="D1298" s="162">
        <v>195</v>
      </c>
      <c r="E1298" s="162">
        <v>0</v>
      </c>
      <c r="F1298" s="162">
        <v>5012.51</v>
      </c>
      <c r="G1298" s="162" t="s">
        <v>91</v>
      </c>
      <c r="H1298" s="162" t="s">
        <v>1680</v>
      </c>
    </row>
    <row r="1299" spans="1:8" x14ac:dyDescent="0.3">
      <c r="A1299" s="161">
        <v>46041</v>
      </c>
      <c r="B1299" s="162" t="s">
        <v>1522</v>
      </c>
      <c r="C1299" s="162" t="s">
        <v>1005</v>
      </c>
      <c r="D1299" s="162">
        <v>2330</v>
      </c>
      <c r="E1299" s="162">
        <v>0</v>
      </c>
      <c r="F1299" s="162">
        <v>5207.51</v>
      </c>
      <c r="G1299" s="162" t="s">
        <v>1176</v>
      </c>
      <c r="H1299" s="162" t="s">
        <v>1680</v>
      </c>
    </row>
    <row r="1300" spans="1:8" x14ac:dyDescent="0.3">
      <c r="A1300" s="161">
        <v>46041</v>
      </c>
      <c r="B1300" s="162" t="s">
        <v>50</v>
      </c>
      <c r="C1300" s="162" t="s">
        <v>809</v>
      </c>
      <c r="D1300" s="162">
        <v>187.62</v>
      </c>
      <c r="E1300" s="162">
        <v>0</v>
      </c>
      <c r="F1300" s="162">
        <v>29601.43</v>
      </c>
      <c r="G1300" s="162" t="s">
        <v>49</v>
      </c>
      <c r="H1300" s="162" t="s">
        <v>1779</v>
      </c>
    </row>
    <row r="1301" spans="1:8" x14ac:dyDescent="0.3">
      <c r="A1301" s="161">
        <v>46042</v>
      </c>
      <c r="B1301" s="162" t="s">
        <v>810</v>
      </c>
      <c r="C1301" s="162" t="s">
        <v>811</v>
      </c>
      <c r="D1301" s="162">
        <v>0</v>
      </c>
      <c r="E1301" s="162">
        <v>436.02</v>
      </c>
      <c r="F1301" s="162">
        <v>30037.45</v>
      </c>
      <c r="G1301" s="162" t="s">
        <v>49</v>
      </c>
      <c r="H1301" s="162" t="s">
        <v>1779</v>
      </c>
    </row>
    <row r="1302" spans="1:8" x14ac:dyDescent="0.3">
      <c r="A1302" s="161">
        <v>46042</v>
      </c>
      <c r="B1302" s="162" t="s">
        <v>50</v>
      </c>
      <c r="C1302" s="162" t="s">
        <v>812</v>
      </c>
      <c r="D1302" s="162">
        <v>62.54</v>
      </c>
      <c r="E1302" s="162">
        <v>0</v>
      </c>
      <c r="F1302" s="162">
        <v>29974.91</v>
      </c>
      <c r="G1302" s="162" t="s">
        <v>49</v>
      </c>
      <c r="H1302" s="162" t="s">
        <v>1779</v>
      </c>
    </row>
    <row r="1303" spans="1:8" x14ac:dyDescent="0.3">
      <c r="A1303" s="161">
        <v>46042</v>
      </c>
      <c r="B1303" s="162" t="s">
        <v>50</v>
      </c>
      <c r="C1303" s="162" t="s">
        <v>813</v>
      </c>
      <c r="D1303" s="162">
        <v>2744.55</v>
      </c>
      <c r="E1303" s="162">
        <v>0</v>
      </c>
      <c r="F1303" s="162">
        <v>27230.36</v>
      </c>
      <c r="G1303" s="162" t="s">
        <v>49</v>
      </c>
      <c r="H1303" s="162" t="s">
        <v>1779</v>
      </c>
    </row>
    <row r="1304" spans="1:8" x14ac:dyDescent="0.3">
      <c r="A1304" s="161">
        <v>46043</v>
      </c>
      <c r="B1304" s="162" t="s">
        <v>50</v>
      </c>
      <c r="C1304" s="162" t="s">
        <v>815</v>
      </c>
      <c r="D1304" s="162">
        <v>1847.74</v>
      </c>
      <c r="E1304" s="162">
        <v>0</v>
      </c>
      <c r="F1304" s="162">
        <v>25320.91</v>
      </c>
      <c r="G1304" s="162" t="s">
        <v>49</v>
      </c>
      <c r="H1304" s="162" t="s">
        <v>1779</v>
      </c>
    </row>
    <row r="1305" spans="1:8" x14ac:dyDescent="0.3">
      <c r="A1305" s="161">
        <v>46043</v>
      </c>
      <c r="B1305" s="162" t="s">
        <v>50</v>
      </c>
      <c r="C1305" s="162" t="s">
        <v>814</v>
      </c>
      <c r="D1305" s="162">
        <v>61.71</v>
      </c>
      <c r="E1305" s="162">
        <v>0</v>
      </c>
      <c r="F1305" s="162">
        <v>27168.65</v>
      </c>
      <c r="G1305" s="162" t="s">
        <v>49</v>
      </c>
      <c r="H1305" s="162" t="s">
        <v>1779</v>
      </c>
    </row>
    <row r="1306" spans="1:8" x14ac:dyDescent="0.3">
      <c r="A1306" s="161">
        <v>46043</v>
      </c>
      <c r="B1306" s="162" t="s">
        <v>1775</v>
      </c>
      <c r="C1306" s="162"/>
      <c r="D1306" s="162">
        <v>0</v>
      </c>
      <c r="E1306" s="162">
        <v>318</v>
      </c>
      <c r="F1306" s="162">
        <v>28318</v>
      </c>
      <c r="G1306" s="162" t="s">
        <v>91</v>
      </c>
      <c r="H1306" s="162" t="s">
        <v>837</v>
      </c>
    </row>
    <row r="1307" spans="1:8" x14ac:dyDescent="0.3">
      <c r="A1307" s="161">
        <v>46044</v>
      </c>
      <c r="B1307" s="162" t="s">
        <v>1526</v>
      </c>
      <c r="C1307" s="162" t="s">
        <v>1005</v>
      </c>
      <c r="D1307" s="162">
        <v>30</v>
      </c>
      <c r="E1307" s="162">
        <v>0</v>
      </c>
      <c r="F1307" s="162">
        <v>4952.51</v>
      </c>
      <c r="G1307" s="162" t="s">
        <v>91</v>
      </c>
      <c r="H1307" s="162" t="s">
        <v>1680</v>
      </c>
    </row>
    <row r="1308" spans="1:8" x14ac:dyDescent="0.3">
      <c r="A1308" s="161">
        <v>46044</v>
      </c>
      <c r="B1308" s="162" t="s">
        <v>50</v>
      </c>
      <c r="C1308" s="162" t="s">
        <v>816</v>
      </c>
      <c r="D1308" s="162">
        <v>61.06</v>
      </c>
      <c r="E1308" s="162">
        <v>0</v>
      </c>
      <c r="F1308" s="162">
        <v>25259.85</v>
      </c>
      <c r="G1308" s="162" t="s">
        <v>49</v>
      </c>
      <c r="H1308" s="162" t="s">
        <v>1779</v>
      </c>
    </row>
    <row r="1309" spans="1:8" x14ac:dyDescent="0.3">
      <c r="A1309" s="161">
        <v>46044</v>
      </c>
      <c r="B1309" s="162" t="s">
        <v>1527</v>
      </c>
      <c r="C1309" s="162" t="s">
        <v>1005</v>
      </c>
      <c r="D1309" s="162">
        <v>20</v>
      </c>
      <c r="E1309" s="162">
        <v>0</v>
      </c>
      <c r="F1309" s="162">
        <v>4932.51</v>
      </c>
      <c r="G1309" s="162" t="s">
        <v>91</v>
      </c>
      <c r="H1309" s="162" t="s">
        <v>1680</v>
      </c>
    </row>
    <row r="1310" spans="1:8" x14ac:dyDescent="0.3">
      <c r="A1310" s="161">
        <v>46045</v>
      </c>
      <c r="B1310" s="162" t="s">
        <v>817</v>
      </c>
      <c r="C1310" s="162" t="s">
        <v>818</v>
      </c>
      <c r="D1310" s="162">
        <v>0</v>
      </c>
      <c r="E1310" s="162">
        <v>1929.96</v>
      </c>
      <c r="F1310" s="162">
        <v>27189.81</v>
      </c>
      <c r="G1310" s="162" t="s">
        <v>49</v>
      </c>
      <c r="H1310" s="162" t="s">
        <v>1779</v>
      </c>
    </row>
    <row r="1311" spans="1:8" x14ac:dyDescent="0.3">
      <c r="A1311" s="161">
        <v>46045</v>
      </c>
      <c r="B1311" s="162" t="s">
        <v>50</v>
      </c>
      <c r="C1311" s="162" t="s">
        <v>819</v>
      </c>
      <c r="D1311" s="162">
        <v>61.06</v>
      </c>
      <c r="E1311" s="162">
        <v>0</v>
      </c>
      <c r="F1311" s="162">
        <v>27128.75</v>
      </c>
      <c r="G1311" s="162" t="s">
        <v>49</v>
      </c>
      <c r="H1311" s="162" t="s">
        <v>1779</v>
      </c>
    </row>
    <row r="1312" spans="1:8" x14ac:dyDescent="0.3">
      <c r="A1312" s="161">
        <v>46045</v>
      </c>
      <c r="B1312" s="162" t="s">
        <v>50</v>
      </c>
      <c r="C1312" s="162" t="s">
        <v>820</v>
      </c>
      <c r="D1312" s="162">
        <v>1838.94</v>
      </c>
      <c r="E1312" s="162">
        <v>0</v>
      </c>
      <c r="F1312" s="162">
        <v>25289.81</v>
      </c>
      <c r="G1312" s="162" t="s">
        <v>49</v>
      </c>
      <c r="H1312" s="162" t="s">
        <v>1779</v>
      </c>
    </row>
    <row r="1313" spans="1:8" x14ac:dyDescent="0.3">
      <c r="A1313" s="161">
        <v>46046</v>
      </c>
      <c r="B1313" s="162" t="s">
        <v>1530</v>
      </c>
      <c r="C1313" s="162" t="s">
        <v>1005</v>
      </c>
      <c r="D1313" s="162">
        <v>1100</v>
      </c>
      <c r="E1313" s="162">
        <v>0</v>
      </c>
      <c r="F1313" s="162">
        <v>3572.51</v>
      </c>
      <c r="G1313" s="162" t="s">
        <v>91</v>
      </c>
      <c r="H1313" s="162" t="s">
        <v>1680</v>
      </c>
    </row>
    <row r="1314" spans="1:8" x14ac:dyDescent="0.3">
      <c r="A1314" s="161">
        <v>46046</v>
      </c>
      <c r="B1314" s="162" t="s">
        <v>1528</v>
      </c>
      <c r="C1314" s="162" t="s">
        <v>1005</v>
      </c>
      <c r="D1314" s="162">
        <v>260</v>
      </c>
      <c r="E1314" s="162">
        <v>0</v>
      </c>
      <c r="F1314" s="162">
        <v>4672.51</v>
      </c>
      <c r="G1314" s="162" t="s">
        <v>91</v>
      </c>
      <c r="H1314" s="162" t="s">
        <v>1680</v>
      </c>
    </row>
    <row r="1315" spans="1:8" x14ac:dyDescent="0.3">
      <c r="A1315" s="161">
        <v>46047</v>
      </c>
      <c r="B1315" s="162" t="s">
        <v>1534</v>
      </c>
      <c r="C1315" s="162" t="s">
        <v>1005</v>
      </c>
      <c r="D1315" s="162">
        <v>250</v>
      </c>
      <c r="E1315" s="162">
        <v>0</v>
      </c>
      <c r="F1315" s="162">
        <v>3292.51</v>
      </c>
      <c r="G1315" s="162" t="s">
        <v>91</v>
      </c>
      <c r="H1315" s="162" t="s">
        <v>1680</v>
      </c>
    </row>
    <row r="1316" spans="1:8" x14ac:dyDescent="0.3">
      <c r="A1316" s="161">
        <v>46047</v>
      </c>
      <c r="B1316" s="162" t="s">
        <v>1536</v>
      </c>
      <c r="C1316" s="162" t="s">
        <v>1005</v>
      </c>
      <c r="D1316" s="162">
        <v>120</v>
      </c>
      <c r="E1316" s="162">
        <v>0</v>
      </c>
      <c r="F1316" s="162">
        <v>3172.51</v>
      </c>
      <c r="G1316" s="162" t="s">
        <v>91</v>
      </c>
      <c r="H1316" s="162" t="s">
        <v>1680</v>
      </c>
    </row>
    <row r="1317" spans="1:8" x14ac:dyDescent="0.3">
      <c r="A1317" s="161">
        <v>46047</v>
      </c>
      <c r="B1317" s="162" t="s">
        <v>1532</v>
      </c>
      <c r="C1317" s="162" t="s">
        <v>1005</v>
      </c>
      <c r="D1317" s="162">
        <v>30</v>
      </c>
      <c r="E1317" s="162">
        <v>0</v>
      </c>
      <c r="F1317" s="162">
        <v>3542.51</v>
      </c>
      <c r="G1317" s="162" t="s">
        <v>91</v>
      </c>
      <c r="H1317" s="162" t="s">
        <v>1680</v>
      </c>
    </row>
    <row r="1318" spans="1:8" x14ac:dyDescent="0.3">
      <c r="A1318" s="161">
        <v>46047.564502314817</v>
      </c>
      <c r="B1318" s="162" t="s">
        <v>2428</v>
      </c>
      <c r="C1318" s="162" t="s">
        <v>2429</v>
      </c>
      <c r="D1318" s="162">
        <v>120</v>
      </c>
      <c r="E1318" s="162">
        <v>0</v>
      </c>
      <c r="F1318" s="162">
        <v>17880.63</v>
      </c>
      <c r="G1318" s="162" t="s">
        <v>91</v>
      </c>
      <c r="H1318" s="162" t="s">
        <v>1019</v>
      </c>
    </row>
    <row r="1319" spans="1:8" x14ac:dyDescent="0.3">
      <c r="A1319" s="161">
        <v>46048</v>
      </c>
      <c r="B1319" s="162" t="s">
        <v>1537</v>
      </c>
      <c r="C1319" s="162" t="s">
        <v>1005</v>
      </c>
      <c r="D1319" s="162">
        <v>0</v>
      </c>
      <c r="E1319" s="162">
        <v>1100</v>
      </c>
      <c r="F1319" s="162">
        <v>4272.51</v>
      </c>
      <c r="G1319" s="162" t="s">
        <v>91</v>
      </c>
      <c r="H1319" s="162" t="s">
        <v>1680</v>
      </c>
    </row>
    <row r="1320" spans="1:8" x14ac:dyDescent="0.3">
      <c r="A1320" s="161">
        <v>46049</v>
      </c>
      <c r="B1320" s="162" t="s">
        <v>50</v>
      </c>
      <c r="C1320" s="162" t="s">
        <v>822</v>
      </c>
      <c r="D1320" s="162">
        <v>3472.79</v>
      </c>
      <c r="E1320" s="162">
        <v>0</v>
      </c>
      <c r="F1320" s="162">
        <v>21572.66</v>
      </c>
      <c r="G1320" s="162" t="s">
        <v>49</v>
      </c>
      <c r="H1320" s="162" t="s">
        <v>1779</v>
      </c>
    </row>
    <row r="1321" spans="1:8" x14ac:dyDescent="0.3">
      <c r="A1321" s="161">
        <v>46049</v>
      </c>
      <c r="B1321" s="162" t="s">
        <v>50</v>
      </c>
      <c r="C1321" s="162" t="s">
        <v>821</v>
      </c>
      <c r="D1321" s="162">
        <v>244.36</v>
      </c>
      <c r="E1321" s="162">
        <v>0</v>
      </c>
      <c r="F1321" s="162">
        <v>25045.45</v>
      </c>
      <c r="G1321" s="162" t="s">
        <v>49</v>
      </c>
      <c r="H1321" s="162" t="s">
        <v>1779</v>
      </c>
    </row>
    <row r="1322" spans="1:8" x14ac:dyDescent="0.3">
      <c r="A1322" s="161">
        <v>46050</v>
      </c>
      <c r="B1322" s="162" t="s">
        <v>50</v>
      </c>
      <c r="C1322" s="162" t="s">
        <v>825</v>
      </c>
      <c r="D1322" s="162">
        <v>59.85</v>
      </c>
      <c r="E1322" s="162">
        <v>0</v>
      </c>
      <c r="F1322" s="162">
        <v>16512.810000000001</v>
      </c>
      <c r="G1322" s="162" t="s">
        <v>49</v>
      </c>
      <c r="H1322" s="162" t="s">
        <v>1779</v>
      </c>
    </row>
    <row r="1323" spans="1:8" x14ac:dyDescent="0.3">
      <c r="A1323" s="161">
        <v>46050</v>
      </c>
      <c r="B1323" s="162" t="s">
        <v>823</v>
      </c>
      <c r="C1323" s="162" t="s">
        <v>824</v>
      </c>
      <c r="D1323" s="162">
        <v>5000</v>
      </c>
      <c r="E1323" s="162">
        <v>0</v>
      </c>
      <c r="F1323" s="162">
        <v>16572.66</v>
      </c>
      <c r="G1323" s="162" t="s">
        <v>2</v>
      </c>
      <c r="H1323" s="162" t="s">
        <v>1779</v>
      </c>
    </row>
    <row r="1324" spans="1:8" x14ac:dyDescent="0.3">
      <c r="A1324" s="161">
        <v>46050</v>
      </c>
      <c r="B1324" s="162" t="s">
        <v>1538</v>
      </c>
      <c r="C1324" s="162" t="s">
        <v>1005</v>
      </c>
      <c r="D1324" s="162">
        <v>1100</v>
      </c>
      <c r="E1324" s="162">
        <v>0</v>
      </c>
      <c r="F1324" s="162">
        <v>3172.51</v>
      </c>
      <c r="G1324" s="162" t="s">
        <v>1031</v>
      </c>
      <c r="H1324" s="162" t="s">
        <v>1680</v>
      </c>
    </row>
    <row r="1325" spans="1:8" x14ac:dyDescent="0.3">
      <c r="A1325" s="161">
        <v>46050</v>
      </c>
      <c r="B1325" s="162" t="s">
        <v>1776</v>
      </c>
      <c r="C1325" s="162"/>
      <c r="D1325" s="162">
        <v>4413.6000000000004</v>
      </c>
      <c r="E1325" s="162">
        <v>0</v>
      </c>
      <c r="F1325" s="162">
        <v>23904.400000000001</v>
      </c>
      <c r="G1325" s="162" t="s">
        <v>1014</v>
      </c>
      <c r="H1325" s="162" t="s">
        <v>837</v>
      </c>
    </row>
    <row r="1326" spans="1:8" x14ac:dyDescent="0.3">
      <c r="A1326" s="161">
        <v>46050.303854166668</v>
      </c>
      <c r="B1326" s="162" t="s">
        <v>2431</v>
      </c>
      <c r="C1326" s="162" t="s">
        <v>2432</v>
      </c>
      <c r="D1326" s="162">
        <v>8050</v>
      </c>
      <c r="E1326" s="162">
        <v>0</v>
      </c>
      <c r="F1326" s="162">
        <v>9830.6299999999992</v>
      </c>
      <c r="G1326" s="162" t="s">
        <v>2</v>
      </c>
      <c r="H1326" s="162" t="s">
        <v>1019</v>
      </c>
    </row>
    <row r="1327" spans="1:8" x14ac:dyDescent="0.3">
      <c r="A1327" s="161">
        <v>46051</v>
      </c>
      <c r="B1327" s="162" t="s">
        <v>826</v>
      </c>
      <c r="C1327" s="162" t="s">
        <v>827</v>
      </c>
      <c r="D1327" s="162">
        <v>0</v>
      </c>
      <c r="E1327" s="162">
        <v>2885.09</v>
      </c>
      <c r="F1327" s="162">
        <v>19397.900000000001</v>
      </c>
      <c r="G1327" s="162" t="s">
        <v>49</v>
      </c>
      <c r="H1327" s="162" t="s">
        <v>1779</v>
      </c>
    </row>
    <row r="1328" spans="1:8" x14ac:dyDescent="0.3">
      <c r="A1328" s="161">
        <v>46051</v>
      </c>
      <c r="B1328" s="162" t="s">
        <v>50</v>
      </c>
      <c r="C1328" s="162" t="s">
        <v>829</v>
      </c>
      <c r="D1328" s="162">
        <v>715.29</v>
      </c>
      <c r="E1328" s="162">
        <v>0</v>
      </c>
      <c r="F1328" s="162">
        <v>18616.689999999999</v>
      </c>
      <c r="G1328" s="162" t="s">
        <v>49</v>
      </c>
      <c r="H1328" s="162" t="s">
        <v>1779</v>
      </c>
    </row>
    <row r="1329" spans="1:8" x14ac:dyDescent="0.3">
      <c r="A1329" s="161">
        <v>46051</v>
      </c>
      <c r="B1329" s="162" t="s">
        <v>50</v>
      </c>
      <c r="C1329" s="162" t="s">
        <v>828</v>
      </c>
      <c r="D1329" s="162">
        <v>65.92</v>
      </c>
      <c r="E1329" s="162">
        <v>0</v>
      </c>
      <c r="F1329" s="162">
        <v>19331.98</v>
      </c>
      <c r="G1329" s="162" t="s">
        <v>49</v>
      </c>
      <c r="H1329" s="162" t="s">
        <v>1779</v>
      </c>
    </row>
    <row r="1330" spans="1:8" x14ac:dyDescent="0.3">
      <c r="A1330" s="161">
        <v>46051</v>
      </c>
      <c r="B1330" s="162" t="s">
        <v>1777</v>
      </c>
      <c r="C1330" s="162"/>
      <c r="D1330" s="162">
        <v>4000</v>
      </c>
      <c r="E1330" s="162">
        <v>0</v>
      </c>
      <c r="F1330" s="162">
        <v>19904.400000000001</v>
      </c>
      <c r="G1330" s="162" t="s">
        <v>1019</v>
      </c>
      <c r="H1330" s="162" t="s">
        <v>837</v>
      </c>
    </row>
    <row r="1331" spans="1:8" x14ac:dyDescent="0.3">
      <c r="A1331" s="161">
        <v>46051.509293981479</v>
      </c>
      <c r="B1331" s="162" t="s">
        <v>2433</v>
      </c>
      <c r="C1331" s="162" t="s">
        <v>2434</v>
      </c>
      <c r="D1331" s="162">
        <v>0</v>
      </c>
      <c r="E1331" s="162">
        <v>4000</v>
      </c>
      <c r="F1331" s="162">
        <v>13830.63</v>
      </c>
      <c r="G1331" s="162" t="s">
        <v>837</v>
      </c>
      <c r="H1331" s="162" t="s">
        <v>1019</v>
      </c>
    </row>
    <row r="1332" spans="1:8" x14ac:dyDescent="0.3">
      <c r="A1332" s="161">
        <v>46051.510451388887</v>
      </c>
      <c r="B1332" s="162" t="s">
        <v>2435</v>
      </c>
      <c r="C1332" s="162" t="s">
        <v>2436</v>
      </c>
      <c r="D1332" s="162">
        <v>13000</v>
      </c>
      <c r="E1332" s="162">
        <v>0</v>
      </c>
      <c r="F1332" s="162">
        <v>830.63</v>
      </c>
      <c r="G1332" s="162" t="s">
        <v>1735</v>
      </c>
      <c r="H1332" s="162" t="s">
        <v>1019</v>
      </c>
    </row>
    <row r="1333" spans="1:8" x14ac:dyDescent="0.3">
      <c r="A1333" s="161">
        <v>46052</v>
      </c>
      <c r="B1333" s="162" t="s">
        <v>1780</v>
      </c>
      <c r="C1333" s="162"/>
      <c r="D1333" s="162">
        <v>39674</v>
      </c>
      <c r="E1333" s="162">
        <v>0</v>
      </c>
      <c r="F1333" s="162">
        <v>30230.400000000001</v>
      </c>
      <c r="G1333" s="162" t="s">
        <v>1046</v>
      </c>
      <c r="H1333" s="162" t="s">
        <v>837</v>
      </c>
    </row>
    <row r="1334" spans="1:8" x14ac:dyDescent="0.3">
      <c r="A1334" s="161">
        <v>46052</v>
      </c>
      <c r="B1334" s="162" t="s">
        <v>1778</v>
      </c>
      <c r="C1334" s="162"/>
      <c r="D1334" s="162">
        <v>0</v>
      </c>
      <c r="E1334" s="162">
        <v>50000</v>
      </c>
      <c r="F1334" s="162">
        <v>69904.399999999994</v>
      </c>
      <c r="G1334" s="162" t="s">
        <v>1779</v>
      </c>
      <c r="H1334" s="162" t="s">
        <v>837</v>
      </c>
    </row>
    <row r="1335" spans="1:8" x14ac:dyDescent="0.3">
      <c r="A1335" s="161">
        <v>46052</v>
      </c>
      <c r="B1335" s="162" t="s">
        <v>830</v>
      </c>
      <c r="C1335" s="162" t="s">
        <v>831</v>
      </c>
      <c r="D1335" s="162">
        <v>5000</v>
      </c>
      <c r="E1335" s="162">
        <v>0</v>
      </c>
      <c r="F1335" s="162">
        <v>13616.69</v>
      </c>
      <c r="G1335" s="162" t="s">
        <v>2</v>
      </c>
      <c r="H1335" s="162" t="s">
        <v>1779</v>
      </c>
    </row>
    <row r="1336" spans="1:8" x14ac:dyDescent="0.3">
      <c r="A1336" s="161">
        <v>46052</v>
      </c>
      <c r="B1336" s="162" t="s">
        <v>50</v>
      </c>
      <c r="C1336" s="162" t="s">
        <v>832</v>
      </c>
      <c r="D1336" s="162">
        <v>66.7</v>
      </c>
      <c r="E1336" s="162">
        <v>0</v>
      </c>
      <c r="F1336" s="162">
        <v>13549.99</v>
      </c>
      <c r="G1336" s="162" t="s">
        <v>49</v>
      </c>
      <c r="H1336" s="162" t="s">
        <v>1779</v>
      </c>
    </row>
    <row r="1337" spans="1:8" x14ac:dyDescent="0.3">
      <c r="A1337" s="161">
        <v>46052</v>
      </c>
      <c r="B1337" s="162" t="s">
        <v>833</v>
      </c>
      <c r="C1337" s="162" t="s">
        <v>834</v>
      </c>
      <c r="D1337" s="162">
        <v>0</v>
      </c>
      <c r="E1337" s="162">
        <v>75000</v>
      </c>
      <c r="F1337" s="162">
        <v>88549.99</v>
      </c>
      <c r="G1337" s="162" t="s">
        <v>149</v>
      </c>
      <c r="H1337" s="162" t="s">
        <v>1779</v>
      </c>
    </row>
    <row r="1338" spans="1:8" x14ac:dyDescent="0.3">
      <c r="A1338" s="161">
        <v>46052</v>
      </c>
      <c r="B1338" s="162" t="s">
        <v>835</v>
      </c>
      <c r="C1338" s="162" t="s">
        <v>836</v>
      </c>
      <c r="D1338" s="162">
        <v>50000</v>
      </c>
      <c r="E1338" s="162">
        <v>0</v>
      </c>
      <c r="F1338" s="162">
        <v>38549.99</v>
      </c>
      <c r="G1338" s="162" t="s">
        <v>837</v>
      </c>
      <c r="H1338" s="162" t="s">
        <v>1779</v>
      </c>
    </row>
    <row r="1339" spans="1:8" x14ac:dyDescent="0.3">
      <c r="A1339" s="161">
        <v>46052</v>
      </c>
      <c r="B1339" s="162" t="s">
        <v>50</v>
      </c>
      <c r="C1339" s="162" t="s">
        <v>838</v>
      </c>
      <c r="D1339" s="162">
        <v>238.74</v>
      </c>
      <c r="E1339" s="162">
        <v>0</v>
      </c>
      <c r="F1339" s="162">
        <v>38311.25</v>
      </c>
      <c r="G1339" s="162" t="s">
        <v>49</v>
      </c>
      <c r="H1339" s="162" t="s">
        <v>1779</v>
      </c>
    </row>
    <row r="1340" spans="1:8" x14ac:dyDescent="0.3">
      <c r="A1340" s="161">
        <v>46052</v>
      </c>
      <c r="B1340" s="162" t="s">
        <v>1539</v>
      </c>
      <c r="C1340" s="162" t="s">
        <v>1005</v>
      </c>
      <c r="D1340" s="162">
        <v>50</v>
      </c>
      <c r="E1340" s="162">
        <v>0</v>
      </c>
      <c r="F1340" s="162">
        <v>3122.51</v>
      </c>
      <c r="G1340" s="162" t="s">
        <v>91</v>
      </c>
      <c r="H1340" s="162" t="s">
        <v>1680</v>
      </c>
    </row>
    <row r="1341" spans="1:8" x14ac:dyDescent="0.3">
      <c r="A1341" s="161">
        <v>46053</v>
      </c>
      <c r="B1341" s="162" t="s">
        <v>1540</v>
      </c>
      <c r="C1341" s="162" t="s">
        <v>1005</v>
      </c>
      <c r="D1341" s="162">
        <v>30</v>
      </c>
      <c r="E1341" s="162">
        <v>0</v>
      </c>
      <c r="F1341" s="162">
        <v>3092.51</v>
      </c>
      <c r="G1341" s="162" t="s">
        <v>91</v>
      </c>
      <c r="H1341" s="162" t="s">
        <v>1680</v>
      </c>
    </row>
    <row r="1342" spans="1:8" x14ac:dyDescent="0.3">
      <c r="A1342" s="161">
        <v>46054</v>
      </c>
      <c r="B1342" s="162" t="s">
        <v>50</v>
      </c>
      <c r="C1342" s="162" t="s">
        <v>840</v>
      </c>
      <c r="D1342" s="162">
        <v>3355.83</v>
      </c>
      <c r="E1342" s="162">
        <v>0</v>
      </c>
      <c r="F1342" s="162">
        <v>34822.199999999997</v>
      </c>
      <c r="G1342" s="162" t="s">
        <v>49</v>
      </c>
      <c r="H1342" s="162" t="s">
        <v>1779</v>
      </c>
    </row>
    <row r="1343" spans="1:8" x14ac:dyDescent="0.3">
      <c r="A1343" s="161">
        <v>46054</v>
      </c>
      <c r="B1343" s="162" t="s">
        <v>50</v>
      </c>
      <c r="C1343" s="162" t="s">
        <v>839</v>
      </c>
      <c r="D1343" s="162">
        <v>133.22</v>
      </c>
      <c r="E1343" s="162">
        <v>0</v>
      </c>
      <c r="F1343" s="162">
        <v>38178.03</v>
      </c>
      <c r="G1343" s="162" t="s">
        <v>49</v>
      </c>
      <c r="H1343" s="162" t="s">
        <v>1779</v>
      </c>
    </row>
    <row r="1344" spans="1:8" x14ac:dyDescent="0.3">
      <c r="A1344" s="161">
        <v>46054</v>
      </c>
      <c r="B1344" s="162" t="s">
        <v>1781</v>
      </c>
      <c r="C1344" s="162"/>
      <c r="D1344" s="162">
        <v>0</v>
      </c>
      <c r="E1344" s="162">
        <v>1000</v>
      </c>
      <c r="F1344" s="162">
        <v>31230.400000000001</v>
      </c>
      <c r="G1344" s="162" t="s">
        <v>91</v>
      </c>
      <c r="H1344" s="162" t="s">
        <v>837</v>
      </c>
    </row>
    <row r="1345" spans="1:8" x14ac:dyDescent="0.3">
      <c r="A1345" s="161">
        <v>46054</v>
      </c>
      <c r="B1345" s="162" t="s">
        <v>1782</v>
      </c>
      <c r="C1345" s="162"/>
      <c r="D1345" s="162">
        <v>700</v>
      </c>
      <c r="E1345" s="162">
        <v>0</v>
      </c>
      <c r="F1345" s="162">
        <v>30530.400000000001</v>
      </c>
      <c r="G1345" s="162" t="s">
        <v>91</v>
      </c>
      <c r="H1345" s="162" t="s">
        <v>837</v>
      </c>
    </row>
    <row r="1346" spans="1:8" x14ac:dyDescent="0.3">
      <c r="A1346" s="161">
        <v>46054</v>
      </c>
      <c r="B1346" s="162" t="s">
        <v>1783</v>
      </c>
      <c r="C1346" s="162"/>
      <c r="D1346" s="162">
        <v>1000</v>
      </c>
      <c r="E1346" s="162">
        <v>0</v>
      </c>
      <c r="F1346" s="162">
        <v>29530.400000000001</v>
      </c>
      <c r="G1346" s="162" t="s">
        <v>91</v>
      </c>
      <c r="H1346" s="162" t="s">
        <v>837</v>
      </c>
    </row>
    <row r="1347" spans="1:8" x14ac:dyDescent="0.3">
      <c r="A1347" s="161">
        <v>46054</v>
      </c>
      <c r="B1347" s="162" t="s">
        <v>1785</v>
      </c>
      <c r="C1347" s="162"/>
      <c r="D1347" s="162">
        <v>0</v>
      </c>
      <c r="E1347" s="162">
        <v>700</v>
      </c>
      <c r="F1347" s="162">
        <v>30230.400000000001</v>
      </c>
      <c r="G1347" s="162" t="s">
        <v>91</v>
      </c>
      <c r="H1347" s="162" t="s">
        <v>837</v>
      </c>
    </row>
    <row r="1348" spans="1:8" x14ac:dyDescent="0.3">
      <c r="A1348" s="161">
        <v>46054</v>
      </c>
      <c r="B1348" s="162" t="s">
        <v>1786</v>
      </c>
      <c r="C1348" s="162"/>
      <c r="D1348" s="162">
        <v>700</v>
      </c>
      <c r="E1348" s="162">
        <v>0</v>
      </c>
      <c r="F1348" s="162">
        <v>29530.400000000001</v>
      </c>
      <c r="G1348" s="162" t="s">
        <v>91</v>
      </c>
      <c r="H1348" s="162" t="s">
        <v>837</v>
      </c>
    </row>
    <row r="1349" spans="1:8" x14ac:dyDescent="0.3">
      <c r="A1349" s="161">
        <v>46054</v>
      </c>
      <c r="B1349" s="162" t="s">
        <v>1541</v>
      </c>
      <c r="C1349" s="162" t="s">
        <v>1005</v>
      </c>
      <c r="D1349" s="162">
        <v>3000</v>
      </c>
      <c r="E1349" s="162">
        <v>0</v>
      </c>
      <c r="F1349" s="162">
        <v>92.51</v>
      </c>
      <c r="G1349" s="162" t="s">
        <v>91</v>
      </c>
      <c r="H1349" s="162" t="s">
        <v>1680</v>
      </c>
    </row>
    <row r="1350" spans="1:8" x14ac:dyDescent="0.3">
      <c r="A1350" s="161">
        <v>46055</v>
      </c>
      <c r="B1350" s="162" t="s">
        <v>1547</v>
      </c>
      <c r="C1350" s="162" t="s">
        <v>1005</v>
      </c>
      <c r="D1350" s="162">
        <v>26500</v>
      </c>
      <c r="E1350" s="162">
        <v>0</v>
      </c>
      <c r="F1350" s="162">
        <v>51184.54</v>
      </c>
      <c r="G1350" s="162" t="s">
        <v>990</v>
      </c>
      <c r="H1350" s="162" t="s">
        <v>1680</v>
      </c>
    </row>
    <row r="1351" spans="1:8" x14ac:dyDescent="0.3">
      <c r="A1351" s="161">
        <v>46055</v>
      </c>
      <c r="B1351" s="162" t="s">
        <v>1546</v>
      </c>
      <c r="C1351" s="162" t="s">
        <v>1005</v>
      </c>
      <c r="D1351" s="162">
        <v>3000</v>
      </c>
      <c r="E1351" s="162">
        <v>0</v>
      </c>
      <c r="F1351" s="162">
        <v>77684.539999999994</v>
      </c>
      <c r="G1351" s="162" t="s">
        <v>1028</v>
      </c>
      <c r="H1351" s="162" t="s">
        <v>1680</v>
      </c>
    </row>
    <row r="1352" spans="1:8" x14ac:dyDescent="0.3">
      <c r="A1352" s="161">
        <v>46055</v>
      </c>
      <c r="B1352" s="162" t="s">
        <v>1545</v>
      </c>
      <c r="C1352" s="162" t="s">
        <v>1005</v>
      </c>
      <c r="D1352" s="162">
        <v>9169.3700000000008</v>
      </c>
      <c r="E1352" s="162">
        <v>0</v>
      </c>
      <c r="F1352" s="162">
        <v>80684.539999999994</v>
      </c>
      <c r="G1352" s="162" t="s">
        <v>1019</v>
      </c>
      <c r="H1352" s="162" t="s">
        <v>1680</v>
      </c>
    </row>
    <row r="1353" spans="1:8" x14ac:dyDescent="0.3">
      <c r="A1353" s="161">
        <v>46055</v>
      </c>
      <c r="B1353" s="162" t="s">
        <v>1544</v>
      </c>
      <c r="C1353" s="162" t="s">
        <v>1005</v>
      </c>
      <c r="D1353" s="162">
        <v>6469.6</v>
      </c>
      <c r="E1353" s="162">
        <v>0</v>
      </c>
      <c r="F1353" s="162">
        <v>89853.91</v>
      </c>
      <c r="G1353" s="162" t="s">
        <v>837</v>
      </c>
      <c r="H1353" s="162" t="s">
        <v>1680</v>
      </c>
    </row>
    <row r="1354" spans="1:8" x14ac:dyDescent="0.3">
      <c r="A1354" s="161">
        <v>46055</v>
      </c>
      <c r="B1354" s="162" t="s">
        <v>1787</v>
      </c>
      <c r="C1354" s="162"/>
      <c r="D1354" s="162">
        <v>0</v>
      </c>
      <c r="E1354" s="162">
        <v>6469.6</v>
      </c>
      <c r="F1354" s="162">
        <v>36000</v>
      </c>
      <c r="G1354" s="162" t="s">
        <v>1680</v>
      </c>
      <c r="H1354" s="162" t="s">
        <v>837</v>
      </c>
    </row>
    <row r="1355" spans="1:8" x14ac:dyDescent="0.3">
      <c r="A1355" s="161">
        <v>46055</v>
      </c>
      <c r="B1355" s="162" t="s">
        <v>50</v>
      </c>
      <c r="C1355" s="162" t="s">
        <v>841</v>
      </c>
      <c r="D1355" s="162">
        <v>65.42</v>
      </c>
      <c r="E1355" s="162">
        <v>0</v>
      </c>
      <c r="F1355" s="162">
        <v>34756.78</v>
      </c>
      <c r="G1355" s="162" t="s">
        <v>49</v>
      </c>
      <c r="H1355" s="162" t="s">
        <v>1779</v>
      </c>
    </row>
    <row r="1356" spans="1:8" x14ac:dyDescent="0.3">
      <c r="A1356" s="161">
        <v>46055</v>
      </c>
      <c r="B1356" s="162" t="s">
        <v>1543</v>
      </c>
      <c r="C1356" s="162" t="s">
        <v>1005</v>
      </c>
      <c r="D1356" s="162">
        <v>0</v>
      </c>
      <c r="E1356" s="162">
        <v>96231</v>
      </c>
      <c r="F1356" s="162">
        <v>96323.51</v>
      </c>
      <c r="G1356" s="162" t="s">
        <v>972</v>
      </c>
      <c r="H1356" s="162" t="s">
        <v>1680</v>
      </c>
    </row>
    <row r="1357" spans="1:8" x14ac:dyDescent="0.3">
      <c r="A1357" s="161">
        <v>46055.526805555557</v>
      </c>
      <c r="B1357" s="162" t="s">
        <v>2437</v>
      </c>
      <c r="C1357" s="162" t="s">
        <v>2438</v>
      </c>
      <c r="D1357" s="162">
        <v>0</v>
      </c>
      <c r="E1357" s="162">
        <v>9169.3700000000008</v>
      </c>
      <c r="F1357" s="162">
        <v>10000</v>
      </c>
      <c r="G1357" s="162" t="s">
        <v>1680</v>
      </c>
      <c r="H1357" s="162" t="s">
        <v>1019</v>
      </c>
    </row>
    <row r="1358" spans="1:8" x14ac:dyDescent="0.3">
      <c r="A1358" s="161">
        <v>46056</v>
      </c>
      <c r="B1358" s="162" t="s">
        <v>50</v>
      </c>
      <c r="C1358" s="162" t="s">
        <v>844</v>
      </c>
      <c r="D1358" s="162">
        <v>65.42</v>
      </c>
      <c r="E1358" s="162">
        <v>0</v>
      </c>
      <c r="F1358" s="162">
        <v>34780.839999999997</v>
      </c>
      <c r="G1358" s="162" t="s">
        <v>49</v>
      </c>
      <c r="H1358" s="162" t="s">
        <v>1779</v>
      </c>
    </row>
    <row r="1359" spans="1:8" x14ac:dyDescent="0.3">
      <c r="A1359" s="161">
        <v>46056</v>
      </c>
      <c r="B1359" s="162" t="s">
        <v>845</v>
      </c>
      <c r="C1359" s="162" t="s">
        <v>846</v>
      </c>
      <c r="D1359" s="162">
        <v>0</v>
      </c>
      <c r="E1359" s="162">
        <v>855</v>
      </c>
      <c r="F1359" s="162">
        <v>35635.839999999997</v>
      </c>
      <c r="G1359" s="162" t="s">
        <v>17</v>
      </c>
      <c r="H1359" s="162" t="s">
        <v>1779</v>
      </c>
    </row>
    <row r="1360" spans="1:8" x14ac:dyDescent="0.3">
      <c r="A1360" s="161">
        <v>46056</v>
      </c>
      <c r="B1360" s="162" t="s">
        <v>50</v>
      </c>
      <c r="C1360" s="162" t="s">
        <v>847</v>
      </c>
      <c r="D1360" s="162">
        <v>10385.17</v>
      </c>
      <c r="E1360" s="162">
        <v>0</v>
      </c>
      <c r="F1360" s="162">
        <v>25250.67</v>
      </c>
      <c r="G1360" s="162" t="s">
        <v>49</v>
      </c>
      <c r="H1360" s="162" t="s">
        <v>1779</v>
      </c>
    </row>
    <row r="1361" spans="1:8" x14ac:dyDescent="0.3">
      <c r="A1361" s="161">
        <v>46056</v>
      </c>
      <c r="B1361" s="162" t="s">
        <v>842</v>
      </c>
      <c r="C1361" s="162" t="s">
        <v>843</v>
      </c>
      <c r="D1361" s="162">
        <v>0</v>
      </c>
      <c r="E1361" s="162">
        <v>89.48</v>
      </c>
      <c r="F1361" s="162">
        <v>34846.26</v>
      </c>
      <c r="G1361" s="162" t="s">
        <v>49</v>
      </c>
      <c r="H1361" s="162" t="s">
        <v>1779</v>
      </c>
    </row>
    <row r="1362" spans="1:8" x14ac:dyDescent="0.3">
      <c r="A1362" s="161">
        <v>46056</v>
      </c>
      <c r="B1362" s="162" t="s">
        <v>1550</v>
      </c>
      <c r="C1362" s="162" t="s">
        <v>1005</v>
      </c>
      <c r="D1362" s="162">
        <v>260</v>
      </c>
      <c r="E1362" s="162">
        <v>0</v>
      </c>
      <c r="F1362" s="162">
        <v>47787.29</v>
      </c>
      <c r="G1362" s="162" t="s">
        <v>91</v>
      </c>
      <c r="H1362" s="162" t="s">
        <v>1680</v>
      </c>
    </row>
    <row r="1363" spans="1:8" x14ac:dyDescent="0.3">
      <c r="A1363" s="161">
        <v>46056</v>
      </c>
      <c r="B1363" s="162" t="s">
        <v>1549</v>
      </c>
      <c r="C1363" s="162" t="s">
        <v>1005</v>
      </c>
      <c r="D1363" s="162">
        <v>137.25</v>
      </c>
      <c r="E1363" s="162">
        <v>0</v>
      </c>
      <c r="F1363" s="162">
        <v>48047.29</v>
      </c>
      <c r="G1363" s="162" t="s">
        <v>1014</v>
      </c>
      <c r="H1363" s="162" t="s">
        <v>1680</v>
      </c>
    </row>
    <row r="1364" spans="1:8" x14ac:dyDescent="0.3">
      <c r="A1364" s="161">
        <v>46056</v>
      </c>
      <c r="B1364" s="162" t="s">
        <v>1552</v>
      </c>
      <c r="C1364" s="162" t="s">
        <v>1005</v>
      </c>
      <c r="D1364" s="162">
        <v>0</v>
      </c>
      <c r="E1364" s="162">
        <v>101</v>
      </c>
      <c r="F1364" s="162">
        <v>47888.29</v>
      </c>
      <c r="G1364" s="162" t="s">
        <v>181</v>
      </c>
      <c r="H1364" s="162" t="s">
        <v>1680</v>
      </c>
    </row>
    <row r="1365" spans="1:8" x14ac:dyDescent="0.3">
      <c r="A1365" s="161">
        <v>46056</v>
      </c>
      <c r="B1365" s="162" t="s">
        <v>1548</v>
      </c>
      <c r="C1365" s="162" t="s">
        <v>1005</v>
      </c>
      <c r="D1365" s="162">
        <v>3000</v>
      </c>
      <c r="E1365" s="162">
        <v>0</v>
      </c>
      <c r="F1365" s="162">
        <v>48184.54</v>
      </c>
      <c r="G1365" s="162" t="s">
        <v>1028</v>
      </c>
      <c r="H1365" s="162" t="s">
        <v>1680</v>
      </c>
    </row>
    <row r="1366" spans="1:8" x14ac:dyDescent="0.3">
      <c r="A1366" s="161">
        <v>46056</v>
      </c>
      <c r="B1366" s="162" t="s">
        <v>1788</v>
      </c>
      <c r="C1366" s="162"/>
      <c r="D1366" s="162">
        <v>0</v>
      </c>
      <c r="E1366" s="162">
        <v>1000</v>
      </c>
      <c r="F1366" s="162">
        <v>37000</v>
      </c>
      <c r="G1366" s="162" t="s">
        <v>91</v>
      </c>
      <c r="H1366" s="162" t="s">
        <v>837</v>
      </c>
    </row>
    <row r="1367" spans="1:8" x14ac:dyDescent="0.3">
      <c r="A1367" s="161">
        <v>46057</v>
      </c>
      <c r="B1367" s="162" t="s">
        <v>50</v>
      </c>
      <c r="C1367" s="162" t="s">
        <v>848</v>
      </c>
      <c r="D1367" s="162">
        <v>61.75</v>
      </c>
      <c r="E1367" s="162">
        <v>0</v>
      </c>
      <c r="F1367" s="162">
        <v>25188.92</v>
      </c>
      <c r="G1367" s="162" t="s">
        <v>49</v>
      </c>
      <c r="H1367" s="162" t="s">
        <v>1779</v>
      </c>
    </row>
    <row r="1368" spans="1:8" x14ac:dyDescent="0.3">
      <c r="A1368" s="161">
        <v>46057</v>
      </c>
      <c r="B1368" s="162" t="s">
        <v>1553</v>
      </c>
      <c r="C1368" s="162" t="s">
        <v>1005</v>
      </c>
      <c r="D1368" s="162">
        <v>3000</v>
      </c>
      <c r="E1368" s="162">
        <v>0</v>
      </c>
      <c r="F1368" s="162">
        <v>44888.29</v>
      </c>
      <c r="G1368" s="162" t="s">
        <v>1028</v>
      </c>
      <c r="H1368" s="162" t="s">
        <v>1680</v>
      </c>
    </row>
    <row r="1369" spans="1:8" x14ac:dyDescent="0.3">
      <c r="A1369" s="161">
        <v>46057</v>
      </c>
      <c r="B1369" s="162" t="s">
        <v>1554</v>
      </c>
      <c r="C1369" s="162" t="s">
        <v>1005</v>
      </c>
      <c r="D1369" s="162">
        <v>40</v>
      </c>
      <c r="E1369" s="162">
        <v>0</v>
      </c>
      <c r="F1369" s="162">
        <v>44848.29</v>
      </c>
      <c r="G1369" s="162" t="s">
        <v>91</v>
      </c>
      <c r="H1369" s="162" t="s">
        <v>1680</v>
      </c>
    </row>
    <row r="1370" spans="1:8" x14ac:dyDescent="0.3">
      <c r="A1370" s="161">
        <v>46058</v>
      </c>
      <c r="B1370" s="162" t="s">
        <v>1557</v>
      </c>
      <c r="C1370" s="162" t="s">
        <v>1005</v>
      </c>
      <c r="D1370" s="162">
        <v>20</v>
      </c>
      <c r="E1370" s="162">
        <v>0</v>
      </c>
      <c r="F1370" s="162">
        <v>41828.29</v>
      </c>
      <c r="G1370" s="162" t="s">
        <v>91</v>
      </c>
      <c r="H1370" s="162" t="s">
        <v>1680</v>
      </c>
    </row>
    <row r="1371" spans="1:8" x14ac:dyDescent="0.3">
      <c r="A1371" s="161">
        <v>46058</v>
      </c>
      <c r="B1371" s="162" t="s">
        <v>1556</v>
      </c>
      <c r="C1371" s="162" t="s">
        <v>1005</v>
      </c>
      <c r="D1371" s="162">
        <v>3000</v>
      </c>
      <c r="E1371" s="162">
        <v>0</v>
      </c>
      <c r="F1371" s="162">
        <v>41848.29</v>
      </c>
      <c r="G1371" s="162" t="s">
        <v>1028</v>
      </c>
      <c r="H1371" s="162" t="s">
        <v>1680</v>
      </c>
    </row>
    <row r="1372" spans="1:8" x14ac:dyDescent="0.3">
      <c r="A1372" s="161">
        <v>46058</v>
      </c>
      <c r="B1372" s="162" t="s">
        <v>50</v>
      </c>
      <c r="C1372" s="162" t="s">
        <v>851</v>
      </c>
      <c r="D1372" s="162">
        <v>76.05</v>
      </c>
      <c r="E1372" s="162">
        <v>0</v>
      </c>
      <c r="F1372" s="162">
        <v>27824.95</v>
      </c>
      <c r="G1372" s="162" t="s">
        <v>49</v>
      </c>
      <c r="H1372" s="162" t="s">
        <v>1779</v>
      </c>
    </row>
    <row r="1373" spans="1:8" x14ac:dyDescent="0.3">
      <c r="A1373" s="161">
        <v>46058</v>
      </c>
      <c r="B1373" s="162" t="s">
        <v>849</v>
      </c>
      <c r="C1373" s="162" t="s">
        <v>850</v>
      </c>
      <c r="D1373" s="162">
        <v>0</v>
      </c>
      <c r="E1373" s="162">
        <v>2712.08</v>
      </c>
      <c r="F1373" s="162">
        <v>27901</v>
      </c>
      <c r="G1373" s="162" t="s">
        <v>49</v>
      </c>
      <c r="H1373" s="162" t="s">
        <v>1779</v>
      </c>
    </row>
    <row r="1374" spans="1:8" x14ac:dyDescent="0.3">
      <c r="A1374" s="161">
        <v>46059</v>
      </c>
      <c r="B1374" s="162" t="s">
        <v>50</v>
      </c>
      <c r="C1374" s="162" t="s">
        <v>854</v>
      </c>
      <c r="D1374" s="162">
        <v>77.02</v>
      </c>
      <c r="E1374" s="162">
        <v>0</v>
      </c>
      <c r="F1374" s="162">
        <v>29431.81</v>
      </c>
      <c r="G1374" s="162" t="s">
        <v>49</v>
      </c>
      <c r="H1374" s="162" t="s">
        <v>1779</v>
      </c>
    </row>
    <row r="1375" spans="1:8" x14ac:dyDescent="0.3">
      <c r="A1375" s="161">
        <v>46059</v>
      </c>
      <c r="B1375" s="162" t="s">
        <v>852</v>
      </c>
      <c r="C1375" s="162" t="s">
        <v>853</v>
      </c>
      <c r="D1375" s="162">
        <v>0</v>
      </c>
      <c r="E1375" s="162">
        <v>1683.88</v>
      </c>
      <c r="F1375" s="162">
        <v>29508.83</v>
      </c>
      <c r="G1375" s="162" t="s">
        <v>49</v>
      </c>
      <c r="H1375" s="162" t="s">
        <v>1779</v>
      </c>
    </row>
    <row r="1376" spans="1:8" x14ac:dyDescent="0.3">
      <c r="A1376" s="161">
        <v>46059</v>
      </c>
      <c r="B1376" s="162" t="s">
        <v>1558</v>
      </c>
      <c r="C1376" s="162" t="s">
        <v>1005</v>
      </c>
      <c r="D1376" s="162">
        <v>2096.85</v>
      </c>
      <c r="E1376" s="162">
        <v>0</v>
      </c>
      <c r="F1376" s="162">
        <v>39731.440000000002</v>
      </c>
      <c r="G1376" s="162" t="s">
        <v>1028</v>
      </c>
      <c r="H1376" s="162" t="s">
        <v>1680</v>
      </c>
    </row>
    <row r="1377" spans="1:8" x14ac:dyDescent="0.3">
      <c r="A1377" s="161">
        <v>46059</v>
      </c>
      <c r="B1377" s="162" t="s">
        <v>50</v>
      </c>
      <c r="C1377" s="162" t="s">
        <v>855</v>
      </c>
      <c r="D1377" s="162">
        <v>499.58</v>
      </c>
      <c r="E1377" s="162">
        <v>0</v>
      </c>
      <c r="F1377" s="162">
        <v>28932.23</v>
      </c>
      <c r="G1377" s="162" t="s">
        <v>49</v>
      </c>
      <c r="H1377" s="162" t="s">
        <v>1779</v>
      </c>
    </row>
    <row r="1378" spans="1:8" x14ac:dyDescent="0.3">
      <c r="A1378" s="161">
        <v>46060</v>
      </c>
      <c r="B1378" s="162" t="s">
        <v>856</v>
      </c>
      <c r="C1378" s="162" t="s">
        <v>857</v>
      </c>
      <c r="D1378" s="162">
        <v>0</v>
      </c>
      <c r="E1378" s="162">
        <v>1880</v>
      </c>
      <c r="F1378" s="162">
        <v>30812.23</v>
      </c>
      <c r="G1378" s="162" t="s">
        <v>63</v>
      </c>
      <c r="H1378" s="162" t="s">
        <v>1779</v>
      </c>
    </row>
    <row r="1379" spans="1:8" x14ac:dyDescent="0.3">
      <c r="A1379" s="161">
        <v>46060</v>
      </c>
      <c r="B1379" s="162" t="s">
        <v>1559</v>
      </c>
      <c r="C1379" s="162" t="s">
        <v>1005</v>
      </c>
      <c r="D1379" s="162">
        <v>20</v>
      </c>
      <c r="E1379" s="162">
        <v>0</v>
      </c>
      <c r="F1379" s="162">
        <v>39711.440000000002</v>
      </c>
      <c r="G1379" s="162" t="s">
        <v>91</v>
      </c>
      <c r="H1379" s="162" t="s">
        <v>1680</v>
      </c>
    </row>
    <row r="1380" spans="1:8" x14ac:dyDescent="0.3">
      <c r="A1380" s="161">
        <v>46062</v>
      </c>
      <c r="B1380" s="162" t="s">
        <v>50</v>
      </c>
      <c r="C1380" s="162" t="s">
        <v>858</v>
      </c>
      <c r="D1380" s="162">
        <v>232.32</v>
      </c>
      <c r="E1380" s="162">
        <v>0</v>
      </c>
      <c r="F1380" s="162">
        <v>30579.91</v>
      </c>
      <c r="G1380" s="162" t="s">
        <v>49</v>
      </c>
      <c r="H1380" s="162" t="s">
        <v>1779</v>
      </c>
    </row>
    <row r="1381" spans="1:8" x14ac:dyDescent="0.3">
      <c r="A1381" s="161">
        <v>46063</v>
      </c>
      <c r="B1381" s="162" t="s">
        <v>859</v>
      </c>
      <c r="C1381" s="162" t="s">
        <v>860</v>
      </c>
      <c r="D1381" s="162">
        <v>0</v>
      </c>
      <c r="E1381" s="162">
        <v>1175.77</v>
      </c>
      <c r="F1381" s="162">
        <v>31755.68</v>
      </c>
      <c r="G1381" s="162" t="s">
        <v>49</v>
      </c>
      <c r="H1381" s="162" t="s">
        <v>1779</v>
      </c>
    </row>
    <row r="1382" spans="1:8" x14ac:dyDescent="0.3">
      <c r="A1382" s="161">
        <v>46063</v>
      </c>
      <c r="B1382" s="162" t="s">
        <v>50</v>
      </c>
      <c r="C1382" s="162" t="s">
        <v>861</v>
      </c>
      <c r="D1382" s="162">
        <v>77.44</v>
      </c>
      <c r="E1382" s="162">
        <v>0</v>
      </c>
      <c r="F1382" s="162">
        <v>31678.240000000002</v>
      </c>
      <c r="G1382" s="162" t="s">
        <v>49</v>
      </c>
      <c r="H1382" s="162" t="s">
        <v>1779</v>
      </c>
    </row>
    <row r="1383" spans="1:8" x14ac:dyDescent="0.3">
      <c r="A1383" s="161">
        <v>46064</v>
      </c>
      <c r="B1383" s="162" t="s">
        <v>50</v>
      </c>
      <c r="C1383" s="162" t="s">
        <v>864</v>
      </c>
      <c r="D1383" s="162">
        <v>77.86</v>
      </c>
      <c r="E1383" s="162">
        <v>0</v>
      </c>
      <c r="F1383" s="162">
        <v>32182.85</v>
      </c>
      <c r="G1383" s="162" t="s">
        <v>49</v>
      </c>
      <c r="H1383" s="162" t="s">
        <v>1779</v>
      </c>
    </row>
    <row r="1384" spans="1:8" x14ac:dyDescent="0.3">
      <c r="A1384" s="161">
        <v>46064</v>
      </c>
      <c r="B1384" s="162" t="s">
        <v>862</v>
      </c>
      <c r="C1384" s="162" t="s">
        <v>863</v>
      </c>
      <c r="D1384" s="162">
        <v>0</v>
      </c>
      <c r="E1384" s="162">
        <v>582.47</v>
      </c>
      <c r="F1384" s="162">
        <v>32260.71</v>
      </c>
      <c r="G1384" s="162" t="s">
        <v>49</v>
      </c>
      <c r="H1384" s="162" t="s">
        <v>1779</v>
      </c>
    </row>
    <row r="1385" spans="1:8" x14ac:dyDescent="0.3">
      <c r="A1385" s="161">
        <v>46064.378009259257</v>
      </c>
      <c r="B1385" s="162" t="s">
        <v>2439</v>
      </c>
      <c r="C1385" s="162" t="s">
        <v>2440</v>
      </c>
      <c r="D1385" s="162">
        <v>0</v>
      </c>
      <c r="E1385" s="162">
        <v>477.82</v>
      </c>
      <c r="F1385" s="162">
        <v>10477.82</v>
      </c>
      <c r="G1385" s="162" t="s">
        <v>606</v>
      </c>
      <c r="H1385" s="162" t="s">
        <v>1019</v>
      </c>
    </row>
    <row r="1386" spans="1:8" x14ac:dyDescent="0.3">
      <c r="A1386" s="161">
        <v>46065</v>
      </c>
      <c r="B1386" s="162" t="s">
        <v>50</v>
      </c>
      <c r="C1386" s="162" t="s">
        <v>867</v>
      </c>
      <c r="D1386" s="162">
        <v>78.06</v>
      </c>
      <c r="E1386" s="162">
        <v>0</v>
      </c>
      <c r="F1386" s="162">
        <v>32309.360000000001</v>
      </c>
      <c r="G1386" s="162" t="s">
        <v>49</v>
      </c>
      <c r="H1386" s="162" t="s">
        <v>1779</v>
      </c>
    </row>
    <row r="1387" spans="1:8" x14ac:dyDescent="0.3">
      <c r="A1387" s="161">
        <v>46065</v>
      </c>
      <c r="B1387" s="162" t="s">
        <v>865</v>
      </c>
      <c r="C1387" s="162" t="s">
        <v>866</v>
      </c>
      <c r="D1387" s="162">
        <v>0</v>
      </c>
      <c r="E1387" s="162">
        <v>204.57</v>
      </c>
      <c r="F1387" s="162">
        <v>32387.42</v>
      </c>
      <c r="G1387" s="162" t="s">
        <v>49</v>
      </c>
      <c r="H1387" s="162" t="s">
        <v>1779</v>
      </c>
    </row>
    <row r="1388" spans="1:8" x14ac:dyDescent="0.3">
      <c r="A1388" s="161">
        <v>46065</v>
      </c>
      <c r="B1388" s="162" t="s">
        <v>868</v>
      </c>
      <c r="C1388" s="162" t="s">
        <v>869</v>
      </c>
      <c r="D1388" s="162">
        <v>0</v>
      </c>
      <c r="E1388" s="162">
        <v>112</v>
      </c>
      <c r="F1388" s="162">
        <v>32421.360000000001</v>
      </c>
      <c r="G1388" s="162" t="s">
        <v>17</v>
      </c>
      <c r="H1388" s="162" t="s">
        <v>1779</v>
      </c>
    </row>
    <row r="1389" spans="1:8" x14ac:dyDescent="0.3">
      <c r="A1389" s="161">
        <v>46065</v>
      </c>
      <c r="B1389" s="162" t="s">
        <v>1561</v>
      </c>
      <c r="C1389" s="162" t="s">
        <v>1005</v>
      </c>
      <c r="D1389" s="162">
        <v>297</v>
      </c>
      <c r="E1389" s="162">
        <v>0</v>
      </c>
      <c r="F1389" s="162">
        <v>39374.44</v>
      </c>
      <c r="G1389" s="162" t="s">
        <v>91</v>
      </c>
      <c r="H1389" s="162" t="s">
        <v>1680</v>
      </c>
    </row>
    <row r="1390" spans="1:8" x14ac:dyDescent="0.3">
      <c r="A1390" s="161">
        <v>46065</v>
      </c>
      <c r="B1390" s="162" t="s">
        <v>1560</v>
      </c>
      <c r="C1390" s="162" t="s">
        <v>1005</v>
      </c>
      <c r="D1390" s="162">
        <v>40</v>
      </c>
      <c r="E1390" s="162">
        <v>0</v>
      </c>
      <c r="F1390" s="162">
        <v>39671.440000000002</v>
      </c>
      <c r="G1390" s="162" t="s">
        <v>91</v>
      </c>
      <c r="H1390" s="162" t="s">
        <v>1680</v>
      </c>
    </row>
    <row r="1391" spans="1:8" x14ac:dyDescent="0.3">
      <c r="A1391" s="161">
        <v>46065.294872685183</v>
      </c>
      <c r="B1391" s="162" t="s">
        <v>2441</v>
      </c>
      <c r="C1391" s="162" t="s">
        <v>2442</v>
      </c>
      <c r="D1391" s="162">
        <v>0</v>
      </c>
      <c r="E1391" s="162">
        <v>245</v>
      </c>
      <c r="F1391" s="162">
        <v>10722.82</v>
      </c>
      <c r="G1391" s="162" t="s">
        <v>17</v>
      </c>
      <c r="H1391" s="162" t="s">
        <v>1019</v>
      </c>
    </row>
    <row r="1392" spans="1:8" x14ac:dyDescent="0.3">
      <c r="A1392" s="161">
        <v>46066</v>
      </c>
      <c r="B1392" s="162" t="s">
        <v>50</v>
      </c>
      <c r="C1392" s="162" t="s">
        <v>873</v>
      </c>
      <c r="D1392" s="162">
        <v>792.51</v>
      </c>
      <c r="E1392" s="162">
        <v>0</v>
      </c>
      <c r="F1392" s="162">
        <v>31918.880000000001</v>
      </c>
      <c r="G1392" s="162" t="s">
        <v>49</v>
      </c>
      <c r="H1392" s="162" t="s">
        <v>1779</v>
      </c>
    </row>
    <row r="1393" spans="1:8" x14ac:dyDescent="0.3">
      <c r="A1393" s="161">
        <v>46066</v>
      </c>
      <c r="B1393" s="162" t="s">
        <v>50</v>
      </c>
      <c r="C1393" s="162" t="s">
        <v>872</v>
      </c>
      <c r="D1393" s="162">
        <v>78.14</v>
      </c>
      <c r="E1393" s="162">
        <v>0</v>
      </c>
      <c r="F1393" s="162">
        <v>32711.39</v>
      </c>
      <c r="G1393" s="162" t="s">
        <v>49</v>
      </c>
      <c r="H1393" s="162" t="s">
        <v>1779</v>
      </c>
    </row>
    <row r="1394" spans="1:8" x14ac:dyDescent="0.3">
      <c r="A1394" s="161">
        <v>46066</v>
      </c>
      <c r="B1394" s="162" t="s">
        <v>870</v>
      </c>
      <c r="C1394" s="162" t="s">
        <v>871</v>
      </c>
      <c r="D1394" s="162">
        <v>0</v>
      </c>
      <c r="E1394" s="162">
        <v>368.17</v>
      </c>
      <c r="F1394" s="162">
        <v>32789.53</v>
      </c>
      <c r="G1394" s="162" t="s">
        <v>49</v>
      </c>
      <c r="H1394" s="162" t="s">
        <v>1779</v>
      </c>
    </row>
    <row r="1395" spans="1:8" x14ac:dyDescent="0.3">
      <c r="A1395" s="161">
        <v>46067</v>
      </c>
      <c r="B1395" s="162" t="s">
        <v>1562</v>
      </c>
      <c r="C1395" s="162" t="s">
        <v>1005</v>
      </c>
      <c r="D1395" s="162">
        <v>105</v>
      </c>
      <c r="E1395" s="162">
        <v>0</v>
      </c>
      <c r="F1395" s="162">
        <v>39269.440000000002</v>
      </c>
      <c r="G1395" s="162" t="s">
        <v>91</v>
      </c>
      <c r="H1395" s="162" t="s">
        <v>1680</v>
      </c>
    </row>
    <row r="1396" spans="1:8" x14ac:dyDescent="0.3">
      <c r="A1396" s="161">
        <v>46068</v>
      </c>
      <c r="B1396" s="162" t="s">
        <v>1564</v>
      </c>
      <c r="C1396" s="162" t="s">
        <v>1005</v>
      </c>
      <c r="D1396" s="162">
        <v>90</v>
      </c>
      <c r="E1396" s="162">
        <v>0</v>
      </c>
      <c r="F1396" s="162">
        <v>39179.440000000002</v>
      </c>
      <c r="G1396" s="162" t="s">
        <v>91</v>
      </c>
      <c r="H1396" s="162" t="s">
        <v>1680</v>
      </c>
    </row>
    <row r="1397" spans="1:8" x14ac:dyDescent="0.3">
      <c r="A1397" s="161">
        <v>46069</v>
      </c>
      <c r="B1397" s="162" t="s">
        <v>50</v>
      </c>
      <c r="C1397" s="162" t="s">
        <v>875</v>
      </c>
      <c r="D1397" s="162">
        <v>298.45</v>
      </c>
      <c r="E1397" s="162">
        <v>0</v>
      </c>
      <c r="F1397" s="162">
        <v>31386.46</v>
      </c>
      <c r="G1397" s="162" t="s">
        <v>49</v>
      </c>
      <c r="H1397" s="162" t="s">
        <v>1779</v>
      </c>
    </row>
    <row r="1398" spans="1:8" x14ac:dyDescent="0.3">
      <c r="A1398" s="161">
        <v>46069</v>
      </c>
      <c r="B1398" s="162" t="s">
        <v>50</v>
      </c>
      <c r="C1398" s="162" t="s">
        <v>874</v>
      </c>
      <c r="D1398" s="162">
        <v>233.97</v>
      </c>
      <c r="E1398" s="162">
        <v>0</v>
      </c>
      <c r="F1398" s="162">
        <v>31684.91</v>
      </c>
      <c r="G1398" s="162" t="s">
        <v>49</v>
      </c>
      <c r="H1398" s="162" t="s">
        <v>1779</v>
      </c>
    </row>
    <row r="1399" spans="1:8" x14ac:dyDescent="0.3">
      <c r="A1399" s="161">
        <v>46070</v>
      </c>
      <c r="B1399" s="162" t="s">
        <v>1566</v>
      </c>
      <c r="C1399" s="162" t="s">
        <v>1005</v>
      </c>
      <c r="D1399" s="162">
        <v>130</v>
      </c>
      <c r="E1399" s="162">
        <v>0</v>
      </c>
      <c r="F1399" s="162">
        <v>39049.440000000002</v>
      </c>
      <c r="G1399" s="162" t="s">
        <v>91</v>
      </c>
      <c r="H1399" s="162" t="s">
        <v>1680</v>
      </c>
    </row>
    <row r="1400" spans="1:8" x14ac:dyDescent="0.3">
      <c r="A1400" s="161">
        <v>46070</v>
      </c>
      <c r="B1400" s="162" t="s">
        <v>50</v>
      </c>
      <c r="C1400" s="162" t="s">
        <v>877</v>
      </c>
      <c r="D1400" s="162">
        <v>960.21</v>
      </c>
      <c r="E1400" s="162">
        <v>0</v>
      </c>
      <c r="F1400" s="162">
        <v>30348.37</v>
      </c>
      <c r="G1400" s="162" t="s">
        <v>49</v>
      </c>
      <c r="H1400" s="162" t="s">
        <v>1779</v>
      </c>
    </row>
    <row r="1401" spans="1:8" x14ac:dyDescent="0.3">
      <c r="A1401" s="161">
        <v>46070</v>
      </c>
      <c r="B1401" s="162" t="s">
        <v>50</v>
      </c>
      <c r="C1401" s="162" t="s">
        <v>876</v>
      </c>
      <c r="D1401" s="162">
        <v>77.88</v>
      </c>
      <c r="E1401" s="162">
        <v>0</v>
      </c>
      <c r="F1401" s="162">
        <v>31308.58</v>
      </c>
      <c r="G1401" s="162" t="s">
        <v>49</v>
      </c>
      <c r="H1401" s="162" t="s">
        <v>1779</v>
      </c>
    </row>
    <row r="1402" spans="1:8" x14ac:dyDescent="0.3">
      <c r="A1402" s="161">
        <v>46071</v>
      </c>
      <c r="B1402" s="162" t="s">
        <v>1568</v>
      </c>
      <c r="C1402" s="162" t="s">
        <v>1005</v>
      </c>
      <c r="D1402" s="162">
        <v>5</v>
      </c>
      <c r="E1402" s="162">
        <v>0</v>
      </c>
      <c r="F1402" s="162">
        <v>39044.44</v>
      </c>
      <c r="G1402" s="162" t="s">
        <v>91</v>
      </c>
      <c r="H1402" s="162" t="s">
        <v>1680</v>
      </c>
    </row>
    <row r="1403" spans="1:8" x14ac:dyDescent="0.3">
      <c r="A1403" s="161">
        <v>46071</v>
      </c>
      <c r="B1403" s="162" t="s">
        <v>50</v>
      </c>
      <c r="C1403" s="162" t="s">
        <v>878</v>
      </c>
      <c r="D1403" s="162">
        <v>77.540000000000006</v>
      </c>
      <c r="E1403" s="162">
        <v>0</v>
      </c>
      <c r="F1403" s="162">
        <v>30270.83</v>
      </c>
      <c r="G1403" s="162" t="s">
        <v>49</v>
      </c>
      <c r="H1403" s="162" t="s">
        <v>1779</v>
      </c>
    </row>
    <row r="1404" spans="1:8" x14ac:dyDescent="0.3">
      <c r="A1404" s="161">
        <v>46071</v>
      </c>
      <c r="B1404" s="162" t="s">
        <v>879</v>
      </c>
      <c r="C1404" s="162" t="s">
        <v>880</v>
      </c>
      <c r="D1404" s="162">
        <v>0</v>
      </c>
      <c r="E1404" s="162">
        <v>78.75</v>
      </c>
      <c r="F1404" s="162">
        <v>30349.58</v>
      </c>
      <c r="G1404" s="162" t="s">
        <v>17</v>
      </c>
      <c r="H1404" s="162" t="s">
        <v>1779</v>
      </c>
    </row>
    <row r="1405" spans="1:8" x14ac:dyDescent="0.3">
      <c r="A1405" s="161">
        <v>46072</v>
      </c>
      <c r="B1405" s="162" t="s">
        <v>50</v>
      </c>
      <c r="C1405" s="162" t="s">
        <v>881</v>
      </c>
      <c r="D1405" s="162">
        <v>1963.95</v>
      </c>
      <c r="E1405" s="162">
        <v>0</v>
      </c>
      <c r="F1405" s="162">
        <v>28385.63</v>
      </c>
      <c r="G1405" s="162" t="s">
        <v>49</v>
      </c>
      <c r="H1405" s="162" t="s">
        <v>1779</v>
      </c>
    </row>
    <row r="1406" spans="1:8" x14ac:dyDescent="0.3">
      <c r="A1406" s="161">
        <v>46073</v>
      </c>
      <c r="B1406" s="162" t="s">
        <v>883</v>
      </c>
      <c r="C1406" s="162" t="s">
        <v>884</v>
      </c>
      <c r="D1406" s="162">
        <v>0</v>
      </c>
      <c r="E1406" s="162">
        <v>32.5</v>
      </c>
      <c r="F1406" s="162">
        <v>28341.26</v>
      </c>
      <c r="G1406" s="162" t="s">
        <v>17</v>
      </c>
      <c r="H1406" s="162" t="s">
        <v>1779</v>
      </c>
    </row>
    <row r="1407" spans="1:8" x14ac:dyDescent="0.3">
      <c r="A1407" s="161">
        <v>46073</v>
      </c>
      <c r="B1407" s="162" t="s">
        <v>50</v>
      </c>
      <c r="C1407" s="162" t="s">
        <v>882</v>
      </c>
      <c r="D1407" s="162">
        <v>76.87</v>
      </c>
      <c r="E1407" s="162">
        <v>0</v>
      </c>
      <c r="F1407" s="162">
        <v>28308.76</v>
      </c>
      <c r="G1407" s="162" t="s">
        <v>49</v>
      </c>
      <c r="H1407" s="162" t="s">
        <v>1779</v>
      </c>
    </row>
    <row r="1408" spans="1:8" x14ac:dyDescent="0.3">
      <c r="A1408" s="161">
        <v>46074</v>
      </c>
      <c r="B1408" s="162" t="s">
        <v>1570</v>
      </c>
      <c r="C1408" s="162" t="s">
        <v>1005</v>
      </c>
      <c r="D1408" s="162">
        <v>1000</v>
      </c>
      <c r="E1408" s="162">
        <v>0</v>
      </c>
      <c r="F1408" s="162">
        <v>38044.44</v>
      </c>
      <c r="G1408" s="162" t="s">
        <v>1028</v>
      </c>
      <c r="H1408" s="162" t="s">
        <v>1680</v>
      </c>
    </row>
    <row r="1409" spans="1:8" x14ac:dyDescent="0.3">
      <c r="A1409" s="161">
        <v>46074</v>
      </c>
      <c r="B1409" s="162" t="s">
        <v>885</v>
      </c>
      <c r="C1409" s="162" t="s">
        <v>886</v>
      </c>
      <c r="D1409" s="162">
        <v>295</v>
      </c>
      <c r="E1409" s="162">
        <v>0</v>
      </c>
      <c r="F1409" s="162">
        <v>28046.26</v>
      </c>
      <c r="G1409" s="162" t="s">
        <v>7</v>
      </c>
      <c r="H1409" s="162" t="s">
        <v>1779</v>
      </c>
    </row>
    <row r="1410" spans="1:8" x14ac:dyDescent="0.3">
      <c r="A1410" s="161">
        <v>46075</v>
      </c>
      <c r="B1410" s="162" t="s">
        <v>1571</v>
      </c>
      <c r="C1410" s="162" t="s">
        <v>1005</v>
      </c>
      <c r="D1410" s="162">
        <v>1010</v>
      </c>
      <c r="E1410" s="162">
        <v>0</v>
      </c>
      <c r="F1410" s="162">
        <v>37034.44</v>
      </c>
      <c r="G1410" s="162" t="s">
        <v>1028</v>
      </c>
      <c r="H1410" s="162" t="s">
        <v>1680</v>
      </c>
    </row>
    <row r="1411" spans="1:8" x14ac:dyDescent="0.3">
      <c r="A1411" s="161">
        <v>46075</v>
      </c>
      <c r="B1411" s="162" t="s">
        <v>1572</v>
      </c>
      <c r="C1411" s="162" t="s">
        <v>1005</v>
      </c>
      <c r="D1411" s="162">
        <v>400</v>
      </c>
      <c r="E1411" s="162">
        <v>0</v>
      </c>
      <c r="F1411" s="162">
        <v>36634.44</v>
      </c>
      <c r="G1411" s="162" t="s">
        <v>91</v>
      </c>
      <c r="H1411" s="162" t="s">
        <v>1680</v>
      </c>
    </row>
    <row r="1412" spans="1:8" x14ac:dyDescent="0.3">
      <c r="A1412" s="161">
        <v>46075</v>
      </c>
      <c r="B1412" s="162" t="s">
        <v>1574</v>
      </c>
      <c r="C1412" s="162" t="s">
        <v>1005</v>
      </c>
      <c r="D1412" s="162">
        <v>35</v>
      </c>
      <c r="E1412" s="162">
        <v>0</v>
      </c>
      <c r="F1412" s="162">
        <v>36599.440000000002</v>
      </c>
      <c r="G1412" s="162" t="s">
        <v>91</v>
      </c>
      <c r="H1412" s="162" t="s">
        <v>1680</v>
      </c>
    </row>
    <row r="1413" spans="1:8" x14ac:dyDescent="0.3">
      <c r="A1413" s="161">
        <v>46075.536840277768</v>
      </c>
      <c r="B1413" s="162" t="s">
        <v>2443</v>
      </c>
      <c r="C1413" s="162" t="s">
        <v>2444</v>
      </c>
      <c r="D1413" s="162">
        <v>0</v>
      </c>
      <c r="E1413" s="162">
        <v>1420</v>
      </c>
      <c r="F1413" s="162">
        <v>12142.82</v>
      </c>
      <c r="G1413" s="162" t="s">
        <v>1658</v>
      </c>
      <c r="H1413" s="162" t="s">
        <v>1019</v>
      </c>
    </row>
    <row r="1414" spans="1:8" x14ac:dyDescent="0.3">
      <c r="A1414" s="161">
        <v>46076</v>
      </c>
      <c r="B1414" s="162" t="s">
        <v>887</v>
      </c>
      <c r="C1414" s="162" t="s">
        <v>888</v>
      </c>
      <c r="D1414" s="162">
        <v>0</v>
      </c>
      <c r="E1414" s="162">
        <v>586.51</v>
      </c>
      <c r="F1414" s="162">
        <v>28632.77</v>
      </c>
      <c r="G1414" s="162" t="s">
        <v>49</v>
      </c>
      <c r="H1414" s="162" t="s">
        <v>1779</v>
      </c>
    </row>
    <row r="1415" spans="1:8" x14ac:dyDescent="0.3">
      <c r="A1415" s="161">
        <v>46076</v>
      </c>
      <c r="B1415" s="162" t="s">
        <v>50</v>
      </c>
      <c r="C1415" s="162" t="s">
        <v>889</v>
      </c>
      <c r="D1415" s="162">
        <v>230.61</v>
      </c>
      <c r="E1415" s="162">
        <v>0</v>
      </c>
      <c r="F1415" s="162">
        <v>28402.16</v>
      </c>
      <c r="G1415" s="162" t="s">
        <v>49</v>
      </c>
      <c r="H1415" s="162" t="s">
        <v>1779</v>
      </c>
    </row>
    <row r="1416" spans="1:8" x14ac:dyDescent="0.3">
      <c r="A1416" s="161">
        <v>46076</v>
      </c>
      <c r="B1416" s="162" t="s">
        <v>50</v>
      </c>
      <c r="C1416" s="162" t="s">
        <v>890</v>
      </c>
      <c r="D1416" s="162">
        <v>6248.84</v>
      </c>
      <c r="E1416" s="162">
        <v>0</v>
      </c>
      <c r="F1416" s="162">
        <v>22153.32</v>
      </c>
      <c r="G1416" s="162" t="s">
        <v>49</v>
      </c>
      <c r="H1416" s="162" t="s">
        <v>1779</v>
      </c>
    </row>
    <row r="1417" spans="1:8" x14ac:dyDescent="0.3">
      <c r="A1417" s="161">
        <v>46076</v>
      </c>
      <c r="B1417" s="162" t="s">
        <v>1576</v>
      </c>
      <c r="C1417" s="162" t="s">
        <v>1005</v>
      </c>
      <c r="D1417" s="162">
        <v>192</v>
      </c>
      <c r="E1417" s="162">
        <v>0</v>
      </c>
      <c r="F1417" s="162">
        <v>36407.440000000002</v>
      </c>
      <c r="G1417" s="162" t="s">
        <v>91</v>
      </c>
      <c r="H1417" s="162" t="s">
        <v>1680</v>
      </c>
    </row>
    <row r="1418" spans="1:8" x14ac:dyDescent="0.3">
      <c r="A1418" s="161">
        <v>46076</v>
      </c>
      <c r="B1418" s="162" t="s">
        <v>1579</v>
      </c>
      <c r="C1418" s="162" t="s">
        <v>1005</v>
      </c>
      <c r="D1418" s="162">
        <v>181</v>
      </c>
      <c r="E1418" s="162">
        <v>0</v>
      </c>
      <c r="F1418" s="162">
        <v>35226.44</v>
      </c>
      <c r="G1418" s="162" t="s">
        <v>91</v>
      </c>
      <c r="H1418" s="162" t="s">
        <v>1680</v>
      </c>
    </row>
    <row r="1419" spans="1:8" x14ac:dyDescent="0.3">
      <c r="A1419" s="161">
        <v>46076</v>
      </c>
      <c r="B1419" s="162" t="s">
        <v>1581</v>
      </c>
      <c r="C1419" s="162" t="s">
        <v>1005</v>
      </c>
      <c r="D1419" s="162">
        <v>158</v>
      </c>
      <c r="E1419" s="162">
        <v>0</v>
      </c>
      <c r="F1419" s="162">
        <v>35068.44</v>
      </c>
      <c r="G1419" s="162" t="s">
        <v>131</v>
      </c>
      <c r="H1419" s="162" t="s">
        <v>1680</v>
      </c>
    </row>
    <row r="1420" spans="1:8" x14ac:dyDescent="0.3">
      <c r="A1420" s="161">
        <v>46076</v>
      </c>
      <c r="B1420" s="162" t="s">
        <v>1582</v>
      </c>
      <c r="C1420" s="162" t="s">
        <v>1005</v>
      </c>
      <c r="D1420" s="162">
        <v>103</v>
      </c>
      <c r="E1420" s="162">
        <v>0</v>
      </c>
      <c r="F1420" s="162">
        <v>34965.440000000002</v>
      </c>
      <c r="G1420" s="162" t="s">
        <v>91</v>
      </c>
      <c r="H1420" s="162" t="s">
        <v>1680</v>
      </c>
    </row>
    <row r="1421" spans="1:8" x14ac:dyDescent="0.3">
      <c r="A1421" s="161">
        <v>46076</v>
      </c>
      <c r="B1421" s="162" t="s">
        <v>1578</v>
      </c>
      <c r="C1421" s="162" t="s">
        <v>1005</v>
      </c>
      <c r="D1421" s="162">
        <v>1000</v>
      </c>
      <c r="E1421" s="162">
        <v>0</v>
      </c>
      <c r="F1421" s="162">
        <v>35407.440000000002</v>
      </c>
      <c r="G1421" s="162" t="s">
        <v>1028</v>
      </c>
      <c r="H1421" s="162" t="s">
        <v>1680</v>
      </c>
    </row>
    <row r="1422" spans="1:8" x14ac:dyDescent="0.3">
      <c r="A1422" s="161">
        <v>46077</v>
      </c>
      <c r="B1422" s="162" t="s">
        <v>1589</v>
      </c>
      <c r="C1422" s="162" t="s">
        <v>1005</v>
      </c>
      <c r="D1422" s="162">
        <v>64</v>
      </c>
      <c r="E1422" s="162">
        <v>0</v>
      </c>
      <c r="F1422" s="162">
        <v>33746.44</v>
      </c>
      <c r="G1422" s="162" t="s">
        <v>91</v>
      </c>
      <c r="H1422" s="162" t="s">
        <v>1680</v>
      </c>
    </row>
    <row r="1423" spans="1:8" x14ac:dyDescent="0.3">
      <c r="A1423" s="161">
        <v>46077</v>
      </c>
      <c r="B1423" s="162" t="s">
        <v>1587</v>
      </c>
      <c r="C1423" s="162" t="s">
        <v>1005</v>
      </c>
      <c r="D1423" s="162">
        <v>49</v>
      </c>
      <c r="E1423" s="162">
        <v>0</v>
      </c>
      <c r="F1423" s="162">
        <v>33810.44</v>
      </c>
      <c r="G1423" s="162" t="s">
        <v>91</v>
      </c>
      <c r="H1423" s="162" t="s">
        <v>1680</v>
      </c>
    </row>
    <row r="1424" spans="1:8" x14ac:dyDescent="0.3">
      <c r="A1424" s="161">
        <v>46077</v>
      </c>
      <c r="B1424" s="162" t="s">
        <v>1585</v>
      </c>
      <c r="C1424" s="162" t="s">
        <v>1005</v>
      </c>
      <c r="D1424" s="162">
        <v>106</v>
      </c>
      <c r="E1424" s="162">
        <v>0</v>
      </c>
      <c r="F1424" s="162">
        <v>33859.440000000002</v>
      </c>
      <c r="G1424" s="162" t="s">
        <v>91</v>
      </c>
      <c r="H1424" s="162" t="s">
        <v>1680</v>
      </c>
    </row>
    <row r="1425" spans="1:8" x14ac:dyDescent="0.3">
      <c r="A1425" s="161">
        <v>46077</v>
      </c>
      <c r="B1425" s="162" t="s">
        <v>1584</v>
      </c>
      <c r="C1425" s="162" t="s">
        <v>1005</v>
      </c>
      <c r="D1425" s="162">
        <v>1000</v>
      </c>
      <c r="E1425" s="162">
        <v>0</v>
      </c>
      <c r="F1425" s="162">
        <v>33965.440000000002</v>
      </c>
      <c r="G1425" s="162" t="s">
        <v>1028</v>
      </c>
      <c r="H1425" s="162" t="s">
        <v>1680</v>
      </c>
    </row>
    <row r="1426" spans="1:8" x14ac:dyDescent="0.3">
      <c r="A1426" s="161">
        <v>46077</v>
      </c>
      <c r="B1426" s="162" t="s">
        <v>891</v>
      </c>
      <c r="C1426" s="162" t="s">
        <v>892</v>
      </c>
      <c r="D1426" s="162">
        <v>0</v>
      </c>
      <c r="E1426" s="162">
        <v>12701.92</v>
      </c>
      <c r="F1426" s="162">
        <v>34855.24</v>
      </c>
      <c r="G1426" s="162" t="s">
        <v>49</v>
      </c>
      <c r="H1426" s="162" t="s">
        <v>1779</v>
      </c>
    </row>
    <row r="1427" spans="1:8" x14ac:dyDescent="0.3">
      <c r="A1427" s="161">
        <v>46077</v>
      </c>
      <c r="B1427" s="162" t="s">
        <v>50</v>
      </c>
      <c r="C1427" s="162" t="s">
        <v>893</v>
      </c>
      <c r="D1427" s="162">
        <v>74.849999999999994</v>
      </c>
      <c r="E1427" s="162">
        <v>0</v>
      </c>
      <c r="F1427" s="162">
        <v>34780.39</v>
      </c>
      <c r="G1427" s="162" t="s">
        <v>49</v>
      </c>
      <c r="H1427" s="162" t="s">
        <v>1779</v>
      </c>
    </row>
    <row r="1428" spans="1:8" x14ac:dyDescent="0.3">
      <c r="A1428" s="161">
        <v>46077</v>
      </c>
      <c r="B1428" s="162" t="s">
        <v>50</v>
      </c>
      <c r="C1428" s="162" t="s">
        <v>895</v>
      </c>
      <c r="D1428" s="162">
        <v>1577.81</v>
      </c>
      <c r="E1428" s="162">
        <v>0</v>
      </c>
      <c r="F1428" s="162">
        <v>33765.08</v>
      </c>
      <c r="G1428" s="162" t="s">
        <v>49</v>
      </c>
      <c r="H1428" s="162" t="s">
        <v>1779</v>
      </c>
    </row>
    <row r="1429" spans="1:8" x14ac:dyDescent="0.3">
      <c r="A1429" s="161">
        <v>46077</v>
      </c>
      <c r="B1429" s="162" t="s">
        <v>715</v>
      </c>
      <c r="C1429" s="162" t="s">
        <v>894</v>
      </c>
      <c r="D1429" s="162">
        <v>0</v>
      </c>
      <c r="E1429" s="162">
        <v>562.5</v>
      </c>
      <c r="F1429" s="162">
        <v>35342.89</v>
      </c>
      <c r="G1429" s="162" t="s">
        <v>17</v>
      </c>
      <c r="H1429" s="162" t="s">
        <v>1779</v>
      </c>
    </row>
    <row r="1430" spans="1:8" x14ac:dyDescent="0.3">
      <c r="A1430" s="161">
        <v>46078</v>
      </c>
      <c r="B1430" s="162" t="s">
        <v>50</v>
      </c>
      <c r="C1430" s="162" t="s">
        <v>896</v>
      </c>
      <c r="D1430" s="162">
        <v>74.290000000000006</v>
      </c>
      <c r="E1430" s="162">
        <v>0</v>
      </c>
      <c r="F1430" s="162">
        <v>33690.79</v>
      </c>
      <c r="G1430" s="162" t="s">
        <v>49</v>
      </c>
      <c r="H1430" s="162" t="s">
        <v>1779</v>
      </c>
    </row>
    <row r="1431" spans="1:8" x14ac:dyDescent="0.3">
      <c r="A1431" s="161">
        <v>46078</v>
      </c>
      <c r="B1431" s="162" t="s">
        <v>1591</v>
      </c>
      <c r="C1431" s="162" t="s">
        <v>1005</v>
      </c>
      <c r="D1431" s="162">
        <v>1000</v>
      </c>
      <c r="E1431" s="162">
        <v>0</v>
      </c>
      <c r="F1431" s="162">
        <v>32746.44</v>
      </c>
      <c r="G1431" s="162" t="s">
        <v>1028</v>
      </c>
      <c r="H1431" s="162" t="s">
        <v>1680</v>
      </c>
    </row>
    <row r="1432" spans="1:8" x14ac:dyDescent="0.3">
      <c r="A1432" s="161">
        <v>46078</v>
      </c>
      <c r="B1432" s="162" t="s">
        <v>899</v>
      </c>
      <c r="C1432" s="162" t="s">
        <v>900</v>
      </c>
      <c r="D1432" s="162">
        <v>0</v>
      </c>
      <c r="E1432" s="162">
        <v>1320</v>
      </c>
      <c r="F1432" s="162">
        <v>35490.79</v>
      </c>
      <c r="G1432" s="162" t="s">
        <v>17</v>
      </c>
      <c r="H1432" s="162" t="s">
        <v>1779</v>
      </c>
    </row>
    <row r="1433" spans="1:8" x14ac:dyDescent="0.3">
      <c r="A1433" s="161">
        <v>46078</v>
      </c>
      <c r="B1433" s="162" t="s">
        <v>50</v>
      </c>
      <c r="C1433" s="162" t="s">
        <v>901</v>
      </c>
      <c r="D1433" s="162">
        <v>312.77</v>
      </c>
      <c r="E1433" s="162">
        <v>0</v>
      </c>
      <c r="F1433" s="162">
        <v>35178.019999999997</v>
      </c>
      <c r="G1433" s="162" t="s">
        <v>49</v>
      </c>
      <c r="H1433" s="162" t="s">
        <v>1779</v>
      </c>
    </row>
    <row r="1434" spans="1:8" x14ac:dyDescent="0.3">
      <c r="A1434" s="161">
        <v>46078</v>
      </c>
      <c r="B1434" s="162" t="s">
        <v>897</v>
      </c>
      <c r="C1434" s="162" t="s">
        <v>898</v>
      </c>
      <c r="D1434" s="162">
        <v>0</v>
      </c>
      <c r="E1434" s="162">
        <v>480</v>
      </c>
      <c r="F1434" s="162">
        <v>34170.79</v>
      </c>
      <c r="G1434" s="162" t="s">
        <v>17</v>
      </c>
      <c r="H1434" s="162" t="s">
        <v>1779</v>
      </c>
    </row>
    <row r="1435" spans="1:8" x14ac:dyDescent="0.3">
      <c r="A1435" s="161">
        <v>46079</v>
      </c>
      <c r="B1435" s="162" t="s">
        <v>50</v>
      </c>
      <c r="C1435" s="162" t="s">
        <v>902</v>
      </c>
      <c r="D1435" s="162">
        <v>74.180000000000007</v>
      </c>
      <c r="E1435" s="162">
        <v>0</v>
      </c>
      <c r="F1435" s="162">
        <v>35103.839999999997</v>
      </c>
      <c r="G1435" s="162" t="s">
        <v>49</v>
      </c>
      <c r="H1435" s="162" t="s">
        <v>1779</v>
      </c>
    </row>
    <row r="1436" spans="1:8" x14ac:dyDescent="0.3">
      <c r="A1436" s="161">
        <v>46079</v>
      </c>
      <c r="B1436" s="162" t="s">
        <v>50</v>
      </c>
      <c r="C1436" s="162" t="s">
        <v>903</v>
      </c>
      <c r="D1436" s="162">
        <v>1036.44</v>
      </c>
      <c r="E1436" s="162">
        <v>0</v>
      </c>
      <c r="F1436" s="162">
        <v>34067.4</v>
      </c>
      <c r="G1436" s="162" t="s">
        <v>49</v>
      </c>
      <c r="H1436" s="162" t="s">
        <v>1779</v>
      </c>
    </row>
    <row r="1437" spans="1:8" x14ac:dyDescent="0.3">
      <c r="A1437" s="161">
        <v>46079</v>
      </c>
      <c r="B1437" s="162" t="s">
        <v>1592</v>
      </c>
      <c r="C1437" s="162" t="s">
        <v>1005</v>
      </c>
      <c r="D1437" s="162">
        <v>1000</v>
      </c>
      <c r="E1437" s="162">
        <v>0</v>
      </c>
      <c r="F1437" s="162">
        <v>31746.44</v>
      </c>
      <c r="G1437" s="162" t="s">
        <v>1028</v>
      </c>
      <c r="H1437" s="162" t="s">
        <v>1680</v>
      </c>
    </row>
    <row r="1438" spans="1:8" x14ac:dyDescent="0.3">
      <c r="A1438" s="161">
        <v>46079</v>
      </c>
      <c r="B1438" s="162" t="s">
        <v>1789</v>
      </c>
      <c r="C1438" s="162"/>
      <c r="D1438" s="162">
        <v>1000</v>
      </c>
      <c r="E1438" s="162">
        <v>0</v>
      </c>
      <c r="F1438" s="162">
        <v>36000</v>
      </c>
      <c r="G1438" s="162" t="s">
        <v>1019</v>
      </c>
      <c r="H1438" s="162" t="s">
        <v>837</v>
      </c>
    </row>
    <row r="1439" spans="1:8" x14ac:dyDescent="0.3">
      <c r="A1439" s="161">
        <v>46079.325543981482</v>
      </c>
      <c r="B1439" s="162" t="s">
        <v>2445</v>
      </c>
      <c r="C1439" s="162" t="s">
        <v>2446</v>
      </c>
      <c r="D1439" s="162">
        <v>0</v>
      </c>
      <c r="E1439" s="162">
        <v>1000</v>
      </c>
      <c r="F1439" s="162">
        <v>13142.82</v>
      </c>
      <c r="G1439" s="162" t="s">
        <v>837</v>
      </c>
      <c r="H1439" s="162" t="s">
        <v>1019</v>
      </c>
    </row>
    <row r="1440" spans="1:8" x14ac:dyDescent="0.3">
      <c r="A1440" s="161">
        <v>46080</v>
      </c>
      <c r="B1440" s="162" t="s">
        <v>909</v>
      </c>
      <c r="C1440" s="162" t="s">
        <v>83</v>
      </c>
      <c r="D1440" s="162">
        <v>94.4</v>
      </c>
      <c r="E1440" s="162">
        <v>0</v>
      </c>
      <c r="F1440" s="162">
        <v>23899.19</v>
      </c>
      <c r="G1440" s="162" t="s">
        <v>9</v>
      </c>
      <c r="H1440" s="162" t="s">
        <v>1779</v>
      </c>
    </row>
    <row r="1441" spans="1:8" x14ac:dyDescent="0.3">
      <c r="A1441" s="161">
        <v>46080</v>
      </c>
      <c r="B1441" s="162" t="s">
        <v>906</v>
      </c>
      <c r="C1441" s="162" t="s">
        <v>907</v>
      </c>
      <c r="D1441" s="162">
        <v>5000</v>
      </c>
      <c r="E1441" s="162">
        <v>0</v>
      </c>
      <c r="F1441" s="162">
        <v>24067.4</v>
      </c>
      <c r="G1441" s="162" t="s">
        <v>2</v>
      </c>
      <c r="H1441" s="162" t="s">
        <v>1779</v>
      </c>
    </row>
    <row r="1442" spans="1:8" x14ac:dyDescent="0.3">
      <c r="A1442" s="161">
        <v>46080</v>
      </c>
      <c r="B1442" s="162" t="s">
        <v>50</v>
      </c>
      <c r="C1442" s="162" t="s">
        <v>908</v>
      </c>
      <c r="D1442" s="162">
        <v>73.81</v>
      </c>
      <c r="E1442" s="162">
        <v>0</v>
      </c>
      <c r="F1442" s="162">
        <v>23993.59</v>
      </c>
      <c r="G1442" s="162" t="s">
        <v>49</v>
      </c>
      <c r="H1442" s="162" t="s">
        <v>1779</v>
      </c>
    </row>
    <row r="1443" spans="1:8" x14ac:dyDescent="0.3">
      <c r="A1443" s="161">
        <v>46080</v>
      </c>
      <c r="B1443" s="162" t="s">
        <v>910</v>
      </c>
      <c r="C1443" s="162" t="s">
        <v>911</v>
      </c>
      <c r="D1443" s="162">
        <v>0</v>
      </c>
      <c r="E1443" s="162">
        <v>170</v>
      </c>
      <c r="F1443" s="162">
        <v>24069.19</v>
      </c>
      <c r="G1443" s="162" t="s">
        <v>17</v>
      </c>
      <c r="H1443" s="162" t="s">
        <v>1779</v>
      </c>
    </row>
    <row r="1444" spans="1:8" x14ac:dyDescent="0.3">
      <c r="A1444" s="161">
        <v>46080</v>
      </c>
      <c r="B1444" s="162" t="s">
        <v>1593</v>
      </c>
      <c r="C1444" s="162" t="s">
        <v>1005</v>
      </c>
      <c r="D1444" s="162">
        <v>1000</v>
      </c>
      <c r="E1444" s="162">
        <v>0</v>
      </c>
      <c r="F1444" s="162">
        <v>30746.44</v>
      </c>
      <c r="G1444" s="162" t="s">
        <v>1028</v>
      </c>
      <c r="H1444" s="162" t="s">
        <v>1680</v>
      </c>
    </row>
    <row r="1445" spans="1:8" x14ac:dyDescent="0.3">
      <c r="A1445" s="161">
        <v>46080</v>
      </c>
      <c r="B1445" s="162" t="s">
        <v>904</v>
      </c>
      <c r="C1445" s="162" t="s">
        <v>905</v>
      </c>
      <c r="D1445" s="162">
        <v>5000</v>
      </c>
      <c r="E1445" s="162">
        <v>0</v>
      </c>
      <c r="F1445" s="162">
        <v>29067.4</v>
      </c>
      <c r="G1445" s="162" t="s">
        <v>2</v>
      </c>
      <c r="H1445" s="162" t="s">
        <v>1779</v>
      </c>
    </row>
    <row r="1446" spans="1:8" x14ac:dyDescent="0.3">
      <c r="A1446" s="161">
        <v>46080.642534722218</v>
      </c>
      <c r="B1446" s="162" t="s">
        <v>2447</v>
      </c>
      <c r="C1446" s="162" t="s">
        <v>2448</v>
      </c>
      <c r="D1446" s="162">
        <v>0</v>
      </c>
      <c r="E1446" s="162">
        <v>78.61</v>
      </c>
      <c r="F1446" s="162">
        <v>13221.43</v>
      </c>
      <c r="G1446" s="162" t="s">
        <v>1658</v>
      </c>
      <c r="H1446" s="162" t="s">
        <v>1019</v>
      </c>
    </row>
    <row r="1447" spans="1:8" x14ac:dyDescent="0.3">
      <c r="A1447" s="161">
        <v>46081</v>
      </c>
      <c r="B1447" s="162" t="s">
        <v>50</v>
      </c>
      <c r="C1447" s="162" t="s">
        <v>912</v>
      </c>
      <c r="D1447" s="162">
        <v>144.94</v>
      </c>
      <c r="E1447" s="162">
        <v>0</v>
      </c>
      <c r="F1447" s="162">
        <v>23924.25</v>
      </c>
      <c r="G1447" s="162" t="s">
        <v>49</v>
      </c>
      <c r="H1447" s="162" t="s">
        <v>1779</v>
      </c>
    </row>
    <row r="1448" spans="1:8" x14ac:dyDescent="0.3">
      <c r="A1448" s="161">
        <v>46081</v>
      </c>
      <c r="B1448" s="162" t="s">
        <v>1594</v>
      </c>
      <c r="C1448" s="162" t="s">
        <v>1005</v>
      </c>
      <c r="D1448" s="162">
        <v>1000</v>
      </c>
      <c r="E1448" s="162">
        <v>0</v>
      </c>
      <c r="F1448" s="162">
        <v>29746.44</v>
      </c>
      <c r="G1448" s="162" t="s">
        <v>1028</v>
      </c>
      <c r="H1448" s="162" t="s">
        <v>1680</v>
      </c>
    </row>
    <row r="1449" spans="1:8" x14ac:dyDescent="0.3">
      <c r="A1449" s="161">
        <v>46081</v>
      </c>
      <c r="B1449" s="162" t="s">
        <v>1595</v>
      </c>
      <c r="C1449" s="162" t="s">
        <v>1005</v>
      </c>
      <c r="D1449" s="162">
        <v>10000</v>
      </c>
      <c r="E1449" s="162">
        <v>0</v>
      </c>
      <c r="F1449" s="162">
        <v>19746.439999999999</v>
      </c>
      <c r="G1449" s="162" t="s">
        <v>1031</v>
      </c>
      <c r="H1449" s="162" t="s">
        <v>1680</v>
      </c>
    </row>
    <row r="1450" spans="1:8" x14ac:dyDescent="0.3">
      <c r="A1450" s="161">
        <v>46081.312418981477</v>
      </c>
      <c r="B1450" s="162" t="s">
        <v>2449</v>
      </c>
      <c r="C1450" s="162" t="s">
        <v>2450</v>
      </c>
      <c r="D1450" s="162">
        <v>8050</v>
      </c>
      <c r="E1450" s="162">
        <v>0</v>
      </c>
      <c r="F1450" s="162">
        <v>5171.43</v>
      </c>
      <c r="G1450" s="162" t="s">
        <v>2</v>
      </c>
      <c r="H1450" s="162" t="s">
        <v>1019</v>
      </c>
    </row>
    <row r="1451" spans="1:8" x14ac:dyDescent="0.3">
      <c r="A1451" s="161">
        <v>46081.91951388889</v>
      </c>
      <c r="B1451" s="162" t="s">
        <v>2451</v>
      </c>
      <c r="C1451" s="162" t="s">
        <v>2452</v>
      </c>
      <c r="D1451" s="162">
        <v>0</v>
      </c>
      <c r="E1451" s="162">
        <v>648.65</v>
      </c>
      <c r="F1451" s="162">
        <v>5820.08</v>
      </c>
      <c r="G1451" s="162" t="s">
        <v>91</v>
      </c>
      <c r="H1451" s="162" t="s">
        <v>1019</v>
      </c>
    </row>
    <row r="1452" spans="1:8" x14ac:dyDescent="0.3">
      <c r="A1452" s="161">
        <v>46082</v>
      </c>
      <c r="B1452" s="162" t="s">
        <v>1596</v>
      </c>
      <c r="C1452" s="162" t="s">
        <v>1005</v>
      </c>
      <c r="D1452" s="162">
        <v>1000</v>
      </c>
      <c r="E1452" s="162">
        <v>0</v>
      </c>
      <c r="F1452" s="162">
        <v>18746.439999999999</v>
      </c>
      <c r="G1452" s="162" t="s">
        <v>1028</v>
      </c>
      <c r="H1452" s="162" t="s">
        <v>1680</v>
      </c>
    </row>
    <row r="1453" spans="1:8" x14ac:dyDescent="0.3">
      <c r="A1453" s="161">
        <v>46082</v>
      </c>
      <c r="B1453" s="162" t="s">
        <v>1597</v>
      </c>
      <c r="C1453" s="162" t="s">
        <v>1005</v>
      </c>
      <c r="D1453" s="162">
        <v>5000</v>
      </c>
      <c r="E1453" s="162">
        <v>0</v>
      </c>
      <c r="F1453" s="162">
        <v>13746.44</v>
      </c>
      <c r="G1453" s="162" t="s">
        <v>1019</v>
      </c>
      <c r="H1453" s="162" t="s">
        <v>1680</v>
      </c>
    </row>
    <row r="1454" spans="1:8" x14ac:dyDescent="0.3">
      <c r="A1454" s="161">
        <v>46082.847361111111</v>
      </c>
      <c r="B1454" s="162" t="s">
        <v>2453</v>
      </c>
      <c r="C1454" s="162" t="s">
        <v>2454</v>
      </c>
      <c r="D1454" s="162">
        <v>0</v>
      </c>
      <c r="E1454" s="162">
        <v>5000</v>
      </c>
      <c r="F1454" s="162">
        <v>10820.08</v>
      </c>
      <c r="G1454" s="162" t="s">
        <v>1680</v>
      </c>
      <c r="H1454" s="162" t="s">
        <v>1019</v>
      </c>
    </row>
    <row r="1455" spans="1:8" x14ac:dyDescent="0.3">
      <c r="A1455" s="161">
        <v>46083</v>
      </c>
      <c r="B1455" s="162" t="s">
        <v>50</v>
      </c>
      <c r="C1455" s="162" t="s">
        <v>913</v>
      </c>
      <c r="D1455" s="162">
        <v>221.28</v>
      </c>
      <c r="E1455" s="162">
        <v>0</v>
      </c>
      <c r="F1455" s="162">
        <v>23702.97</v>
      </c>
      <c r="G1455" s="162" t="s">
        <v>49</v>
      </c>
      <c r="H1455" s="162" t="s">
        <v>1779</v>
      </c>
    </row>
    <row r="1456" spans="1:8" x14ac:dyDescent="0.3">
      <c r="A1456" s="161">
        <v>46083</v>
      </c>
      <c r="B1456" s="162" t="s">
        <v>1598</v>
      </c>
      <c r="C1456" s="162" t="s">
        <v>1005</v>
      </c>
      <c r="D1456" s="162">
        <v>1000</v>
      </c>
      <c r="E1456" s="162">
        <v>0</v>
      </c>
      <c r="F1456" s="162">
        <v>12746.44</v>
      </c>
      <c r="G1456" s="162" t="s">
        <v>1028</v>
      </c>
      <c r="H1456" s="162" t="s">
        <v>1680</v>
      </c>
    </row>
    <row r="1457" spans="1:8" x14ac:dyDescent="0.3">
      <c r="A1457" s="161">
        <v>46083</v>
      </c>
      <c r="B1457" s="162" t="s">
        <v>1599</v>
      </c>
      <c r="C1457" s="162" t="s">
        <v>1005</v>
      </c>
      <c r="D1457" s="162">
        <v>0</v>
      </c>
      <c r="E1457" s="162">
        <v>101580</v>
      </c>
      <c r="F1457" s="162">
        <v>114326.44</v>
      </c>
      <c r="G1457" s="162" t="s">
        <v>972</v>
      </c>
      <c r="H1457" s="162" t="s">
        <v>1680</v>
      </c>
    </row>
    <row r="1458" spans="1:8" x14ac:dyDescent="0.3">
      <c r="A1458" s="161">
        <v>46083</v>
      </c>
      <c r="B1458" s="162" t="s">
        <v>1600</v>
      </c>
      <c r="C1458" s="162" t="s">
        <v>1005</v>
      </c>
      <c r="D1458" s="162">
        <v>22053</v>
      </c>
      <c r="E1458" s="162">
        <v>0</v>
      </c>
      <c r="F1458" s="162">
        <v>92273.44</v>
      </c>
      <c r="G1458" s="162" t="s">
        <v>91</v>
      </c>
      <c r="H1458" s="162" t="s">
        <v>1680</v>
      </c>
    </row>
    <row r="1459" spans="1:8" x14ac:dyDescent="0.3">
      <c r="A1459" s="161">
        <v>46084</v>
      </c>
      <c r="B1459" s="162" t="s">
        <v>1601</v>
      </c>
      <c r="C1459" s="162" t="s">
        <v>1005</v>
      </c>
      <c r="D1459" s="162">
        <v>1534.59</v>
      </c>
      <c r="E1459" s="162">
        <v>0</v>
      </c>
      <c r="F1459" s="162">
        <v>90738.85</v>
      </c>
      <c r="G1459" s="162" t="s">
        <v>1028</v>
      </c>
      <c r="H1459" s="162" t="s">
        <v>1680</v>
      </c>
    </row>
    <row r="1460" spans="1:8" x14ac:dyDescent="0.3">
      <c r="A1460" s="161">
        <v>46084</v>
      </c>
      <c r="B1460" s="162" t="s">
        <v>1790</v>
      </c>
      <c r="C1460" s="162"/>
      <c r="D1460" s="162">
        <v>26000</v>
      </c>
      <c r="E1460" s="162">
        <v>0</v>
      </c>
      <c r="F1460" s="162">
        <v>10000</v>
      </c>
      <c r="G1460" s="162" t="s">
        <v>1735</v>
      </c>
      <c r="H1460" s="162" t="s">
        <v>837</v>
      </c>
    </row>
    <row r="1461" spans="1:8" x14ac:dyDescent="0.3">
      <c r="A1461" s="161">
        <v>46084</v>
      </c>
      <c r="B1461" s="162" t="s">
        <v>50</v>
      </c>
      <c r="C1461" s="162" t="s">
        <v>914</v>
      </c>
      <c r="D1461" s="162">
        <v>2116.73</v>
      </c>
      <c r="E1461" s="162">
        <v>0</v>
      </c>
      <c r="F1461" s="162">
        <v>21586.240000000002</v>
      </c>
      <c r="G1461" s="162" t="s">
        <v>49</v>
      </c>
      <c r="H1461" s="162" t="s">
        <v>1779</v>
      </c>
    </row>
    <row r="1462" spans="1:8" x14ac:dyDescent="0.3">
      <c r="A1462" s="161">
        <v>46084</v>
      </c>
      <c r="B1462" s="162" t="s">
        <v>1602</v>
      </c>
      <c r="C1462" s="162" t="s">
        <v>1005</v>
      </c>
      <c r="D1462" s="162">
        <v>26500</v>
      </c>
      <c r="E1462" s="162">
        <v>0</v>
      </c>
      <c r="F1462" s="162">
        <v>64238.85</v>
      </c>
      <c r="G1462" s="162" t="s">
        <v>990</v>
      </c>
      <c r="H1462" s="162" t="s">
        <v>1680</v>
      </c>
    </row>
    <row r="1463" spans="1:8" x14ac:dyDescent="0.3">
      <c r="A1463" s="161">
        <v>46084.310810185183</v>
      </c>
      <c r="B1463" s="162" t="s">
        <v>2455</v>
      </c>
      <c r="C1463" s="162" t="s">
        <v>2456</v>
      </c>
      <c r="D1463" s="162">
        <v>9257</v>
      </c>
      <c r="E1463" s="162">
        <v>0</v>
      </c>
      <c r="F1463" s="162">
        <v>1563.08</v>
      </c>
      <c r="G1463" s="162" t="s">
        <v>2</v>
      </c>
      <c r="H1463" s="162" t="s">
        <v>1019</v>
      </c>
    </row>
    <row r="1464" spans="1:8" x14ac:dyDescent="0.3">
      <c r="A1464" s="161">
        <v>46084.33834490741</v>
      </c>
      <c r="B1464" s="162" t="s">
        <v>2457</v>
      </c>
      <c r="C1464" s="162" t="s">
        <v>2458</v>
      </c>
      <c r="D1464" s="162">
        <v>500</v>
      </c>
      <c r="E1464" s="162">
        <v>0</v>
      </c>
      <c r="F1464" s="162">
        <v>1063.08</v>
      </c>
      <c r="G1464" s="162" t="s">
        <v>1701</v>
      </c>
      <c r="H1464" s="162" t="s">
        <v>1019</v>
      </c>
    </row>
    <row r="1465" spans="1:8" x14ac:dyDescent="0.3">
      <c r="A1465" s="161">
        <v>46085</v>
      </c>
      <c r="B1465" s="162" t="s">
        <v>50</v>
      </c>
      <c r="C1465" s="162" t="s">
        <v>915</v>
      </c>
      <c r="D1465" s="162">
        <v>146</v>
      </c>
      <c r="E1465" s="162">
        <v>0</v>
      </c>
      <c r="F1465" s="162">
        <v>21440.240000000002</v>
      </c>
      <c r="G1465" s="162" t="s">
        <v>49</v>
      </c>
      <c r="H1465" s="162" t="s">
        <v>1779</v>
      </c>
    </row>
    <row r="1466" spans="1:8" x14ac:dyDescent="0.3">
      <c r="A1466" s="161">
        <v>46085</v>
      </c>
      <c r="B1466" s="162" t="s">
        <v>50</v>
      </c>
      <c r="C1466" s="162" t="s">
        <v>916</v>
      </c>
      <c r="D1466" s="162">
        <v>2149.98</v>
      </c>
      <c r="E1466" s="162">
        <v>0</v>
      </c>
      <c r="F1466" s="162">
        <v>19290.259999999998</v>
      </c>
      <c r="G1466" s="162" t="s">
        <v>49</v>
      </c>
      <c r="H1466" s="162" t="s">
        <v>1779</v>
      </c>
    </row>
    <row r="1467" spans="1:8" x14ac:dyDescent="0.3">
      <c r="A1467" s="161">
        <v>46085.029398148137</v>
      </c>
      <c r="B1467" s="162" t="s">
        <v>2459</v>
      </c>
      <c r="C1467" s="162"/>
      <c r="D1467" s="162">
        <v>590</v>
      </c>
      <c r="E1467" s="162">
        <v>0</v>
      </c>
      <c r="F1467" s="162">
        <v>473.08</v>
      </c>
      <c r="G1467" s="162" t="s">
        <v>7</v>
      </c>
      <c r="H1467" s="162" t="s">
        <v>1019</v>
      </c>
    </row>
    <row r="1468" spans="1:8" x14ac:dyDescent="0.3">
      <c r="A1468" s="161">
        <v>46086</v>
      </c>
      <c r="B1468" s="162" t="s">
        <v>50</v>
      </c>
      <c r="C1468" s="162" t="s">
        <v>917</v>
      </c>
      <c r="D1468" s="162">
        <v>72.239999999999995</v>
      </c>
      <c r="E1468" s="162">
        <v>0</v>
      </c>
      <c r="F1468" s="162">
        <v>19218.02</v>
      </c>
      <c r="G1468" s="162" t="s">
        <v>49</v>
      </c>
      <c r="H1468" s="162" t="s">
        <v>1779</v>
      </c>
    </row>
    <row r="1469" spans="1:8" x14ac:dyDescent="0.3">
      <c r="A1469" s="161">
        <v>46087</v>
      </c>
      <c r="B1469" s="162" t="s">
        <v>1603</v>
      </c>
      <c r="C1469" s="162" t="s">
        <v>1005</v>
      </c>
      <c r="D1469" s="162">
        <v>20</v>
      </c>
      <c r="E1469" s="162">
        <v>0</v>
      </c>
      <c r="F1469" s="162">
        <v>64218.85</v>
      </c>
      <c r="G1469" s="162" t="s">
        <v>91</v>
      </c>
      <c r="H1469" s="162" t="s">
        <v>1680</v>
      </c>
    </row>
    <row r="1470" spans="1:8" x14ac:dyDescent="0.3">
      <c r="A1470" s="161">
        <v>46087</v>
      </c>
      <c r="B1470" s="162" t="s">
        <v>918</v>
      </c>
      <c r="C1470" s="162" t="s">
        <v>919</v>
      </c>
      <c r="D1470" s="162">
        <v>0</v>
      </c>
      <c r="E1470" s="162">
        <v>948.7</v>
      </c>
      <c r="F1470" s="162">
        <v>20166.72</v>
      </c>
      <c r="G1470" s="162" t="s">
        <v>49</v>
      </c>
      <c r="H1470" s="162" t="s">
        <v>1779</v>
      </c>
    </row>
    <row r="1471" spans="1:8" x14ac:dyDescent="0.3">
      <c r="A1471" s="161">
        <v>46087</v>
      </c>
      <c r="B1471" s="162" t="s">
        <v>50</v>
      </c>
      <c r="C1471" s="162" t="s">
        <v>920</v>
      </c>
      <c r="D1471" s="162">
        <v>72.239999999999995</v>
      </c>
      <c r="E1471" s="162">
        <v>0</v>
      </c>
      <c r="F1471" s="162">
        <v>20094.48</v>
      </c>
      <c r="G1471" s="162" t="s">
        <v>49</v>
      </c>
      <c r="H1471" s="162" t="s">
        <v>1779</v>
      </c>
    </row>
    <row r="1472" spans="1:8" x14ac:dyDescent="0.3">
      <c r="A1472" s="161">
        <v>46087</v>
      </c>
      <c r="B1472" s="162" t="s">
        <v>921</v>
      </c>
      <c r="C1472" s="162" t="s">
        <v>922</v>
      </c>
      <c r="D1472" s="162">
        <v>0</v>
      </c>
      <c r="E1472" s="162">
        <v>85000</v>
      </c>
      <c r="F1472" s="162">
        <v>105094.48</v>
      </c>
      <c r="G1472" s="162" t="s">
        <v>157</v>
      </c>
      <c r="H1472" s="162" t="s">
        <v>1779</v>
      </c>
    </row>
    <row r="1473" spans="1:8" x14ac:dyDescent="0.3">
      <c r="A1473" s="161">
        <v>46087</v>
      </c>
      <c r="B1473" s="162" t="s">
        <v>59</v>
      </c>
      <c r="C1473" s="162" t="s">
        <v>923</v>
      </c>
      <c r="D1473" s="162">
        <v>0</v>
      </c>
      <c r="E1473" s="162">
        <v>769.5</v>
      </c>
      <c r="F1473" s="162">
        <v>105863.98</v>
      </c>
      <c r="G1473" s="162" t="s">
        <v>49</v>
      </c>
      <c r="H1473" s="162" t="s">
        <v>1779</v>
      </c>
    </row>
    <row r="1474" spans="1:8" x14ac:dyDescent="0.3">
      <c r="A1474" s="161">
        <v>46088</v>
      </c>
      <c r="B1474" s="162" t="s">
        <v>1791</v>
      </c>
      <c r="C1474" s="162"/>
      <c r="D1474" s="162">
        <v>0</v>
      </c>
      <c r="E1474" s="162">
        <v>20</v>
      </c>
      <c r="F1474" s="162">
        <v>10020</v>
      </c>
      <c r="G1474" s="162" t="s">
        <v>1658</v>
      </c>
      <c r="H1474" s="162" t="s">
        <v>837</v>
      </c>
    </row>
    <row r="1475" spans="1:8" x14ac:dyDescent="0.3">
      <c r="A1475" s="161">
        <v>46088</v>
      </c>
      <c r="B1475" s="162" t="s">
        <v>924</v>
      </c>
      <c r="C1475" s="162" t="s">
        <v>83</v>
      </c>
      <c r="D1475" s="162">
        <v>100000</v>
      </c>
      <c r="E1475" s="162">
        <v>0</v>
      </c>
      <c r="F1475" s="162">
        <v>5863.98</v>
      </c>
      <c r="G1475" s="162" t="s">
        <v>343</v>
      </c>
      <c r="H1475" s="162" t="s">
        <v>1779</v>
      </c>
    </row>
    <row r="1476" spans="1:8" x14ac:dyDescent="0.3">
      <c r="A1476" s="161">
        <v>46088</v>
      </c>
      <c r="B1476" s="162" t="s">
        <v>925</v>
      </c>
      <c r="C1476" s="162" t="s">
        <v>926</v>
      </c>
      <c r="D1476" s="162">
        <v>0</v>
      </c>
      <c r="E1476" s="162">
        <v>1880</v>
      </c>
      <c r="F1476" s="162">
        <v>7743.98</v>
      </c>
      <c r="G1476" s="162" t="s">
        <v>63</v>
      </c>
      <c r="H1476" s="162" t="s">
        <v>1779</v>
      </c>
    </row>
    <row r="1477" spans="1:8" x14ac:dyDescent="0.3">
      <c r="A1477" s="161">
        <v>46088</v>
      </c>
      <c r="B1477" s="162" t="s">
        <v>1604</v>
      </c>
      <c r="C1477" s="162" t="s">
        <v>1005</v>
      </c>
      <c r="D1477" s="162">
        <v>30</v>
      </c>
      <c r="E1477" s="162">
        <v>0</v>
      </c>
      <c r="F1477" s="162">
        <v>64188.85</v>
      </c>
      <c r="G1477" s="162" t="s">
        <v>91</v>
      </c>
      <c r="H1477" s="162" t="s">
        <v>1680</v>
      </c>
    </row>
    <row r="1478" spans="1:8" x14ac:dyDescent="0.3">
      <c r="A1478" s="161">
        <v>46090</v>
      </c>
      <c r="B1478" s="162" t="s">
        <v>1792</v>
      </c>
      <c r="C1478" s="162"/>
      <c r="D1478" s="162">
        <v>0</v>
      </c>
      <c r="E1478" s="162">
        <v>2130</v>
      </c>
      <c r="F1478" s="162">
        <v>12150</v>
      </c>
      <c r="G1478" s="162" t="s">
        <v>91</v>
      </c>
      <c r="H1478" s="162" t="s">
        <v>837</v>
      </c>
    </row>
    <row r="1479" spans="1:8" x14ac:dyDescent="0.3">
      <c r="A1479" s="161">
        <v>46090</v>
      </c>
      <c r="B1479" s="162" t="s">
        <v>50</v>
      </c>
      <c r="C1479" s="162" t="s">
        <v>930</v>
      </c>
      <c r="D1479" s="162">
        <v>2716.8</v>
      </c>
      <c r="E1479" s="162">
        <v>0</v>
      </c>
      <c r="F1479" s="162">
        <v>24750</v>
      </c>
      <c r="G1479" s="162" t="s">
        <v>49</v>
      </c>
      <c r="H1479" s="162" t="s">
        <v>1779</v>
      </c>
    </row>
    <row r="1480" spans="1:8" x14ac:dyDescent="0.3">
      <c r="A1480" s="161">
        <v>46090</v>
      </c>
      <c r="B1480" s="162" t="s">
        <v>927</v>
      </c>
      <c r="C1480" s="162" t="s">
        <v>928</v>
      </c>
      <c r="D1480" s="162">
        <v>0</v>
      </c>
      <c r="E1480" s="162">
        <v>19941.37</v>
      </c>
      <c r="F1480" s="162">
        <v>27685.35</v>
      </c>
      <c r="G1480" s="162" t="s">
        <v>49</v>
      </c>
      <c r="H1480" s="162" t="s">
        <v>1779</v>
      </c>
    </row>
    <row r="1481" spans="1:8" x14ac:dyDescent="0.3">
      <c r="A1481" s="161">
        <v>46090</v>
      </c>
      <c r="B1481" s="162" t="s">
        <v>50</v>
      </c>
      <c r="C1481" s="162" t="s">
        <v>929</v>
      </c>
      <c r="D1481" s="162">
        <v>218.55</v>
      </c>
      <c r="E1481" s="162">
        <v>0</v>
      </c>
      <c r="F1481" s="162">
        <v>27466.799999999999</v>
      </c>
      <c r="G1481" s="162" t="s">
        <v>49</v>
      </c>
      <c r="H1481" s="162" t="s">
        <v>1779</v>
      </c>
    </row>
    <row r="1482" spans="1:8" x14ac:dyDescent="0.3">
      <c r="A1482" s="161">
        <v>46090</v>
      </c>
      <c r="B1482" s="162" t="s">
        <v>1606</v>
      </c>
      <c r="C1482" s="162" t="s">
        <v>1005</v>
      </c>
      <c r="D1482" s="162">
        <v>10000</v>
      </c>
      <c r="E1482" s="162">
        <v>0</v>
      </c>
      <c r="F1482" s="162">
        <v>54188.85</v>
      </c>
      <c r="G1482" s="162" t="s">
        <v>1019</v>
      </c>
      <c r="H1482" s="162" t="s">
        <v>1680</v>
      </c>
    </row>
    <row r="1483" spans="1:8" x14ac:dyDescent="0.3">
      <c r="A1483" s="161">
        <v>46090.546215277784</v>
      </c>
      <c r="B1483" s="162" t="s">
        <v>2460</v>
      </c>
      <c r="C1483" s="162" t="s">
        <v>2461</v>
      </c>
      <c r="D1483" s="162">
        <v>0</v>
      </c>
      <c r="E1483" s="162">
        <v>10000</v>
      </c>
      <c r="F1483" s="162">
        <v>10473.08</v>
      </c>
      <c r="G1483" s="162" t="s">
        <v>1680</v>
      </c>
      <c r="H1483" s="162" t="s">
        <v>1019</v>
      </c>
    </row>
    <row r="1484" spans="1:8" x14ac:dyDescent="0.3">
      <c r="A1484" s="161">
        <v>46090.547152777777</v>
      </c>
      <c r="B1484" s="162" t="s">
        <v>2462</v>
      </c>
      <c r="C1484" s="162" t="s">
        <v>2463</v>
      </c>
      <c r="D1484" s="162">
        <v>7000</v>
      </c>
      <c r="E1484" s="162">
        <v>0</v>
      </c>
      <c r="F1484" s="162">
        <v>3473.08</v>
      </c>
      <c r="G1484" s="162" t="s">
        <v>1735</v>
      </c>
      <c r="H1484" s="162" t="s">
        <v>1019</v>
      </c>
    </row>
    <row r="1485" spans="1:8" x14ac:dyDescent="0.3">
      <c r="A1485" s="161">
        <v>46091</v>
      </c>
      <c r="B1485" s="162" t="s">
        <v>1607</v>
      </c>
      <c r="C1485" s="162" t="s">
        <v>1005</v>
      </c>
      <c r="D1485" s="162">
        <v>110</v>
      </c>
      <c r="E1485" s="162">
        <v>0</v>
      </c>
      <c r="F1485" s="162">
        <v>54078.85</v>
      </c>
      <c r="G1485" s="162" t="s">
        <v>91</v>
      </c>
      <c r="H1485" s="162" t="s">
        <v>1680</v>
      </c>
    </row>
    <row r="1486" spans="1:8" x14ac:dyDescent="0.3">
      <c r="A1486" s="161">
        <v>46091</v>
      </c>
      <c r="B1486" s="162" t="s">
        <v>50</v>
      </c>
      <c r="C1486" s="162" t="s">
        <v>931</v>
      </c>
      <c r="D1486" s="162">
        <v>71.88</v>
      </c>
      <c r="E1486" s="162">
        <v>0</v>
      </c>
      <c r="F1486" s="162">
        <v>24678.12</v>
      </c>
      <c r="G1486" s="162" t="s">
        <v>49</v>
      </c>
      <c r="H1486" s="162" t="s">
        <v>1779</v>
      </c>
    </row>
    <row r="1487" spans="1:8" x14ac:dyDescent="0.3">
      <c r="A1487" s="161">
        <v>46091</v>
      </c>
      <c r="B1487" s="162" t="s">
        <v>1608</v>
      </c>
      <c r="C1487" s="162" t="s">
        <v>1005</v>
      </c>
      <c r="D1487" s="162">
        <v>35</v>
      </c>
      <c r="E1487" s="162">
        <v>0</v>
      </c>
      <c r="F1487" s="162">
        <v>54043.85</v>
      </c>
      <c r="G1487" s="162" t="s">
        <v>91</v>
      </c>
      <c r="H1487" s="162" t="s">
        <v>1680</v>
      </c>
    </row>
    <row r="1488" spans="1:8" x14ac:dyDescent="0.3">
      <c r="A1488" s="161">
        <v>46091</v>
      </c>
      <c r="B1488" s="162" t="s">
        <v>1610</v>
      </c>
      <c r="C1488" s="162" t="s">
        <v>1005</v>
      </c>
      <c r="D1488" s="162">
        <v>50</v>
      </c>
      <c r="E1488" s="162">
        <v>0</v>
      </c>
      <c r="F1488" s="162">
        <v>53993.85</v>
      </c>
      <c r="G1488" s="162" t="s">
        <v>91</v>
      </c>
      <c r="H1488" s="162" t="s">
        <v>1680</v>
      </c>
    </row>
    <row r="1489" spans="1:8" x14ac:dyDescent="0.3">
      <c r="A1489" s="161">
        <v>46091</v>
      </c>
      <c r="B1489" s="162" t="s">
        <v>1612</v>
      </c>
      <c r="C1489" s="162" t="s">
        <v>1005</v>
      </c>
      <c r="D1489" s="162">
        <v>27</v>
      </c>
      <c r="E1489" s="162">
        <v>0</v>
      </c>
      <c r="F1489" s="162">
        <v>53966.85</v>
      </c>
      <c r="G1489" s="162" t="s">
        <v>91</v>
      </c>
      <c r="H1489" s="162" t="s">
        <v>1680</v>
      </c>
    </row>
    <row r="1490" spans="1:8" x14ac:dyDescent="0.3">
      <c r="A1490" s="161">
        <v>46091</v>
      </c>
      <c r="B1490" s="162" t="s">
        <v>1614</v>
      </c>
      <c r="C1490" s="162" t="s">
        <v>1005</v>
      </c>
      <c r="D1490" s="162">
        <v>20</v>
      </c>
      <c r="E1490" s="162">
        <v>0</v>
      </c>
      <c r="F1490" s="162">
        <v>53946.85</v>
      </c>
      <c r="G1490" s="162" t="s">
        <v>91</v>
      </c>
      <c r="H1490" s="162" t="s">
        <v>1680</v>
      </c>
    </row>
    <row r="1491" spans="1:8" x14ac:dyDescent="0.3">
      <c r="A1491" s="161">
        <v>46092</v>
      </c>
      <c r="B1491" s="162" t="s">
        <v>50</v>
      </c>
      <c r="C1491" s="162" t="s">
        <v>935</v>
      </c>
      <c r="D1491" s="162">
        <v>2382.15</v>
      </c>
      <c r="E1491" s="162">
        <v>0</v>
      </c>
      <c r="F1491" s="162">
        <v>23671.119999999999</v>
      </c>
      <c r="G1491" s="162" t="s">
        <v>49</v>
      </c>
      <c r="H1491" s="162" t="s">
        <v>1779</v>
      </c>
    </row>
    <row r="1492" spans="1:8" x14ac:dyDescent="0.3">
      <c r="A1492" s="161">
        <v>46092</v>
      </c>
      <c r="B1492" s="162" t="s">
        <v>50</v>
      </c>
      <c r="C1492" s="162" t="s">
        <v>934</v>
      </c>
      <c r="D1492" s="162">
        <v>71.88</v>
      </c>
      <c r="E1492" s="162">
        <v>0</v>
      </c>
      <c r="F1492" s="162">
        <v>26053.27</v>
      </c>
      <c r="G1492" s="162" t="s">
        <v>49</v>
      </c>
      <c r="H1492" s="162" t="s">
        <v>1779</v>
      </c>
    </row>
    <row r="1493" spans="1:8" x14ac:dyDescent="0.3">
      <c r="A1493" s="161">
        <v>46092</v>
      </c>
      <c r="B1493" s="162" t="s">
        <v>932</v>
      </c>
      <c r="C1493" s="162" t="s">
        <v>933</v>
      </c>
      <c r="D1493" s="162">
        <v>0</v>
      </c>
      <c r="E1493" s="162">
        <v>1447.03</v>
      </c>
      <c r="F1493" s="162">
        <v>26125.15</v>
      </c>
      <c r="G1493" s="162" t="s">
        <v>49</v>
      </c>
      <c r="H1493" s="162" t="s">
        <v>1779</v>
      </c>
    </row>
    <row r="1494" spans="1:8" x14ac:dyDescent="0.3">
      <c r="A1494" s="161">
        <v>46093</v>
      </c>
      <c r="B1494" s="162" t="s">
        <v>50</v>
      </c>
      <c r="C1494" s="162" t="s">
        <v>937</v>
      </c>
      <c r="D1494" s="162">
        <v>2247.48</v>
      </c>
      <c r="E1494" s="162">
        <v>0</v>
      </c>
      <c r="F1494" s="162">
        <v>21352.09</v>
      </c>
      <c r="G1494" s="162" t="s">
        <v>49</v>
      </c>
      <c r="H1494" s="162" t="s">
        <v>1779</v>
      </c>
    </row>
    <row r="1495" spans="1:8" x14ac:dyDescent="0.3">
      <c r="A1495" s="161">
        <v>46093</v>
      </c>
      <c r="B1495" s="162" t="s">
        <v>50</v>
      </c>
      <c r="C1495" s="162" t="s">
        <v>936</v>
      </c>
      <c r="D1495" s="162">
        <v>71.55</v>
      </c>
      <c r="E1495" s="162">
        <v>0</v>
      </c>
      <c r="F1495" s="162">
        <v>23599.57</v>
      </c>
      <c r="G1495" s="162" t="s">
        <v>49</v>
      </c>
      <c r="H1495" s="162" t="s">
        <v>1779</v>
      </c>
    </row>
    <row r="1496" spans="1:8" x14ac:dyDescent="0.3">
      <c r="A1496" s="161">
        <v>46094</v>
      </c>
      <c r="B1496" s="162" t="s">
        <v>1615</v>
      </c>
      <c r="C1496" s="162" t="s">
        <v>1005</v>
      </c>
      <c r="D1496" s="162">
        <v>15409</v>
      </c>
      <c r="E1496" s="162">
        <v>0</v>
      </c>
      <c r="F1496" s="162">
        <v>38537.85</v>
      </c>
      <c r="G1496" s="162" t="s">
        <v>112</v>
      </c>
      <c r="H1496" s="162" t="s">
        <v>1680</v>
      </c>
    </row>
    <row r="1497" spans="1:8" x14ac:dyDescent="0.3">
      <c r="A1497" s="161">
        <v>46094</v>
      </c>
      <c r="B1497" s="162" t="s">
        <v>50</v>
      </c>
      <c r="C1497" s="162" t="s">
        <v>939</v>
      </c>
      <c r="D1497" s="162">
        <v>3953.98</v>
      </c>
      <c r="E1497" s="162">
        <v>0</v>
      </c>
      <c r="F1497" s="162">
        <v>17327.36</v>
      </c>
      <c r="G1497" s="162" t="s">
        <v>49</v>
      </c>
      <c r="H1497" s="162" t="s">
        <v>1779</v>
      </c>
    </row>
    <row r="1498" spans="1:8" x14ac:dyDescent="0.3">
      <c r="A1498" s="161">
        <v>46094</v>
      </c>
      <c r="B1498" s="162" t="s">
        <v>50</v>
      </c>
      <c r="C1498" s="162" t="s">
        <v>938</v>
      </c>
      <c r="D1498" s="162">
        <v>70.75</v>
      </c>
      <c r="E1498" s="162">
        <v>0</v>
      </c>
      <c r="F1498" s="162">
        <v>21281.34</v>
      </c>
      <c r="G1498" s="162" t="s">
        <v>49</v>
      </c>
      <c r="H1498" s="162" t="s">
        <v>1779</v>
      </c>
    </row>
    <row r="1499" spans="1:8" x14ac:dyDescent="0.3">
      <c r="A1499" s="161">
        <v>46094</v>
      </c>
      <c r="B1499" s="162" t="s">
        <v>1617</v>
      </c>
      <c r="C1499" s="162" t="s">
        <v>1005</v>
      </c>
      <c r="D1499" s="162">
        <v>22000</v>
      </c>
      <c r="E1499" s="162">
        <v>0</v>
      </c>
      <c r="F1499" s="162">
        <v>16507.849999999999</v>
      </c>
      <c r="G1499" s="162" t="s">
        <v>1363</v>
      </c>
      <c r="H1499" s="162" t="s">
        <v>1680</v>
      </c>
    </row>
    <row r="1500" spans="1:8" x14ac:dyDescent="0.3">
      <c r="A1500" s="161">
        <v>46094</v>
      </c>
      <c r="B1500" s="162" t="s">
        <v>1616</v>
      </c>
      <c r="C1500" s="162" t="s">
        <v>1005</v>
      </c>
      <c r="D1500" s="162">
        <v>30</v>
      </c>
      <c r="E1500" s="162">
        <v>0</v>
      </c>
      <c r="F1500" s="162">
        <v>38507.85</v>
      </c>
      <c r="G1500" s="162" t="s">
        <v>91</v>
      </c>
      <c r="H1500" s="162" t="s">
        <v>1680</v>
      </c>
    </row>
    <row r="1501" spans="1:8" x14ac:dyDescent="0.3">
      <c r="A1501" s="161">
        <v>46096</v>
      </c>
      <c r="B1501" s="162" t="s">
        <v>1793</v>
      </c>
      <c r="C1501" s="162"/>
      <c r="D1501" s="162">
        <v>4513.6000000000004</v>
      </c>
      <c r="E1501" s="162">
        <v>0</v>
      </c>
      <c r="F1501" s="162">
        <v>7636.4</v>
      </c>
      <c r="G1501" s="162" t="s">
        <v>1014</v>
      </c>
      <c r="H1501" s="162" t="s">
        <v>837</v>
      </c>
    </row>
    <row r="1502" spans="1:8" x14ac:dyDescent="0.3">
      <c r="A1502" s="161">
        <v>46097</v>
      </c>
      <c r="B1502" s="162" t="s">
        <v>50</v>
      </c>
      <c r="C1502" s="162" t="s">
        <v>940</v>
      </c>
      <c r="D1502" s="162">
        <v>208.02</v>
      </c>
      <c r="E1502" s="162">
        <v>0</v>
      </c>
      <c r="F1502" s="162">
        <v>17119.34</v>
      </c>
      <c r="G1502" s="162" t="s">
        <v>49</v>
      </c>
      <c r="H1502" s="162" t="s">
        <v>1779</v>
      </c>
    </row>
    <row r="1503" spans="1:8" x14ac:dyDescent="0.3">
      <c r="A1503" s="161">
        <v>46098</v>
      </c>
      <c r="B1503" s="162" t="s">
        <v>50</v>
      </c>
      <c r="C1503" s="162" t="s">
        <v>943</v>
      </c>
      <c r="D1503" s="162">
        <v>69.34</v>
      </c>
      <c r="E1503" s="162">
        <v>0</v>
      </c>
      <c r="F1503" s="162">
        <v>18842.77</v>
      </c>
      <c r="G1503" s="162" t="s">
        <v>49</v>
      </c>
      <c r="H1503" s="162" t="s">
        <v>1779</v>
      </c>
    </row>
    <row r="1504" spans="1:8" x14ac:dyDescent="0.3">
      <c r="A1504" s="161">
        <v>46098</v>
      </c>
      <c r="B1504" s="162" t="s">
        <v>941</v>
      </c>
      <c r="C1504" s="162" t="s">
        <v>942</v>
      </c>
      <c r="D1504" s="162">
        <v>0</v>
      </c>
      <c r="E1504" s="162">
        <v>1792.77</v>
      </c>
      <c r="F1504" s="162">
        <v>18912.11</v>
      </c>
      <c r="G1504" s="162" t="s">
        <v>49</v>
      </c>
      <c r="H1504" s="162" t="s">
        <v>1779</v>
      </c>
    </row>
    <row r="1505" spans="1:8" x14ac:dyDescent="0.3">
      <c r="A1505" s="161">
        <v>46099</v>
      </c>
      <c r="B1505" s="162" t="s">
        <v>50</v>
      </c>
      <c r="C1505" s="162" t="s">
        <v>946</v>
      </c>
      <c r="D1505" s="162">
        <v>69.98</v>
      </c>
      <c r="E1505" s="162">
        <v>0</v>
      </c>
      <c r="F1505" s="162">
        <v>21236.16</v>
      </c>
      <c r="G1505" s="162" t="s">
        <v>49</v>
      </c>
      <c r="H1505" s="162" t="s">
        <v>1779</v>
      </c>
    </row>
    <row r="1506" spans="1:8" x14ac:dyDescent="0.3">
      <c r="A1506" s="161">
        <v>46099</v>
      </c>
      <c r="B1506" s="162" t="s">
        <v>944</v>
      </c>
      <c r="C1506" s="162" t="s">
        <v>945</v>
      </c>
      <c r="D1506" s="162">
        <v>0</v>
      </c>
      <c r="E1506" s="162">
        <v>2463.37</v>
      </c>
      <c r="F1506" s="162">
        <v>21306.14</v>
      </c>
      <c r="G1506" s="162" t="s">
        <v>49</v>
      </c>
      <c r="H1506" s="162" t="s">
        <v>1779</v>
      </c>
    </row>
    <row r="1507" spans="1:8" x14ac:dyDescent="0.3">
      <c r="A1507" s="161">
        <v>46100</v>
      </c>
      <c r="B1507" s="162" t="s">
        <v>1794</v>
      </c>
      <c r="C1507" s="162"/>
      <c r="D1507" s="162">
        <v>20</v>
      </c>
      <c r="E1507" s="162">
        <v>0</v>
      </c>
      <c r="F1507" s="162">
        <v>7616.4</v>
      </c>
      <c r="G1507" s="162" t="s">
        <v>1795</v>
      </c>
      <c r="H1507" s="162" t="s">
        <v>837</v>
      </c>
    </row>
    <row r="1508" spans="1:8" x14ac:dyDescent="0.3">
      <c r="A1508" s="161">
        <v>46100</v>
      </c>
      <c r="B1508" s="162" t="s">
        <v>50</v>
      </c>
      <c r="C1508" s="162" t="s">
        <v>947</v>
      </c>
      <c r="D1508" s="162">
        <v>4745.66</v>
      </c>
      <c r="E1508" s="162">
        <v>0</v>
      </c>
      <c r="F1508" s="162">
        <v>16490.5</v>
      </c>
      <c r="G1508" s="162" t="s">
        <v>49</v>
      </c>
      <c r="H1508" s="162" t="s">
        <v>1779</v>
      </c>
    </row>
    <row r="1509" spans="1:8" x14ac:dyDescent="0.3">
      <c r="A1509" s="161">
        <v>46101</v>
      </c>
      <c r="B1509" s="162" t="s">
        <v>1618</v>
      </c>
      <c r="C1509" s="162" t="s">
        <v>1005</v>
      </c>
      <c r="D1509" s="162">
        <v>500</v>
      </c>
      <c r="E1509" s="162">
        <v>0</v>
      </c>
      <c r="F1509" s="162">
        <v>16007.85</v>
      </c>
      <c r="G1509" s="162" t="s">
        <v>91</v>
      </c>
      <c r="H1509" s="162" t="s">
        <v>1680</v>
      </c>
    </row>
    <row r="1510" spans="1:8" x14ac:dyDescent="0.3">
      <c r="A1510" s="161">
        <v>46101</v>
      </c>
      <c r="B1510" s="162" t="s">
        <v>1619</v>
      </c>
      <c r="C1510" s="162" t="s">
        <v>1005</v>
      </c>
      <c r="D1510" s="162">
        <v>100</v>
      </c>
      <c r="E1510" s="162">
        <v>0</v>
      </c>
      <c r="F1510" s="162">
        <v>15907.85</v>
      </c>
      <c r="G1510" s="162" t="s">
        <v>91</v>
      </c>
      <c r="H1510" s="162" t="s">
        <v>1680</v>
      </c>
    </row>
    <row r="1511" spans="1:8" x14ac:dyDescent="0.3">
      <c r="A1511" s="161">
        <v>46101</v>
      </c>
      <c r="B1511" s="162" t="s">
        <v>1620</v>
      </c>
      <c r="C1511" s="162" t="s">
        <v>1005</v>
      </c>
      <c r="D1511" s="162">
        <v>20</v>
      </c>
      <c r="E1511" s="162">
        <v>0</v>
      </c>
      <c r="F1511" s="162">
        <v>15887.85</v>
      </c>
      <c r="G1511" s="162" t="s">
        <v>91</v>
      </c>
      <c r="H1511" s="162" t="s">
        <v>1680</v>
      </c>
    </row>
    <row r="1512" spans="1:8" x14ac:dyDescent="0.3">
      <c r="A1512" s="161">
        <v>46101</v>
      </c>
      <c r="B1512" s="162" t="s">
        <v>1796</v>
      </c>
      <c r="C1512" s="162"/>
      <c r="D1512" s="162">
        <v>0</v>
      </c>
      <c r="E1512" s="162">
        <v>8</v>
      </c>
      <c r="F1512" s="162">
        <v>7624.4</v>
      </c>
      <c r="G1512" s="162" t="s">
        <v>1658</v>
      </c>
      <c r="H1512" s="162" t="s">
        <v>837</v>
      </c>
    </row>
    <row r="1513" spans="1:8" x14ac:dyDescent="0.3">
      <c r="A1513" s="161">
        <v>46101</v>
      </c>
      <c r="B1513" s="162" t="s">
        <v>1621</v>
      </c>
      <c r="C1513" s="162" t="s">
        <v>1005</v>
      </c>
      <c r="D1513" s="162">
        <v>27</v>
      </c>
      <c r="E1513" s="162">
        <v>0</v>
      </c>
      <c r="F1513" s="162">
        <v>15860.85</v>
      </c>
      <c r="G1513" s="162" t="s">
        <v>91</v>
      </c>
      <c r="H1513" s="162" t="s">
        <v>1680</v>
      </c>
    </row>
    <row r="1514" spans="1:8" x14ac:dyDescent="0.3">
      <c r="A1514" s="161">
        <v>46101</v>
      </c>
      <c r="B1514" s="162" t="s">
        <v>50</v>
      </c>
      <c r="C1514" s="162" t="s">
        <v>948</v>
      </c>
      <c r="D1514" s="162">
        <v>69.19</v>
      </c>
      <c r="E1514" s="162">
        <v>0</v>
      </c>
      <c r="F1514" s="162">
        <v>16421.310000000001</v>
      </c>
      <c r="G1514" s="162" t="s">
        <v>49</v>
      </c>
      <c r="H1514" s="162" t="s">
        <v>1779</v>
      </c>
    </row>
    <row r="1515" spans="1:8" x14ac:dyDescent="0.3">
      <c r="A1515" s="161">
        <v>46102</v>
      </c>
      <c r="B1515" s="162" t="s">
        <v>949</v>
      </c>
      <c r="C1515" s="162" t="s">
        <v>950</v>
      </c>
      <c r="D1515" s="162">
        <v>295</v>
      </c>
      <c r="E1515" s="162">
        <v>0</v>
      </c>
      <c r="F1515" s="162">
        <v>16126.31</v>
      </c>
      <c r="G1515" s="162" t="s">
        <v>7</v>
      </c>
      <c r="H1515" s="162" t="s">
        <v>1779</v>
      </c>
    </row>
    <row r="1516" spans="1:8" x14ac:dyDescent="0.3">
      <c r="A1516" s="161">
        <v>46103</v>
      </c>
      <c r="B1516" s="162" t="s">
        <v>1623</v>
      </c>
      <c r="C1516" s="162" t="s">
        <v>1005</v>
      </c>
      <c r="D1516" s="162">
        <v>1001</v>
      </c>
      <c r="E1516" s="162">
        <v>0</v>
      </c>
      <c r="F1516" s="162">
        <v>14859.85</v>
      </c>
      <c r="G1516" s="162" t="s">
        <v>1028</v>
      </c>
      <c r="H1516" s="162" t="s">
        <v>1680</v>
      </c>
    </row>
    <row r="1517" spans="1:8" x14ac:dyDescent="0.3">
      <c r="A1517" s="161">
        <v>46104</v>
      </c>
      <c r="B1517" s="162" t="s">
        <v>951</v>
      </c>
      <c r="C1517" s="162" t="s">
        <v>952</v>
      </c>
      <c r="D1517" s="162">
        <v>0</v>
      </c>
      <c r="E1517" s="162">
        <v>625.89</v>
      </c>
      <c r="F1517" s="162">
        <v>16752.2</v>
      </c>
      <c r="G1517" s="162" t="s">
        <v>49</v>
      </c>
      <c r="H1517" s="162" t="s">
        <v>1779</v>
      </c>
    </row>
    <row r="1518" spans="1:8" x14ac:dyDescent="0.3">
      <c r="A1518" s="161">
        <v>46104</v>
      </c>
      <c r="B1518" s="162" t="s">
        <v>50</v>
      </c>
      <c r="C1518" s="162" t="s">
        <v>953</v>
      </c>
      <c r="D1518" s="162">
        <v>207.57</v>
      </c>
      <c r="E1518" s="162">
        <v>0</v>
      </c>
      <c r="F1518" s="162">
        <v>16544.63</v>
      </c>
      <c r="G1518" s="162" t="s">
        <v>49</v>
      </c>
      <c r="H1518" s="162" t="s">
        <v>1779</v>
      </c>
    </row>
    <row r="1519" spans="1:8" x14ac:dyDescent="0.3">
      <c r="A1519" s="161">
        <v>46104</v>
      </c>
      <c r="B1519" s="162" t="s">
        <v>50</v>
      </c>
      <c r="C1519" s="162" t="s">
        <v>954</v>
      </c>
      <c r="D1519" s="162">
        <v>7701.08</v>
      </c>
      <c r="E1519" s="162">
        <v>0</v>
      </c>
      <c r="F1519" s="162">
        <v>8843.5499999999993</v>
      </c>
      <c r="G1519" s="162" t="s">
        <v>49</v>
      </c>
      <c r="H1519" s="162" t="s">
        <v>1779</v>
      </c>
    </row>
    <row r="1520" spans="1:8" x14ac:dyDescent="0.3">
      <c r="A1520" s="161">
        <v>46104</v>
      </c>
      <c r="B1520" s="162" t="s">
        <v>1624</v>
      </c>
      <c r="C1520" s="162" t="s">
        <v>1005</v>
      </c>
      <c r="D1520" s="162">
        <v>1000</v>
      </c>
      <c r="E1520" s="162">
        <v>0</v>
      </c>
      <c r="F1520" s="162">
        <v>13859.85</v>
      </c>
      <c r="G1520" s="162" t="s">
        <v>1028</v>
      </c>
      <c r="H1520" s="162" t="s">
        <v>1680</v>
      </c>
    </row>
    <row r="1521" spans="1:8" x14ac:dyDescent="0.3">
      <c r="A1521" s="161">
        <v>46104</v>
      </c>
      <c r="B1521" s="162" t="s">
        <v>1625</v>
      </c>
      <c r="C1521" s="162" t="s">
        <v>1005</v>
      </c>
      <c r="D1521" s="162">
        <v>0</v>
      </c>
      <c r="E1521" s="162">
        <v>1000</v>
      </c>
      <c r="F1521" s="162">
        <v>14859.85</v>
      </c>
      <c r="G1521" s="162" t="s">
        <v>1031</v>
      </c>
      <c r="H1521" s="162" t="s">
        <v>1680</v>
      </c>
    </row>
    <row r="1522" spans="1:8" x14ac:dyDescent="0.3">
      <c r="A1522" s="161">
        <v>46104</v>
      </c>
      <c r="B1522" s="162" t="s">
        <v>1797</v>
      </c>
      <c r="C1522" s="162"/>
      <c r="D1522" s="162">
        <v>0</v>
      </c>
      <c r="E1522" s="162">
        <v>50</v>
      </c>
      <c r="F1522" s="162">
        <v>7674.4</v>
      </c>
      <c r="G1522" s="162" t="s">
        <v>1658</v>
      </c>
      <c r="H1522" s="162" t="s">
        <v>837</v>
      </c>
    </row>
    <row r="1523" spans="1:8" x14ac:dyDescent="0.3">
      <c r="A1523" s="161">
        <v>46105</v>
      </c>
      <c r="B1523" s="162" t="s">
        <v>1626</v>
      </c>
      <c r="C1523" s="162" t="s">
        <v>1005</v>
      </c>
      <c r="D1523" s="162">
        <v>1000</v>
      </c>
      <c r="E1523" s="162">
        <v>0</v>
      </c>
      <c r="F1523" s="162">
        <v>13859.85</v>
      </c>
      <c r="G1523" s="162" t="s">
        <v>1028</v>
      </c>
      <c r="H1523" s="162" t="s">
        <v>1680</v>
      </c>
    </row>
    <row r="1524" spans="1:8" x14ac:dyDescent="0.3">
      <c r="A1524" s="161">
        <v>46105</v>
      </c>
      <c r="B1524" s="162" t="s">
        <v>1627</v>
      </c>
      <c r="C1524" s="162" t="s">
        <v>1005</v>
      </c>
      <c r="D1524" s="162">
        <v>70</v>
      </c>
      <c r="E1524" s="162">
        <v>0</v>
      </c>
      <c r="F1524" s="162">
        <v>13789.85</v>
      </c>
      <c r="G1524" s="162" t="s">
        <v>91</v>
      </c>
      <c r="H1524" s="162" t="s">
        <v>1680</v>
      </c>
    </row>
    <row r="1525" spans="1:8" x14ac:dyDescent="0.3">
      <c r="A1525" s="161">
        <v>46105</v>
      </c>
      <c r="B1525" s="162" t="s">
        <v>1798</v>
      </c>
      <c r="C1525" s="162"/>
      <c r="D1525" s="162">
        <v>0</v>
      </c>
      <c r="E1525" s="162">
        <v>2</v>
      </c>
      <c r="F1525" s="162">
        <v>7676.4</v>
      </c>
      <c r="G1525" s="162" t="s">
        <v>1658</v>
      </c>
      <c r="H1525" s="162" t="s">
        <v>837</v>
      </c>
    </row>
    <row r="1526" spans="1:8" x14ac:dyDescent="0.3">
      <c r="A1526" s="161">
        <v>46105</v>
      </c>
      <c r="B1526" s="162" t="s">
        <v>50</v>
      </c>
      <c r="C1526" s="162" t="s">
        <v>955</v>
      </c>
      <c r="D1526" s="162">
        <v>66.67</v>
      </c>
      <c r="E1526" s="162">
        <v>0</v>
      </c>
      <c r="F1526" s="162">
        <v>8776.8799999999992</v>
      </c>
      <c r="G1526" s="162" t="s">
        <v>49</v>
      </c>
      <c r="H1526" s="162" t="s">
        <v>1779</v>
      </c>
    </row>
    <row r="1527" spans="1:8" x14ac:dyDescent="0.3">
      <c r="A1527" s="161">
        <v>46106</v>
      </c>
      <c r="B1527" s="162" t="s">
        <v>1799</v>
      </c>
      <c r="C1527" s="162"/>
      <c r="D1527" s="162">
        <v>0</v>
      </c>
      <c r="E1527" s="162">
        <v>10</v>
      </c>
      <c r="F1527" s="162">
        <v>7686.4</v>
      </c>
      <c r="G1527" s="162" t="s">
        <v>1658</v>
      </c>
      <c r="H1527" s="162" t="s">
        <v>837</v>
      </c>
    </row>
    <row r="1528" spans="1:8" x14ac:dyDescent="0.3">
      <c r="A1528" s="161">
        <v>46106</v>
      </c>
      <c r="B1528" s="162" t="s">
        <v>1718</v>
      </c>
      <c r="C1528" s="162"/>
      <c r="D1528" s="162">
        <v>0</v>
      </c>
      <c r="E1528" s="162">
        <v>144</v>
      </c>
      <c r="F1528" s="162">
        <v>7830.4</v>
      </c>
      <c r="G1528" s="162" t="s">
        <v>22</v>
      </c>
      <c r="H1528" s="162" t="s">
        <v>837</v>
      </c>
    </row>
    <row r="1529" spans="1:8" x14ac:dyDescent="0.3">
      <c r="A1529" s="161">
        <v>46106</v>
      </c>
      <c r="B1529" s="162" t="s">
        <v>50</v>
      </c>
      <c r="C1529" s="162" t="s">
        <v>959</v>
      </c>
      <c r="D1529" s="162">
        <v>66.67</v>
      </c>
      <c r="E1529" s="162">
        <v>0</v>
      </c>
      <c r="F1529" s="162">
        <v>11989.72</v>
      </c>
      <c r="G1529" s="162" t="s">
        <v>49</v>
      </c>
      <c r="H1529" s="162" t="s">
        <v>1779</v>
      </c>
    </row>
    <row r="1530" spans="1:8" x14ac:dyDescent="0.3">
      <c r="A1530" s="161">
        <v>46106</v>
      </c>
      <c r="B1530" s="162" t="s">
        <v>1630</v>
      </c>
      <c r="C1530" s="162" t="s">
        <v>1005</v>
      </c>
      <c r="D1530" s="162">
        <v>10</v>
      </c>
      <c r="E1530" s="162">
        <v>0</v>
      </c>
      <c r="F1530" s="162">
        <v>12749.85</v>
      </c>
      <c r="G1530" s="162" t="s">
        <v>91</v>
      </c>
      <c r="H1530" s="162" t="s">
        <v>1680</v>
      </c>
    </row>
    <row r="1531" spans="1:8" x14ac:dyDescent="0.3">
      <c r="A1531" s="161">
        <v>46106</v>
      </c>
      <c r="B1531" s="162" t="s">
        <v>956</v>
      </c>
      <c r="C1531" s="162" t="s">
        <v>957</v>
      </c>
      <c r="D1531" s="162">
        <v>0</v>
      </c>
      <c r="E1531" s="162">
        <v>3362.11</v>
      </c>
      <c r="F1531" s="162">
        <v>12138.99</v>
      </c>
      <c r="G1531" s="162" t="s">
        <v>49</v>
      </c>
      <c r="H1531" s="162" t="s">
        <v>1779</v>
      </c>
    </row>
    <row r="1532" spans="1:8" x14ac:dyDescent="0.3">
      <c r="A1532" s="161">
        <v>46106</v>
      </c>
      <c r="B1532" s="162" t="s">
        <v>1629</v>
      </c>
      <c r="C1532" s="162" t="s">
        <v>1005</v>
      </c>
      <c r="D1532" s="162">
        <v>30</v>
      </c>
      <c r="E1532" s="162">
        <v>0</v>
      </c>
      <c r="F1532" s="162">
        <v>12759.85</v>
      </c>
      <c r="G1532" s="162" t="s">
        <v>91</v>
      </c>
      <c r="H1532" s="162" t="s">
        <v>1680</v>
      </c>
    </row>
    <row r="1533" spans="1:8" x14ac:dyDescent="0.3">
      <c r="A1533" s="161">
        <v>46106</v>
      </c>
      <c r="B1533" s="162" t="s">
        <v>1628</v>
      </c>
      <c r="C1533" s="162" t="s">
        <v>1005</v>
      </c>
      <c r="D1533" s="162">
        <v>1000</v>
      </c>
      <c r="E1533" s="162">
        <v>0</v>
      </c>
      <c r="F1533" s="162">
        <v>12789.85</v>
      </c>
      <c r="G1533" s="162" t="s">
        <v>1028</v>
      </c>
      <c r="H1533" s="162" t="s">
        <v>1680</v>
      </c>
    </row>
    <row r="1534" spans="1:8" x14ac:dyDescent="0.3">
      <c r="A1534" s="161">
        <v>46106</v>
      </c>
      <c r="B1534" s="162" t="s">
        <v>958</v>
      </c>
      <c r="C1534" s="162" t="s">
        <v>83</v>
      </c>
      <c r="D1534" s="162">
        <v>82.6</v>
      </c>
      <c r="E1534" s="162">
        <v>0</v>
      </c>
      <c r="F1534" s="162">
        <v>12056.39</v>
      </c>
      <c r="G1534" s="162" t="s">
        <v>9</v>
      </c>
      <c r="H1534" s="162" t="s">
        <v>1779</v>
      </c>
    </row>
    <row r="1535" spans="1:8" x14ac:dyDescent="0.3">
      <c r="A1535" s="161">
        <v>46107</v>
      </c>
      <c r="B1535" s="162" t="s">
        <v>1631</v>
      </c>
      <c r="C1535" s="162" t="s">
        <v>1005</v>
      </c>
      <c r="D1535" s="162">
        <v>1000</v>
      </c>
      <c r="E1535" s="162">
        <v>0</v>
      </c>
      <c r="F1535" s="162">
        <v>11749.85</v>
      </c>
      <c r="G1535" s="162" t="s">
        <v>1028</v>
      </c>
      <c r="H1535" s="162" t="s">
        <v>1680</v>
      </c>
    </row>
    <row r="1536" spans="1:8" x14ac:dyDescent="0.3">
      <c r="A1536" s="161">
        <v>46108</v>
      </c>
      <c r="B1536" s="162" t="s">
        <v>960</v>
      </c>
      <c r="C1536" s="162" t="s">
        <v>961</v>
      </c>
      <c r="D1536" s="162">
        <v>0</v>
      </c>
      <c r="E1536" s="162">
        <v>4188.87</v>
      </c>
      <c r="F1536" s="162">
        <v>16178.59</v>
      </c>
      <c r="G1536" s="162" t="s">
        <v>49</v>
      </c>
      <c r="H1536" s="162" t="s">
        <v>1779</v>
      </c>
    </row>
    <row r="1537" spans="1:8" x14ac:dyDescent="0.3">
      <c r="A1537" s="161">
        <v>46108</v>
      </c>
      <c r="B1537" s="162" t="s">
        <v>50</v>
      </c>
      <c r="C1537" s="162" t="s">
        <v>963</v>
      </c>
      <c r="D1537" s="162">
        <v>4177.17</v>
      </c>
      <c r="E1537" s="162">
        <v>0</v>
      </c>
      <c r="F1537" s="162">
        <v>11865.68</v>
      </c>
      <c r="G1537" s="162" t="s">
        <v>49</v>
      </c>
      <c r="H1537" s="162" t="s">
        <v>1779</v>
      </c>
    </row>
    <row r="1538" spans="1:8" x14ac:dyDescent="0.3">
      <c r="A1538" s="161">
        <v>46108</v>
      </c>
      <c r="B1538" s="162" t="s">
        <v>50</v>
      </c>
      <c r="C1538" s="162" t="s">
        <v>962</v>
      </c>
      <c r="D1538" s="162">
        <v>135.74</v>
      </c>
      <c r="E1538" s="162">
        <v>0</v>
      </c>
      <c r="F1538" s="162">
        <v>16042.85</v>
      </c>
      <c r="G1538" s="162" t="s">
        <v>49</v>
      </c>
      <c r="H1538" s="162" t="s">
        <v>1779</v>
      </c>
    </row>
    <row r="1539" spans="1:8" x14ac:dyDescent="0.3">
      <c r="A1539" s="161">
        <v>46108</v>
      </c>
      <c r="B1539" s="162" t="s">
        <v>1632</v>
      </c>
      <c r="C1539" s="162" t="s">
        <v>1005</v>
      </c>
      <c r="D1539" s="162">
        <v>1000</v>
      </c>
      <c r="E1539" s="162">
        <v>0</v>
      </c>
      <c r="F1539" s="162">
        <v>10749.85</v>
      </c>
      <c r="G1539" s="162" t="s">
        <v>1028</v>
      </c>
      <c r="H1539" s="162" t="s">
        <v>1680</v>
      </c>
    </row>
    <row r="1540" spans="1:8" x14ac:dyDescent="0.3">
      <c r="A1540" s="161">
        <v>46108</v>
      </c>
      <c r="B1540" s="162" t="s">
        <v>1633</v>
      </c>
      <c r="C1540" s="162" t="s">
        <v>1005</v>
      </c>
      <c r="D1540" s="162">
        <v>178.5</v>
      </c>
      <c r="E1540" s="162">
        <v>0</v>
      </c>
      <c r="F1540" s="162">
        <v>10571.35</v>
      </c>
      <c r="G1540" s="162" t="s">
        <v>91</v>
      </c>
      <c r="H1540" s="162" t="s">
        <v>1680</v>
      </c>
    </row>
    <row r="1541" spans="1:8" x14ac:dyDescent="0.3">
      <c r="A1541" s="161">
        <v>46108</v>
      </c>
      <c r="B1541" s="162" t="s">
        <v>1635</v>
      </c>
      <c r="C1541" s="162" t="s">
        <v>1005</v>
      </c>
      <c r="D1541" s="162">
        <v>90</v>
      </c>
      <c r="E1541" s="162">
        <v>0</v>
      </c>
      <c r="F1541" s="162">
        <v>10481.35</v>
      </c>
      <c r="G1541" s="162" t="s">
        <v>91</v>
      </c>
      <c r="H1541" s="162" t="s">
        <v>1680</v>
      </c>
    </row>
    <row r="1542" spans="1:8" x14ac:dyDescent="0.3">
      <c r="A1542" s="161">
        <v>46109</v>
      </c>
      <c r="B1542" s="162" t="s">
        <v>1646</v>
      </c>
      <c r="C1542" s="162" t="s">
        <v>1005</v>
      </c>
      <c r="D1542" s="162">
        <v>50</v>
      </c>
      <c r="E1542" s="162">
        <v>0</v>
      </c>
      <c r="F1542" s="162">
        <v>7582.57</v>
      </c>
      <c r="G1542" s="162" t="s">
        <v>91</v>
      </c>
      <c r="H1542" s="162" t="s">
        <v>1680</v>
      </c>
    </row>
    <row r="1543" spans="1:8" x14ac:dyDescent="0.3">
      <c r="A1543" s="161">
        <v>46109</v>
      </c>
      <c r="B1543" s="162" t="s">
        <v>1644</v>
      </c>
      <c r="C1543" s="162" t="s">
        <v>1005</v>
      </c>
      <c r="D1543" s="162">
        <v>50</v>
      </c>
      <c r="E1543" s="162">
        <v>0</v>
      </c>
      <c r="F1543" s="162">
        <v>7632.57</v>
      </c>
      <c r="G1543" s="162" t="s">
        <v>91</v>
      </c>
      <c r="H1543" s="162" t="s">
        <v>1680</v>
      </c>
    </row>
    <row r="1544" spans="1:8" x14ac:dyDescent="0.3">
      <c r="A1544" s="161">
        <v>46109</v>
      </c>
      <c r="B1544" s="162" t="s">
        <v>1642</v>
      </c>
      <c r="C1544" s="162" t="s">
        <v>1005</v>
      </c>
      <c r="D1544" s="162">
        <v>30</v>
      </c>
      <c r="E1544" s="162">
        <v>0</v>
      </c>
      <c r="F1544" s="162">
        <v>7682.57</v>
      </c>
      <c r="G1544" s="162" t="s">
        <v>91</v>
      </c>
      <c r="H1544" s="162" t="s">
        <v>1680</v>
      </c>
    </row>
    <row r="1545" spans="1:8" x14ac:dyDescent="0.3">
      <c r="A1545" s="161">
        <v>46109</v>
      </c>
      <c r="B1545" s="162" t="s">
        <v>1640</v>
      </c>
      <c r="C1545" s="162" t="s">
        <v>1005</v>
      </c>
      <c r="D1545" s="162">
        <v>60</v>
      </c>
      <c r="E1545" s="162">
        <v>0</v>
      </c>
      <c r="F1545" s="162">
        <v>7712.57</v>
      </c>
      <c r="G1545" s="162" t="s">
        <v>91</v>
      </c>
      <c r="H1545" s="162" t="s">
        <v>1680</v>
      </c>
    </row>
    <row r="1546" spans="1:8" x14ac:dyDescent="0.3">
      <c r="A1546" s="161">
        <v>46109</v>
      </c>
      <c r="B1546" s="162" t="s">
        <v>1639</v>
      </c>
      <c r="C1546" s="162" t="s">
        <v>1005</v>
      </c>
      <c r="D1546" s="162">
        <v>1647.78</v>
      </c>
      <c r="E1546" s="162">
        <v>0</v>
      </c>
      <c r="F1546" s="162">
        <v>7772.57</v>
      </c>
      <c r="G1546" s="162" t="s">
        <v>1028</v>
      </c>
      <c r="H1546" s="162" t="s">
        <v>1680</v>
      </c>
    </row>
    <row r="1547" spans="1:8" x14ac:dyDescent="0.3">
      <c r="A1547" s="161">
        <v>46109</v>
      </c>
      <c r="B1547" s="162" t="s">
        <v>1637</v>
      </c>
      <c r="C1547" s="162" t="s">
        <v>1005</v>
      </c>
      <c r="D1547" s="162">
        <v>61</v>
      </c>
      <c r="E1547" s="162">
        <v>0</v>
      </c>
      <c r="F1547" s="162">
        <v>9420.35</v>
      </c>
      <c r="G1547" s="162" t="s">
        <v>91</v>
      </c>
      <c r="H1547" s="162" t="s">
        <v>1680</v>
      </c>
    </row>
    <row r="1548" spans="1:8" x14ac:dyDescent="0.3">
      <c r="A1548" s="161">
        <v>46109</v>
      </c>
      <c r="B1548" s="162" t="s">
        <v>1800</v>
      </c>
      <c r="C1548" s="162"/>
      <c r="D1548" s="162">
        <v>60</v>
      </c>
      <c r="E1548" s="162">
        <v>0</v>
      </c>
      <c r="F1548" s="162">
        <v>7770.4</v>
      </c>
      <c r="G1548" s="162" t="s">
        <v>91</v>
      </c>
      <c r="H1548" s="162" t="s">
        <v>837</v>
      </c>
    </row>
    <row r="1549" spans="1:8" x14ac:dyDescent="0.3">
      <c r="A1549" s="161">
        <v>46109</v>
      </c>
      <c r="B1549" s="162" t="s">
        <v>1802</v>
      </c>
      <c r="C1549" s="162"/>
      <c r="D1549" s="162">
        <v>0</v>
      </c>
      <c r="E1549" s="162">
        <v>3</v>
      </c>
      <c r="F1549" s="162">
        <v>7773.4</v>
      </c>
      <c r="G1549" s="162" t="s">
        <v>1658</v>
      </c>
      <c r="H1549" s="162" t="s">
        <v>837</v>
      </c>
    </row>
    <row r="1550" spans="1:8" x14ac:dyDescent="0.3">
      <c r="A1550" s="161">
        <v>46109</v>
      </c>
      <c r="B1550" s="162" t="s">
        <v>1803</v>
      </c>
      <c r="C1550" s="162"/>
      <c r="D1550" s="162">
        <v>0</v>
      </c>
      <c r="E1550" s="162">
        <v>58</v>
      </c>
      <c r="F1550" s="162">
        <v>7831.4</v>
      </c>
      <c r="G1550" s="162" t="s">
        <v>1658</v>
      </c>
      <c r="H1550" s="162" t="s">
        <v>837</v>
      </c>
    </row>
    <row r="1551" spans="1:8" x14ac:dyDescent="0.3">
      <c r="A1551" s="161">
        <v>46109</v>
      </c>
      <c r="B1551" s="162" t="s">
        <v>1636</v>
      </c>
      <c r="C1551" s="162" t="s">
        <v>1005</v>
      </c>
      <c r="D1551" s="162">
        <v>1000</v>
      </c>
      <c r="E1551" s="162">
        <v>0</v>
      </c>
      <c r="F1551" s="162">
        <v>9481.35</v>
      </c>
      <c r="G1551" s="162" t="s">
        <v>1028</v>
      </c>
      <c r="H1551" s="162" t="s">
        <v>1680</v>
      </c>
    </row>
    <row r="1552" spans="1:8" x14ac:dyDescent="0.3">
      <c r="A1552" s="161">
        <v>46110</v>
      </c>
      <c r="B1552" s="162" t="s">
        <v>1649</v>
      </c>
      <c r="C1552" s="162" t="s">
        <v>1005</v>
      </c>
      <c r="D1552" s="162">
        <v>15</v>
      </c>
      <c r="E1552" s="162">
        <v>0</v>
      </c>
      <c r="F1552" s="162">
        <v>7527.57</v>
      </c>
      <c r="G1552" s="162" t="s">
        <v>91</v>
      </c>
      <c r="H1552" s="162" t="s">
        <v>1680</v>
      </c>
    </row>
    <row r="1553" spans="1:8" x14ac:dyDescent="0.3">
      <c r="A1553" s="161">
        <v>46110</v>
      </c>
      <c r="B1553" s="162" t="s">
        <v>1647</v>
      </c>
      <c r="C1553" s="162" t="s">
        <v>1005</v>
      </c>
      <c r="D1553" s="162">
        <v>40</v>
      </c>
      <c r="E1553" s="162">
        <v>0</v>
      </c>
      <c r="F1553" s="162">
        <v>7542.57</v>
      </c>
      <c r="G1553" s="162" t="s">
        <v>91</v>
      </c>
      <c r="H1553" s="162" t="s">
        <v>1680</v>
      </c>
    </row>
    <row r="1554" spans="1:8" x14ac:dyDescent="0.3">
      <c r="A1554" s="161">
        <v>46111</v>
      </c>
      <c r="B1554" s="162" t="s">
        <v>964</v>
      </c>
      <c r="C1554" s="162" t="s">
        <v>965</v>
      </c>
      <c r="D1554" s="162">
        <v>5000</v>
      </c>
      <c r="E1554" s="162">
        <v>0</v>
      </c>
      <c r="F1554" s="162">
        <v>6865.68</v>
      </c>
      <c r="G1554" s="162" t="s">
        <v>2</v>
      </c>
      <c r="H1554" s="162" t="s">
        <v>1779</v>
      </c>
    </row>
    <row r="1555" spans="1:8" x14ac:dyDescent="0.3">
      <c r="A1555" s="161">
        <v>46111</v>
      </c>
      <c r="B1555" s="162" t="s">
        <v>966</v>
      </c>
      <c r="C1555" s="162" t="s">
        <v>967</v>
      </c>
      <c r="D1555" s="162">
        <v>5000</v>
      </c>
      <c r="E1555" s="162">
        <v>0</v>
      </c>
      <c r="F1555" s="162">
        <v>1865.68</v>
      </c>
      <c r="G1555" s="162" t="s">
        <v>2</v>
      </c>
      <c r="H1555" s="162" t="s">
        <v>1779</v>
      </c>
    </row>
    <row r="1556" spans="1:8" x14ac:dyDescent="0.3">
      <c r="A1556" s="161">
        <v>46111</v>
      </c>
      <c r="B1556" s="162" t="s">
        <v>50</v>
      </c>
      <c r="C1556" s="162" t="s">
        <v>968</v>
      </c>
      <c r="D1556" s="162">
        <v>203.61</v>
      </c>
      <c r="E1556" s="162">
        <v>0</v>
      </c>
      <c r="F1556" s="162">
        <v>1662.07</v>
      </c>
      <c r="G1556" s="162" t="s">
        <v>49</v>
      </c>
      <c r="H1556" s="162" t="s">
        <v>1779</v>
      </c>
    </row>
    <row r="1557" spans="1:8" x14ac:dyDescent="0.3">
      <c r="A1557" s="161">
        <v>46111</v>
      </c>
      <c r="B1557" s="162" t="s">
        <v>1651</v>
      </c>
      <c r="C1557" s="162" t="s">
        <v>1005</v>
      </c>
      <c r="D1557" s="162">
        <v>150</v>
      </c>
      <c r="E1557" s="162">
        <v>0</v>
      </c>
      <c r="F1557" s="162">
        <v>7377.57</v>
      </c>
      <c r="G1557" s="162" t="s">
        <v>91</v>
      </c>
      <c r="H1557" s="162" t="s">
        <v>1680</v>
      </c>
    </row>
    <row r="1558" spans="1:8" x14ac:dyDescent="0.3">
      <c r="A1558" s="161">
        <v>46111</v>
      </c>
      <c r="B1558" s="162" t="s">
        <v>1804</v>
      </c>
      <c r="C1558" s="162"/>
      <c r="D1558" s="162">
        <v>0</v>
      </c>
      <c r="E1558" s="162">
        <v>9041.73</v>
      </c>
      <c r="F1558" s="162">
        <v>16873.13</v>
      </c>
      <c r="G1558" s="162" t="s">
        <v>1658</v>
      </c>
      <c r="H1558" s="162" t="s">
        <v>837</v>
      </c>
    </row>
    <row r="1559" spans="1:8" x14ac:dyDescent="0.3">
      <c r="A1559" s="161">
        <v>46112</v>
      </c>
      <c r="B1559" s="162" t="s">
        <v>1653</v>
      </c>
      <c r="C1559" s="162" t="s">
        <v>1005</v>
      </c>
      <c r="D1559" s="162">
        <v>2000</v>
      </c>
      <c r="E1559" s="162">
        <v>0</v>
      </c>
      <c r="F1559" s="162">
        <v>5377.57</v>
      </c>
      <c r="G1559" s="162" t="s">
        <v>1031</v>
      </c>
      <c r="H1559" s="162" t="s">
        <v>1680</v>
      </c>
    </row>
    <row r="1560" spans="1:8" x14ac:dyDescent="0.3">
      <c r="A1560" s="161">
        <v>46112</v>
      </c>
      <c r="B1560" s="162" t="s">
        <v>1805</v>
      </c>
      <c r="C1560" s="162"/>
      <c r="D1560" s="162">
        <v>5000</v>
      </c>
      <c r="E1560" s="162">
        <v>0</v>
      </c>
      <c r="F1560" s="162">
        <v>11873.13</v>
      </c>
      <c r="G1560" s="162" t="s">
        <v>1019</v>
      </c>
      <c r="H1560" s="162" t="s">
        <v>837</v>
      </c>
    </row>
    <row r="1561" spans="1:8" x14ac:dyDescent="0.3">
      <c r="A1561" s="161">
        <v>46112</v>
      </c>
      <c r="B1561" s="162" t="s">
        <v>1654</v>
      </c>
      <c r="C1561" s="162" t="s">
        <v>1005</v>
      </c>
      <c r="D1561" s="162">
        <v>0</v>
      </c>
      <c r="E1561" s="162">
        <v>195</v>
      </c>
      <c r="F1561" s="162">
        <v>5572.57</v>
      </c>
      <c r="G1561" s="162" t="s">
        <v>22</v>
      </c>
      <c r="H1561" s="162" t="s">
        <v>1680</v>
      </c>
    </row>
    <row r="1562" spans="1:8" x14ac:dyDescent="0.3">
      <c r="A1562" s="161">
        <v>46112</v>
      </c>
      <c r="B1562" s="162" t="s">
        <v>50</v>
      </c>
      <c r="C1562" s="162" t="s">
        <v>969</v>
      </c>
      <c r="D1562" s="162">
        <v>1662.07</v>
      </c>
      <c r="E1562" s="162">
        <v>0</v>
      </c>
      <c r="F1562" s="162">
        <v>0</v>
      </c>
      <c r="G1562" s="162" t="s">
        <v>49</v>
      </c>
      <c r="H1562" s="162" t="s">
        <v>1779</v>
      </c>
    </row>
    <row r="1563" spans="1:8" x14ac:dyDescent="0.3">
      <c r="A1563" s="161">
        <v>46112.857731481483</v>
      </c>
      <c r="B1563" s="162" t="s">
        <v>2464</v>
      </c>
      <c r="C1563" s="162" t="s">
        <v>2465</v>
      </c>
      <c r="D1563" s="162">
        <v>0</v>
      </c>
      <c r="E1563" s="162">
        <v>5000</v>
      </c>
      <c r="F1563" s="162">
        <v>8473.08</v>
      </c>
      <c r="G1563" s="162" t="s">
        <v>837</v>
      </c>
      <c r="H1563" s="162" t="s">
        <v>1019</v>
      </c>
    </row>
    <row r="1564" spans="1:8" x14ac:dyDescent="0.3">
      <c r="A1564" s="161">
        <v>46113</v>
      </c>
      <c r="B1564" s="162" t="s">
        <v>970</v>
      </c>
      <c r="C1564" s="162" t="s">
        <v>83</v>
      </c>
      <c r="D1564" s="162">
        <v>0</v>
      </c>
      <c r="E1564" s="162">
        <v>162</v>
      </c>
      <c r="F1564" s="162">
        <v>162</v>
      </c>
      <c r="G1564" s="162" t="s">
        <v>22</v>
      </c>
      <c r="H1564" s="162" t="s">
        <v>1779</v>
      </c>
    </row>
    <row r="1565" spans="1:8" x14ac:dyDescent="0.3">
      <c r="A1565" s="161">
        <v>46113.171793981477</v>
      </c>
      <c r="B1565" s="162" t="s">
        <v>2466</v>
      </c>
      <c r="C1565" s="162"/>
      <c r="D1565" s="162">
        <v>0</v>
      </c>
      <c r="E1565" s="162">
        <v>65</v>
      </c>
      <c r="F1565" s="162">
        <v>8538.08</v>
      </c>
      <c r="G1565" s="162" t="s">
        <v>22</v>
      </c>
      <c r="H1565" s="162" t="s">
        <v>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4"/>
  <sheetViews>
    <sheetView topLeftCell="A103" workbookViewId="0"/>
  </sheetViews>
  <sheetFormatPr defaultRowHeight="14.4" x14ac:dyDescent="0.3"/>
  <cols>
    <col min="1" max="1" width="40" customWidth="1"/>
    <col min="2" max="4" width="20" customWidth="1"/>
  </cols>
  <sheetData>
    <row r="1" spans="1:4" ht="18" x14ac:dyDescent="0.35">
      <c r="A1" s="163" t="s">
        <v>2490</v>
      </c>
    </row>
    <row r="2" spans="1:4" ht="15.6" x14ac:dyDescent="0.3">
      <c r="A2" s="159" t="s">
        <v>2491</v>
      </c>
    </row>
    <row r="3" spans="1:4" x14ac:dyDescent="0.3">
      <c r="A3" t="s">
        <v>2492</v>
      </c>
    </row>
    <row r="4" spans="1:4" x14ac:dyDescent="0.3">
      <c r="A4" s="164"/>
      <c r="B4" s="164"/>
      <c r="C4" s="164"/>
      <c r="D4" s="164"/>
    </row>
    <row r="5" spans="1:4" x14ac:dyDescent="0.3">
      <c r="A5" t="s">
        <v>2476</v>
      </c>
      <c r="B5" t="s">
        <v>2493</v>
      </c>
      <c r="C5" t="s">
        <v>2476</v>
      </c>
      <c r="D5" t="s">
        <v>2494</v>
      </c>
    </row>
    <row r="6" spans="1:4" x14ac:dyDescent="0.3">
      <c r="A6" s="32" t="s">
        <v>6</v>
      </c>
      <c r="B6" s="32">
        <f>SUMIFS('For Tally'!D:D, 'For Tally'!F:F, A6)</f>
        <v>22560</v>
      </c>
      <c r="C6" s="32" t="s">
        <v>6</v>
      </c>
      <c r="D6" s="32">
        <f>SUMIFS('For Tally'!C:C, 'For Tally'!F:F, C6)</f>
        <v>0</v>
      </c>
    </row>
    <row r="7" spans="1:4" x14ac:dyDescent="0.3">
      <c r="A7" s="34" t="s">
        <v>7</v>
      </c>
      <c r="B7" s="34">
        <f>SUMIFS('For Tally'!D:D, 'For Tally'!F:F, A7)</f>
        <v>0</v>
      </c>
      <c r="C7" s="34" t="s">
        <v>7</v>
      </c>
      <c r="D7" s="34">
        <f>SUMIFS('For Tally'!C:C, 'For Tally'!F:F, C7)</f>
        <v>2368.96</v>
      </c>
    </row>
    <row r="8" spans="1:4" x14ac:dyDescent="0.3">
      <c r="A8" s="56" t="s">
        <v>22</v>
      </c>
      <c r="B8" s="56">
        <f>SUMIFS('For Tally'!D:D, 'For Tally'!F:F, A8)</f>
        <v>3390</v>
      </c>
      <c r="C8" s="56" t="s">
        <v>22</v>
      </c>
      <c r="D8" s="56">
        <f>SUMIFS('For Tally'!C:C, 'For Tally'!F:F, C8)</f>
        <v>0</v>
      </c>
    </row>
    <row r="9" spans="1:4" x14ac:dyDescent="0.3">
      <c r="A9" s="90" t="s">
        <v>1814</v>
      </c>
      <c r="B9" s="90">
        <f>SUMIFS('For Tally'!D:D, 'For Tally'!F:F, A9)</f>
        <v>0</v>
      </c>
      <c r="C9" s="90" t="s">
        <v>1814</v>
      </c>
      <c r="D9" s="90">
        <f>SUMIFS('For Tally'!C:C, 'For Tally'!F:F, C9)</f>
        <v>4</v>
      </c>
    </row>
    <row r="10" spans="1:4" x14ac:dyDescent="0.3">
      <c r="A10" s="26" t="s">
        <v>8</v>
      </c>
      <c r="B10" s="26">
        <f>SUMIFS('For Tally'!D:D, 'For Tally'!F:F, A10)</f>
        <v>0</v>
      </c>
      <c r="C10" s="26" t="s">
        <v>8</v>
      </c>
      <c r="D10" s="26">
        <f>SUMIFS('For Tally'!C:C, 'For Tally'!F:F, C10)</f>
        <v>500</v>
      </c>
    </row>
    <row r="11" spans="1:4" x14ac:dyDescent="0.3">
      <c r="A11" s="147" t="s">
        <v>1675</v>
      </c>
      <c r="B11" s="147">
        <f>SUMIFS('For Tally'!D:D, 'For Tally'!F:F, A11)</f>
        <v>93</v>
      </c>
      <c r="C11" s="147" t="s">
        <v>1675</v>
      </c>
      <c r="D11" s="147">
        <f>SUMIFS('For Tally'!C:C, 'For Tally'!F:F, C11)</f>
        <v>0</v>
      </c>
    </row>
    <row r="12" spans="1:4" x14ac:dyDescent="0.3">
      <c r="A12" s="147" t="s">
        <v>1811</v>
      </c>
      <c r="B12" s="147">
        <f>SUMIFS('For Tally'!D:D, 'For Tally'!F:F, A12)</f>
        <v>8</v>
      </c>
      <c r="C12" s="147" t="s">
        <v>1811</v>
      </c>
      <c r="D12" s="147">
        <f>SUMIFS('For Tally'!C:C, 'For Tally'!F:F, C12)</f>
        <v>0</v>
      </c>
    </row>
    <row r="13" spans="1:4" x14ac:dyDescent="0.3">
      <c r="A13" s="28" t="s">
        <v>1656</v>
      </c>
      <c r="B13" s="28">
        <f>SUMIFS('For Tally'!D:D, 'For Tally'!F:F, A13)</f>
        <v>448836.97</v>
      </c>
      <c r="C13" s="28" t="s">
        <v>1656</v>
      </c>
      <c r="D13" s="28">
        <f>SUMIFS('For Tally'!C:C, 'For Tally'!F:F, C13)</f>
        <v>0</v>
      </c>
    </row>
    <row r="14" spans="1:4" x14ac:dyDescent="0.3">
      <c r="A14" s="145" t="s">
        <v>1671</v>
      </c>
      <c r="B14" s="145">
        <f>SUMIFS('For Tally'!D:D, 'For Tally'!F:F, A14)</f>
        <v>50000</v>
      </c>
      <c r="C14" s="145" t="s">
        <v>1671</v>
      </c>
      <c r="D14" s="145">
        <f>SUMIFS('For Tally'!C:C, 'For Tally'!F:F, C14)</f>
        <v>0</v>
      </c>
    </row>
    <row r="15" spans="1:4" x14ac:dyDescent="0.3">
      <c r="A15" s="86" t="s">
        <v>974</v>
      </c>
      <c r="B15" s="86">
        <f>SUMIFS('For Tally'!D:D, 'For Tally'!F:F, A15)</f>
        <v>17217.71</v>
      </c>
      <c r="C15" s="86" t="s">
        <v>974</v>
      </c>
      <c r="D15" s="86">
        <f>SUMIFS('For Tally'!C:C, 'For Tally'!F:F, C15)</f>
        <v>368605.37</v>
      </c>
    </row>
    <row r="16" spans="1:4" x14ac:dyDescent="0.3">
      <c r="A16" s="28" t="s">
        <v>30</v>
      </c>
      <c r="B16" s="28">
        <f>SUMIFS('For Tally'!D:D, 'For Tally'!F:F, A16)</f>
        <v>56000</v>
      </c>
      <c r="C16" s="28" t="s">
        <v>30</v>
      </c>
      <c r="D16" s="28">
        <f>SUMIFS('For Tally'!C:C, 'For Tally'!F:F, C16)</f>
        <v>203690.31</v>
      </c>
    </row>
    <row r="17" spans="1:4" x14ac:dyDescent="0.3">
      <c r="A17" s="86" t="s">
        <v>1816</v>
      </c>
      <c r="B17" s="86">
        <f>SUMIFS('For Tally'!D:D, 'For Tally'!F:F, A17)</f>
        <v>241</v>
      </c>
      <c r="C17" s="86" t="s">
        <v>1816</v>
      </c>
      <c r="D17" s="86">
        <f>SUMIFS('For Tally'!C:C, 'For Tally'!F:F, C17)</f>
        <v>0</v>
      </c>
    </row>
    <row r="18" spans="1:4" x14ac:dyDescent="0.3">
      <c r="A18" s="28" t="s">
        <v>1672</v>
      </c>
      <c r="B18" s="28">
        <f>SUMIFS('For Tally'!D:D, 'For Tally'!F:F, A18)</f>
        <v>0</v>
      </c>
      <c r="C18" s="28" t="s">
        <v>1672</v>
      </c>
      <c r="D18" s="28">
        <f>SUMIFS('For Tally'!C:C, 'For Tally'!F:F, C18)</f>
        <v>39674</v>
      </c>
    </row>
    <row r="19" spans="1:4" x14ac:dyDescent="0.3">
      <c r="A19" s="102" t="s">
        <v>976</v>
      </c>
      <c r="B19" s="102">
        <f>SUMIFS('For Tally'!D:D, 'For Tally'!F:F, A19)</f>
        <v>0</v>
      </c>
      <c r="C19" s="102" t="s">
        <v>976</v>
      </c>
      <c r="D19" s="102">
        <f>SUMIFS('For Tally'!C:C, 'For Tally'!F:F, C19)</f>
        <v>240839.47999999995</v>
      </c>
    </row>
    <row r="20" spans="1:4" x14ac:dyDescent="0.3">
      <c r="A20" s="36" t="s">
        <v>9</v>
      </c>
      <c r="B20" s="36">
        <f>SUMIFS('For Tally'!D:D, 'For Tally'!F:F, A20)</f>
        <v>0</v>
      </c>
      <c r="C20" s="36" t="s">
        <v>9</v>
      </c>
      <c r="D20" s="36">
        <f>SUMIFS('For Tally'!C:C, 'For Tally'!F:F, C20)</f>
        <v>5805.6</v>
      </c>
    </row>
    <row r="21" spans="1:4" x14ac:dyDescent="0.3">
      <c r="A21" s="32" t="s">
        <v>1813</v>
      </c>
      <c r="B21" s="32">
        <f>SUMIFS('For Tally'!D:D, 'For Tally'!F:F, A21)</f>
        <v>244.44</v>
      </c>
      <c r="C21" s="32" t="s">
        <v>1813</v>
      </c>
      <c r="D21" s="32">
        <f>SUMIFS('For Tally'!C:C, 'For Tally'!F:F, C21)</f>
        <v>0</v>
      </c>
    </row>
    <row r="22" spans="1:4" x14ac:dyDescent="0.3">
      <c r="A22" s="50" t="s">
        <v>17</v>
      </c>
      <c r="B22" s="50">
        <f>SUMIFS('For Tally'!D:D, 'For Tally'!F:F, A22)</f>
        <v>29228.75</v>
      </c>
      <c r="C22" s="50" t="s">
        <v>17</v>
      </c>
      <c r="D22" s="50">
        <f>SUMIFS('For Tally'!C:C, 'For Tally'!F:F, C22)</f>
        <v>0</v>
      </c>
    </row>
    <row r="23" spans="1:4" x14ac:dyDescent="0.3">
      <c r="A23" s="110" t="s">
        <v>988</v>
      </c>
      <c r="B23" s="110">
        <f>SUMIFS('For Tally'!D:D, 'For Tally'!F:F, A23)</f>
        <v>0</v>
      </c>
      <c r="C23" s="110" t="s">
        <v>988</v>
      </c>
      <c r="D23" s="110">
        <f>SUMIFS('For Tally'!C:C, 'For Tally'!F:F, C23)</f>
        <v>2100</v>
      </c>
    </row>
    <row r="24" spans="1:4" x14ac:dyDescent="0.3">
      <c r="A24" s="28" t="s">
        <v>26</v>
      </c>
      <c r="B24" s="28">
        <f>SUMIFS('For Tally'!D:D, 'For Tally'!F:F, A24)</f>
        <v>0</v>
      </c>
      <c r="C24" s="28" t="s">
        <v>26</v>
      </c>
      <c r="D24" s="28">
        <f>SUMIFS('For Tally'!C:C, 'For Tally'!F:F, C24)</f>
        <v>14994</v>
      </c>
    </row>
    <row r="25" spans="1:4" x14ac:dyDescent="0.3">
      <c r="A25" s="108" t="s">
        <v>987</v>
      </c>
      <c r="B25" s="108">
        <f>SUMIFS('For Tally'!D:D, 'For Tally'!F:F, A25)</f>
        <v>0</v>
      </c>
      <c r="C25" s="108" t="s">
        <v>987</v>
      </c>
      <c r="D25" s="108">
        <f>SUMIFS('For Tally'!C:C, 'For Tally'!F:F, C25)</f>
        <v>1005</v>
      </c>
    </row>
    <row r="26" spans="1:4" x14ac:dyDescent="0.3">
      <c r="A26" s="143" t="s">
        <v>1669</v>
      </c>
      <c r="B26" s="143">
        <f>SUMIFS('For Tally'!D:D, 'For Tally'!F:F, A26)</f>
        <v>26362.06</v>
      </c>
      <c r="C26" s="143" t="s">
        <v>1669</v>
      </c>
      <c r="D26" s="143">
        <f>SUMIFS('For Tally'!C:C, 'For Tally'!F:F, C26)</f>
        <v>0</v>
      </c>
    </row>
    <row r="27" spans="1:4" x14ac:dyDescent="0.3">
      <c r="A27" s="156" t="s">
        <v>1808</v>
      </c>
      <c r="B27" s="156">
        <f>SUMIFS('For Tally'!D:D, 'For Tally'!F:F, A27)</f>
        <v>0</v>
      </c>
      <c r="C27" s="156" t="s">
        <v>1808</v>
      </c>
      <c r="D27" s="156">
        <f>SUMIFS('For Tally'!C:C, 'For Tally'!F:F, C27)</f>
        <v>1500</v>
      </c>
    </row>
    <row r="28" spans="1:4" x14ac:dyDescent="0.3">
      <c r="A28" s="28" t="s">
        <v>4</v>
      </c>
      <c r="B28" s="28">
        <f>SUMIFS('For Tally'!D:D, 'For Tally'!F:F, A28)</f>
        <v>0</v>
      </c>
      <c r="C28" s="28" t="s">
        <v>4</v>
      </c>
      <c r="D28" s="28">
        <f>SUMIFS('For Tally'!C:C, 'For Tally'!F:F, C28)</f>
        <v>712810.49000000022</v>
      </c>
    </row>
    <row r="29" spans="1:4" x14ac:dyDescent="0.3">
      <c r="A29" s="30" t="s">
        <v>5</v>
      </c>
      <c r="B29" s="30">
        <f>SUMIFS('For Tally'!D:D, 'For Tally'!F:F, A29)</f>
        <v>15251.130000000001</v>
      </c>
      <c r="C29" s="30" t="s">
        <v>5</v>
      </c>
      <c r="D29" s="30">
        <f>SUMIFS('For Tally'!C:C, 'For Tally'!F:F, C29)</f>
        <v>0</v>
      </c>
    </row>
    <row r="30" spans="1:4" x14ac:dyDescent="0.3">
      <c r="A30" s="26" t="s">
        <v>3</v>
      </c>
      <c r="B30" s="26">
        <f>SUMIFS('For Tally'!D:D, 'For Tally'!F:F, A30)</f>
        <v>1189250.0500000003</v>
      </c>
      <c r="C30" s="26" t="s">
        <v>3</v>
      </c>
      <c r="D30" s="26">
        <f>SUMIFS('For Tally'!C:C, 'For Tally'!F:F, C30)</f>
        <v>0</v>
      </c>
    </row>
    <row r="31" spans="1:4" x14ac:dyDescent="0.3">
      <c r="A31" s="96" t="s">
        <v>991</v>
      </c>
      <c r="B31" s="96">
        <f>SUMIFS('For Tally'!D:D, 'For Tally'!F:F, A31)</f>
        <v>0</v>
      </c>
      <c r="C31" s="96" t="s">
        <v>991</v>
      </c>
      <c r="D31" s="96">
        <f>SUMIFS('For Tally'!C:C, 'For Tally'!F:F, C31)</f>
        <v>14739</v>
      </c>
    </row>
    <row r="32" spans="1:4" x14ac:dyDescent="0.3">
      <c r="A32" s="38" t="s">
        <v>1809</v>
      </c>
      <c r="B32" s="38">
        <f>SUMIFS('For Tally'!D:D, 'For Tally'!F:F, A32)</f>
        <v>11341.929999999998</v>
      </c>
      <c r="C32" s="38" t="s">
        <v>1809</v>
      </c>
      <c r="D32" s="38">
        <f>SUMIFS('For Tally'!C:C, 'For Tally'!F:F, C32)</f>
        <v>0</v>
      </c>
    </row>
    <row r="33" spans="1:4" x14ac:dyDescent="0.3">
      <c r="A33" s="23" t="s">
        <v>1812</v>
      </c>
      <c r="B33" s="23">
        <f>SUMIFS('For Tally'!D:D, 'For Tally'!F:F, A33)</f>
        <v>0</v>
      </c>
      <c r="C33" s="23" t="s">
        <v>1812</v>
      </c>
      <c r="D33" s="23">
        <f>SUMIFS('For Tally'!C:C, 'For Tally'!F:F, C33)</f>
        <v>58000</v>
      </c>
    </row>
    <row r="34" spans="1:4" x14ac:dyDescent="0.3">
      <c r="A34" s="60" t="s">
        <v>1823</v>
      </c>
      <c r="B34" s="60">
        <f>SUMIFS('For Tally'!D:D, 'For Tally'!F:F, A34)</f>
        <v>0</v>
      </c>
      <c r="C34" s="60" t="s">
        <v>1823</v>
      </c>
      <c r="D34" s="60">
        <f>SUMIFS('For Tally'!C:C, 'For Tally'!F:F, C34)</f>
        <v>15000</v>
      </c>
    </row>
    <row r="35" spans="1:4" x14ac:dyDescent="0.3">
      <c r="A35" s="58" t="s">
        <v>995</v>
      </c>
      <c r="B35" s="58">
        <f>SUMIFS('For Tally'!D:D, 'For Tally'!F:F, A35)</f>
        <v>0</v>
      </c>
      <c r="C35" s="58" t="s">
        <v>995</v>
      </c>
      <c r="D35" s="58">
        <f>SUMIFS('For Tally'!C:C, 'For Tally'!F:F, C35)</f>
        <v>57000</v>
      </c>
    </row>
    <row r="36" spans="1:4" x14ac:dyDescent="0.3">
      <c r="A36" s="141" t="s">
        <v>1666</v>
      </c>
      <c r="B36" s="141">
        <f>SUMIFS('For Tally'!D:D, 'For Tally'!F:F, A36)</f>
        <v>7220</v>
      </c>
      <c r="C36" s="141" t="s">
        <v>1666</v>
      </c>
      <c r="D36" s="141">
        <f>SUMIFS('For Tally'!C:C, 'For Tally'!F:F, C36)</f>
        <v>0</v>
      </c>
    </row>
    <row r="37" spans="1:4" x14ac:dyDescent="0.3">
      <c r="A37" s="58" t="s">
        <v>25</v>
      </c>
      <c r="B37" s="58">
        <f>SUMIFS('For Tally'!D:D, 'For Tally'!F:F, A37)</f>
        <v>0</v>
      </c>
      <c r="C37" s="58" t="s">
        <v>25</v>
      </c>
      <c r="D37" s="58">
        <f>SUMIFS('For Tally'!C:C, 'For Tally'!F:F, C37)</f>
        <v>400488</v>
      </c>
    </row>
    <row r="38" spans="1:4" x14ac:dyDescent="0.3">
      <c r="A38" s="54" t="s">
        <v>21</v>
      </c>
      <c r="B38" s="54">
        <f>SUMIFS('For Tally'!D:D, 'For Tally'!F:F, A38)</f>
        <v>0</v>
      </c>
      <c r="C38" s="54" t="s">
        <v>21</v>
      </c>
      <c r="D38" s="54">
        <f>SUMIFS('For Tally'!C:C, 'For Tally'!F:F, C38)</f>
        <v>2</v>
      </c>
    </row>
    <row r="39" spans="1:4" x14ac:dyDescent="0.3">
      <c r="A39" s="23" t="s">
        <v>1659</v>
      </c>
      <c r="B39" s="23">
        <f>SUMIFS('For Tally'!D:D, 'For Tally'!F:F, A39)</f>
        <v>0</v>
      </c>
      <c r="C39" s="23" t="s">
        <v>1659</v>
      </c>
      <c r="D39" s="23">
        <f>SUMIFS('For Tally'!C:C, 'For Tally'!F:F, C39)</f>
        <v>25500</v>
      </c>
    </row>
    <row r="40" spans="1:4" x14ac:dyDescent="0.3">
      <c r="A40" s="60" t="s">
        <v>29</v>
      </c>
      <c r="B40" s="60">
        <f>SUMIFS('For Tally'!D:D, 'For Tally'!F:F, A40)</f>
        <v>128248.97</v>
      </c>
      <c r="C40" s="60" t="s">
        <v>29</v>
      </c>
      <c r="D40" s="60">
        <f>SUMIFS('For Tally'!C:C, 'For Tally'!F:F, C40)</f>
        <v>0</v>
      </c>
    </row>
    <row r="41" spans="1:4" x14ac:dyDescent="0.3">
      <c r="A41" s="133" t="s">
        <v>1658</v>
      </c>
      <c r="B41" s="133">
        <f>SUMIFS('For Tally'!D:D, 'For Tally'!F:F, A41)</f>
        <v>1701</v>
      </c>
      <c r="C41" s="133" t="s">
        <v>1658</v>
      </c>
      <c r="D41" s="133">
        <f>SUMIFS('For Tally'!C:C, 'For Tally'!F:F, C41)</f>
        <v>0</v>
      </c>
    </row>
    <row r="42" spans="1:4" x14ac:dyDescent="0.3">
      <c r="A42" s="23" t="s">
        <v>980</v>
      </c>
      <c r="B42" s="23">
        <f>SUMIFS('For Tally'!D:D, 'For Tally'!F:F, A42)</f>
        <v>149.07999999999998</v>
      </c>
      <c r="C42" s="23" t="s">
        <v>980</v>
      </c>
      <c r="D42" s="23">
        <f>SUMIFS('For Tally'!C:C, 'For Tally'!F:F, C42)</f>
        <v>0</v>
      </c>
    </row>
    <row r="43" spans="1:4" x14ac:dyDescent="0.3">
      <c r="A43" s="48" t="s">
        <v>16</v>
      </c>
      <c r="B43" s="48">
        <f>SUMIFS('For Tally'!D:D, 'For Tally'!F:F, A43)</f>
        <v>393000</v>
      </c>
      <c r="C43" s="48" t="s">
        <v>16</v>
      </c>
      <c r="D43" s="48">
        <f>SUMIFS('For Tally'!C:C, 'For Tally'!F:F, C43)</f>
        <v>0</v>
      </c>
    </row>
    <row r="44" spans="1:4" x14ac:dyDescent="0.3">
      <c r="A44" s="38" t="s">
        <v>28</v>
      </c>
      <c r="B44" s="38">
        <f>SUMIFS('For Tally'!D:D, 'For Tally'!F:F, A44)</f>
        <v>11855</v>
      </c>
      <c r="C44" s="38" t="s">
        <v>28</v>
      </c>
      <c r="D44" s="38">
        <f>SUMIFS('For Tally'!C:C, 'For Tally'!F:F, C44)</f>
        <v>0</v>
      </c>
    </row>
    <row r="45" spans="1:4" x14ac:dyDescent="0.3">
      <c r="A45" s="52" t="s">
        <v>20</v>
      </c>
      <c r="B45" s="52">
        <f>SUMIFS('For Tally'!D:D, 'For Tally'!F:F, A45)</f>
        <v>21910</v>
      </c>
      <c r="C45" s="52" t="s">
        <v>20</v>
      </c>
      <c r="D45" s="52">
        <f>SUMIFS('For Tally'!C:C, 'For Tally'!F:F, C45)</f>
        <v>0</v>
      </c>
    </row>
    <row r="46" spans="1:4" x14ac:dyDescent="0.3">
      <c r="A46" s="38" t="s">
        <v>12</v>
      </c>
      <c r="B46" s="38">
        <f>SUMIFS('For Tally'!D:D, 'For Tally'!F:F, A46)</f>
        <v>2100</v>
      </c>
      <c r="C46" s="38" t="s">
        <v>12</v>
      </c>
      <c r="D46" s="38">
        <f>SUMIFS('For Tally'!C:C, 'For Tally'!F:F, C46)</f>
        <v>0</v>
      </c>
    </row>
    <row r="47" spans="1:4" x14ac:dyDescent="0.3">
      <c r="A47" s="38" t="s">
        <v>1670</v>
      </c>
      <c r="B47" s="38">
        <f>SUMIFS('For Tally'!D:D, 'For Tally'!F:F, A47)</f>
        <v>318</v>
      </c>
      <c r="C47" s="38" t="s">
        <v>1670</v>
      </c>
      <c r="D47" s="38">
        <f>SUMIFS('For Tally'!C:C, 'For Tally'!F:F, C47)</f>
        <v>0</v>
      </c>
    </row>
    <row r="48" spans="1:4" x14ac:dyDescent="0.3">
      <c r="A48" s="38" t="s">
        <v>10</v>
      </c>
      <c r="B48" s="38">
        <f>SUMIFS('For Tally'!D:D, 'For Tally'!F:F, A48)</f>
        <v>100</v>
      </c>
      <c r="C48" s="38" t="s">
        <v>10</v>
      </c>
      <c r="D48" s="38">
        <f>SUMIFS('For Tally'!C:C, 'For Tally'!F:F, C48)</f>
        <v>0</v>
      </c>
    </row>
    <row r="49" spans="1:4" x14ac:dyDescent="0.3">
      <c r="A49" s="38" t="s">
        <v>1824</v>
      </c>
      <c r="B49" s="38">
        <f>SUMIFS('For Tally'!D:D, 'For Tally'!F:F, A49)</f>
        <v>1</v>
      </c>
      <c r="C49" s="38" t="s">
        <v>1824</v>
      </c>
      <c r="D49" s="38">
        <f>SUMIFS('For Tally'!C:C, 'For Tally'!F:F, C49)</f>
        <v>0</v>
      </c>
    </row>
    <row r="50" spans="1:4" x14ac:dyDescent="0.3">
      <c r="A50" s="38" t="s">
        <v>1821</v>
      </c>
      <c r="B50" s="38">
        <f>SUMIFS('For Tally'!D:D, 'For Tally'!F:F, A50)</f>
        <v>999.99</v>
      </c>
      <c r="C50" s="38" t="s">
        <v>1821</v>
      </c>
      <c r="D50" s="38">
        <f>SUMIFS('For Tally'!C:C, 'For Tally'!F:F, C50)</f>
        <v>0</v>
      </c>
    </row>
    <row r="51" spans="1:4" x14ac:dyDescent="0.3">
      <c r="A51" s="38" t="s">
        <v>1664</v>
      </c>
      <c r="B51" s="38">
        <f>SUMIFS('For Tally'!D:D, 'For Tally'!F:F, A51)</f>
        <v>150</v>
      </c>
      <c r="C51" s="38" t="s">
        <v>1664</v>
      </c>
      <c r="D51" s="38">
        <f>SUMIFS('For Tally'!C:C, 'For Tally'!F:F, C51)</f>
        <v>0</v>
      </c>
    </row>
    <row r="52" spans="1:4" x14ac:dyDescent="0.3">
      <c r="A52" s="38" t="s">
        <v>1820</v>
      </c>
      <c r="B52" s="38">
        <f>SUMIFS('For Tally'!D:D, 'For Tally'!F:F, A52)</f>
        <v>500</v>
      </c>
      <c r="C52" s="38" t="s">
        <v>1820</v>
      </c>
      <c r="D52" s="38">
        <f>SUMIFS('For Tally'!C:C, 'For Tally'!F:F, C52)</f>
        <v>0</v>
      </c>
    </row>
    <row r="53" spans="1:4" x14ac:dyDescent="0.3">
      <c r="A53" s="38" t="s">
        <v>1663</v>
      </c>
      <c r="B53" s="38">
        <f>SUMIFS('For Tally'!D:D, 'For Tally'!F:F, A53)</f>
        <v>100</v>
      </c>
      <c r="C53" s="38" t="s">
        <v>1663</v>
      </c>
      <c r="D53" s="38">
        <f>SUMIFS('For Tally'!C:C, 'For Tally'!F:F, C53)</f>
        <v>0</v>
      </c>
    </row>
    <row r="54" spans="1:4" x14ac:dyDescent="0.3">
      <c r="A54" s="98" t="s">
        <v>977</v>
      </c>
      <c r="B54" s="98">
        <f>SUMIFS('For Tally'!D:D, 'For Tally'!F:F, A54)</f>
        <v>93573</v>
      </c>
      <c r="C54" s="98" t="s">
        <v>977</v>
      </c>
      <c r="D54" s="98">
        <f>SUMIFS('For Tally'!C:C, 'For Tally'!F:F, C54)</f>
        <v>0</v>
      </c>
    </row>
    <row r="55" spans="1:4" x14ac:dyDescent="0.3">
      <c r="A55" s="38" t="s">
        <v>1665</v>
      </c>
      <c r="B55" s="38">
        <f>SUMIFS('For Tally'!D:D, 'For Tally'!F:F, A55)</f>
        <v>5</v>
      </c>
      <c r="C55" s="38" t="s">
        <v>1665</v>
      </c>
      <c r="D55" s="38">
        <f>SUMIFS('For Tally'!C:C, 'For Tally'!F:F, C55)</f>
        <v>0</v>
      </c>
    </row>
    <row r="56" spans="1:4" x14ac:dyDescent="0.3">
      <c r="A56" s="38" t="s">
        <v>1660</v>
      </c>
      <c r="B56" s="38">
        <f>SUMIFS('For Tally'!D:D, 'For Tally'!F:F, A56)</f>
        <v>28</v>
      </c>
      <c r="C56" s="38" t="s">
        <v>1660</v>
      </c>
      <c r="D56" s="38">
        <f>SUMIFS('For Tally'!C:C, 'For Tally'!F:F, C56)</f>
        <v>0</v>
      </c>
    </row>
    <row r="57" spans="1:4" x14ac:dyDescent="0.3">
      <c r="A57" s="38" t="s">
        <v>1001</v>
      </c>
      <c r="B57" s="38">
        <f>SUMIFS('For Tally'!D:D, 'For Tally'!F:F, A57)</f>
        <v>1100</v>
      </c>
      <c r="C57" s="38" t="s">
        <v>1001</v>
      </c>
      <c r="D57" s="38">
        <f>SUMIFS('For Tally'!C:C, 'For Tally'!F:F, C57)</f>
        <v>0</v>
      </c>
    </row>
    <row r="58" spans="1:4" x14ac:dyDescent="0.3">
      <c r="A58" s="38" t="s">
        <v>1673</v>
      </c>
      <c r="B58" s="38">
        <f>SUMIFS('For Tally'!D:D, 'For Tally'!F:F, A58)</f>
        <v>2000</v>
      </c>
      <c r="C58" s="38" t="s">
        <v>1673</v>
      </c>
      <c r="D58" s="38">
        <f>SUMIFS('For Tally'!C:C, 'For Tally'!F:F, C58)</f>
        <v>0</v>
      </c>
    </row>
    <row r="59" spans="1:4" x14ac:dyDescent="0.3">
      <c r="A59" s="38" t="s">
        <v>27</v>
      </c>
      <c r="B59" s="38">
        <f>SUMIFS('For Tally'!D:D, 'For Tally'!F:F, A59)</f>
        <v>30000</v>
      </c>
      <c r="C59" s="38" t="s">
        <v>27</v>
      </c>
      <c r="D59" s="38">
        <f>SUMIFS('For Tally'!C:C, 'For Tally'!F:F, C59)</f>
        <v>0</v>
      </c>
    </row>
    <row r="60" spans="1:4" x14ac:dyDescent="0.3">
      <c r="A60" s="46" t="s">
        <v>19</v>
      </c>
      <c r="B60" s="46">
        <f>SUMIFS('For Tally'!D:D, 'For Tally'!F:F, A60)</f>
        <v>150000</v>
      </c>
      <c r="C60" s="46" t="s">
        <v>19</v>
      </c>
      <c r="D60" s="46">
        <f>SUMIFS('For Tally'!C:C, 'For Tally'!F:F, C60)</f>
        <v>0</v>
      </c>
    </row>
    <row r="61" spans="1:4" x14ac:dyDescent="0.3">
      <c r="A61" s="38" t="s">
        <v>1818</v>
      </c>
      <c r="B61" s="38">
        <f>SUMIFS('For Tally'!D:D, 'For Tally'!F:F, A61)</f>
        <v>600</v>
      </c>
      <c r="C61" s="38" t="s">
        <v>1818</v>
      </c>
      <c r="D61" s="38">
        <f>SUMIFS('For Tally'!C:C, 'For Tally'!F:F, C61)</f>
        <v>0</v>
      </c>
    </row>
    <row r="62" spans="1:4" x14ac:dyDescent="0.3">
      <c r="A62" s="38" t="s">
        <v>1668</v>
      </c>
      <c r="B62" s="38">
        <f>SUMIFS('For Tally'!D:D, 'For Tally'!F:F, A62)</f>
        <v>1000</v>
      </c>
      <c r="C62" s="38" t="s">
        <v>1668</v>
      </c>
      <c r="D62" s="38">
        <f>SUMIFS('For Tally'!C:C, 'For Tally'!F:F, C62)</f>
        <v>0</v>
      </c>
    </row>
    <row r="63" spans="1:4" x14ac:dyDescent="0.3">
      <c r="A63" s="38" t="s">
        <v>1819</v>
      </c>
      <c r="B63" s="38">
        <f>SUMIFS('For Tally'!D:D, 'For Tally'!F:F, A63)</f>
        <v>600</v>
      </c>
      <c r="C63" s="38" t="s">
        <v>1819</v>
      </c>
      <c r="D63" s="38">
        <f>SUMIFS('For Tally'!C:C, 'For Tally'!F:F, C63)</f>
        <v>0</v>
      </c>
    </row>
    <row r="64" spans="1:4" x14ac:dyDescent="0.3">
      <c r="A64" s="38" t="s">
        <v>1674</v>
      </c>
      <c r="B64" s="38">
        <f>SUMIFS('For Tally'!D:D, 'For Tally'!F:F, A64)</f>
        <v>700</v>
      </c>
      <c r="C64" s="38" t="s">
        <v>1674</v>
      </c>
      <c r="D64" s="38">
        <f>SUMIFS('For Tally'!C:C, 'For Tally'!F:F, C64)</f>
        <v>0</v>
      </c>
    </row>
    <row r="65" spans="1:4" x14ac:dyDescent="0.3">
      <c r="A65" s="158" t="s">
        <v>1810</v>
      </c>
      <c r="B65" s="158">
        <f>SUMIFS('For Tally'!D:D, 'For Tally'!F:F, A65)</f>
        <v>9220</v>
      </c>
      <c r="C65" s="158" t="s">
        <v>1810</v>
      </c>
      <c r="D65" s="158">
        <f>SUMIFS('For Tally'!C:C, 'For Tally'!F:F, C65)</f>
        <v>0</v>
      </c>
    </row>
    <row r="66" spans="1:4" x14ac:dyDescent="0.3">
      <c r="A66" s="96" t="s">
        <v>990</v>
      </c>
      <c r="B66" s="96">
        <f>SUMIFS('For Tally'!D:D, 'For Tally'!F:F, A66)</f>
        <v>0</v>
      </c>
      <c r="C66" s="96" t="s">
        <v>990</v>
      </c>
      <c r="D66" s="96">
        <f>SUMIFS('For Tally'!C:C, 'For Tally'!F:F, C66)</f>
        <v>168000</v>
      </c>
    </row>
    <row r="67" spans="1:4" x14ac:dyDescent="0.3">
      <c r="A67" s="96" t="s">
        <v>979</v>
      </c>
      <c r="B67" s="96">
        <f>SUMIFS('For Tally'!D:D, 'For Tally'!F:F, A67)</f>
        <v>0</v>
      </c>
      <c r="C67" s="96" t="s">
        <v>979</v>
      </c>
      <c r="D67" s="96">
        <f>SUMIFS('For Tally'!C:C, 'For Tally'!F:F, C67)</f>
        <v>92000</v>
      </c>
    </row>
    <row r="68" spans="1:4" x14ac:dyDescent="0.3">
      <c r="A68" s="135" t="s">
        <v>1704</v>
      </c>
      <c r="B68" s="135">
        <f>SUMIFS('For Tally'!D:D, 'For Tally'!F:F, A68)</f>
        <v>0</v>
      </c>
      <c r="C68" s="135" t="s">
        <v>1704</v>
      </c>
      <c r="D68" s="135">
        <f>SUMIFS('For Tally'!C:C, 'For Tally'!F:F, C68)</f>
        <v>5100</v>
      </c>
    </row>
    <row r="69" spans="1:4" x14ac:dyDescent="0.3">
      <c r="A69" s="23" t="s">
        <v>2</v>
      </c>
      <c r="B69" s="23">
        <f>SUMIFS('For Tally'!D:D, 'For Tally'!F:F, A69)</f>
        <v>0</v>
      </c>
      <c r="C69" s="23" t="s">
        <v>2</v>
      </c>
      <c r="D69" s="23">
        <f>SUMIFS('For Tally'!C:C, 'For Tally'!F:F, C69)</f>
        <v>203457</v>
      </c>
    </row>
    <row r="70" spans="1:4" x14ac:dyDescent="0.3">
      <c r="A70" s="79" t="s">
        <v>972</v>
      </c>
      <c r="B70" s="79">
        <f>SUMIFS('For Tally'!D:D, 'For Tally'!F:F, A70)</f>
        <v>1271740</v>
      </c>
      <c r="C70" s="79" t="s">
        <v>972</v>
      </c>
      <c r="D70" s="79">
        <f>SUMIFS('For Tally'!C:C, 'For Tally'!F:F, C70)</f>
        <v>0</v>
      </c>
    </row>
    <row r="71" spans="1:4" x14ac:dyDescent="0.3">
      <c r="A71" s="26" t="s">
        <v>23</v>
      </c>
      <c r="B71" s="26">
        <f>SUMIFS('For Tally'!D:D, 'For Tally'!F:F, A71)</f>
        <v>0</v>
      </c>
      <c r="C71" s="26" t="s">
        <v>23</v>
      </c>
      <c r="D71" s="26">
        <f>SUMIFS('For Tally'!C:C, 'For Tally'!F:F, C71)</f>
        <v>14800</v>
      </c>
    </row>
    <row r="72" spans="1:4" x14ac:dyDescent="0.3">
      <c r="A72" s="112" t="s">
        <v>996</v>
      </c>
      <c r="B72" s="112">
        <f>SUMIFS('For Tally'!D:D, 'For Tally'!F:F, A72)</f>
        <v>0</v>
      </c>
      <c r="C72" s="112" t="s">
        <v>996</v>
      </c>
      <c r="D72" s="112">
        <f>SUMIFS('For Tally'!C:C, 'For Tally'!F:F, C72)</f>
        <v>100000</v>
      </c>
    </row>
    <row r="73" spans="1:4" x14ac:dyDescent="0.3">
      <c r="A73" s="114" t="s">
        <v>998</v>
      </c>
      <c r="B73" s="114">
        <f>SUMIFS('For Tally'!D:D, 'For Tally'!F:F, A73)</f>
        <v>34000</v>
      </c>
      <c r="C73" s="114" t="s">
        <v>998</v>
      </c>
      <c r="D73" s="114">
        <f>SUMIFS('For Tally'!C:C, 'For Tally'!F:F, C73)</f>
        <v>0</v>
      </c>
    </row>
    <row r="74" spans="1:4" x14ac:dyDescent="0.3">
      <c r="A74" s="112" t="s">
        <v>994</v>
      </c>
      <c r="B74" s="112">
        <f>SUMIFS('For Tally'!D:D, 'For Tally'!F:F, A74)</f>
        <v>0</v>
      </c>
      <c r="C74" s="112" t="s">
        <v>994</v>
      </c>
      <c r="D74" s="112">
        <f>SUMIFS('For Tally'!C:C, 'For Tally'!F:F, C74)</f>
        <v>10780</v>
      </c>
    </row>
    <row r="75" spans="1:4" x14ac:dyDescent="0.3">
      <c r="A75" s="147" t="s">
        <v>1678</v>
      </c>
      <c r="B75" s="147">
        <f>SUMIFS('For Tally'!D:D, 'For Tally'!F:F, A75)</f>
        <v>639.29000000000008</v>
      </c>
      <c r="C75" s="147" t="s">
        <v>1678</v>
      </c>
      <c r="D75" s="147">
        <f>SUMIFS('For Tally'!C:C, 'For Tally'!F:F, C75)</f>
        <v>0</v>
      </c>
    </row>
    <row r="76" spans="1:4" x14ac:dyDescent="0.3">
      <c r="A76" s="106" t="s">
        <v>993</v>
      </c>
      <c r="B76" s="106">
        <f>SUMIFS('For Tally'!D:D, 'For Tally'!F:F, A76)</f>
        <v>0</v>
      </c>
      <c r="C76" s="106" t="s">
        <v>993</v>
      </c>
      <c r="D76" s="106">
        <f>SUMIFS('For Tally'!C:C, 'For Tally'!F:F, C76)</f>
        <v>3000</v>
      </c>
    </row>
    <row r="77" spans="1:4" x14ac:dyDescent="0.3">
      <c r="A77" s="48" t="s">
        <v>24</v>
      </c>
      <c r="B77" s="48">
        <f>SUMIFS('For Tally'!D:D, 'For Tally'!F:F, A77)</f>
        <v>0</v>
      </c>
      <c r="C77" s="48" t="s">
        <v>24</v>
      </c>
      <c r="D77" s="48">
        <f>SUMIFS('For Tally'!C:C, 'For Tally'!F:F, C77)</f>
        <v>495001</v>
      </c>
    </row>
    <row r="78" spans="1:4" x14ac:dyDescent="0.3">
      <c r="A78" s="52" t="s">
        <v>18</v>
      </c>
      <c r="B78" s="52">
        <f>SUMIFS('For Tally'!D:D, 'For Tally'!F:F, A78)</f>
        <v>0</v>
      </c>
      <c r="C78" s="52" t="s">
        <v>18</v>
      </c>
      <c r="D78" s="52">
        <f>SUMIFS('For Tally'!C:C, 'For Tally'!F:F, C78)</f>
        <v>155000</v>
      </c>
    </row>
    <row r="79" spans="1:4" x14ac:dyDescent="0.3">
      <c r="A79" s="98" t="s">
        <v>978</v>
      </c>
      <c r="B79" s="98">
        <f>SUMIFS('For Tally'!D:D, 'For Tally'!F:F, A79)</f>
        <v>0</v>
      </c>
      <c r="C79" s="98" t="s">
        <v>978</v>
      </c>
      <c r="D79" s="98">
        <f>SUMIFS('For Tally'!C:C, 'For Tally'!F:F, C79)</f>
        <v>197624</v>
      </c>
    </row>
    <row r="80" spans="1:4" x14ac:dyDescent="0.3">
      <c r="A80" s="46" t="s">
        <v>15</v>
      </c>
      <c r="B80" s="46">
        <f>SUMIFS('For Tally'!D:D, 'For Tally'!F:F, A80)</f>
        <v>0</v>
      </c>
      <c r="C80" s="46" t="s">
        <v>15</v>
      </c>
      <c r="D80" s="46">
        <f>SUMIFS('For Tally'!C:C, 'For Tally'!F:F, C80)</f>
        <v>55000</v>
      </c>
    </row>
    <row r="81" spans="1:4" x14ac:dyDescent="0.3">
      <c r="A81" s="28" t="s">
        <v>11</v>
      </c>
      <c r="B81" s="28">
        <f>SUMIFS('For Tally'!D:D, 'For Tally'!F:F, A81)</f>
        <v>0</v>
      </c>
      <c r="C81" s="28" t="s">
        <v>11</v>
      </c>
      <c r="D81" s="28">
        <f>SUMIFS('For Tally'!C:C, 'For Tally'!F:F, C81)</f>
        <v>4829.0599999999995</v>
      </c>
    </row>
    <row r="82" spans="1:4" x14ac:dyDescent="0.3">
      <c r="A82" s="116" t="s">
        <v>999</v>
      </c>
      <c r="B82" s="116">
        <f>SUMIFS('For Tally'!D:D, 'For Tally'!F:F, A82)</f>
        <v>0</v>
      </c>
      <c r="C82" s="116" t="s">
        <v>999</v>
      </c>
      <c r="D82" s="116">
        <f>SUMIFS('For Tally'!C:C, 'For Tally'!F:F, C82)</f>
        <v>2474</v>
      </c>
    </row>
    <row r="83" spans="1:4" x14ac:dyDescent="0.3">
      <c r="A83" s="102" t="s">
        <v>985</v>
      </c>
      <c r="B83" s="102">
        <f>SUMIFS('For Tally'!D:D, 'For Tally'!F:F, A83)</f>
        <v>0</v>
      </c>
      <c r="C83" s="102" t="s">
        <v>985</v>
      </c>
      <c r="D83" s="102">
        <f>SUMIFS('For Tally'!C:C, 'For Tally'!F:F, C83)</f>
        <v>45470.89</v>
      </c>
    </row>
    <row r="84" spans="1:4" x14ac:dyDescent="0.3">
      <c r="A84" s="90" t="s">
        <v>992</v>
      </c>
      <c r="B84" s="90">
        <f>SUMIFS('For Tally'!D:D, 'For Tally'!F:F, A84)</f>
        <v>0</v>
      </c>
      <c r="C84" s="90" t="s">
        <v>992</v>
      </c>
      <c r="D84" s="90">
        <f>SUMIFS('For Tally'!C:C, 'For Tally'!F:F, C84)</f>
        <v>24266.739999999998</v>
      </c>
    </row>
    <row r="85" spans="1:4" x14ac:dyDescent="0.3">
      <c r="A85" s="42" t="s">
        <v>1000</v>
      </c>
      <c r="B85" s="42">
        <f>SUMIFS('For Tally'!D:D, 'For Tally'!F:F, A85)</f>
        <v>0</v>
      </c>
      <c r="C85" s="42" t="s">
        <v>1000</v>
      </c>
      <c r="D85" s="42">
        <f>SUMIFS('For Tally'!C:C, 'For Tally'!F:F, C85)</f>
        <v>3614.3</v>
      </c>
    </row>
    <row r="86" spans="1:4" x14ac:dyDescent="0.3">
      <c r="A86" s="108" t="s">
        <v>1817</v>
      </c>
      <c r="B86" s="108">
        <f>SUMIFS('For Tally'!D:D, 'For Tally'!F:F, A86)</f>
        <v>0</v>
      </c>
      <c r="C86" s="108" t="s">
        <v>1817</v>
      </c>
      <c r="D86" s="108">
        <f>SUMIFS('For Tally'!C:C, 'For Tally'!F:F, C86)</f>
        <v>3307.19</v>
      </c>
    </row>
    <row r="87" spans="1:4" x14ac:dyDescent="0.3">
      <c r="A87" s="118" t="s">
        <v>1002</v>
      </c>
      <c r="B87" s="118">
        <f>SUMIFS('For Tally'!D:D, 'For Tally'!F:F, A87)</f>
        <v>0</v>
      </c>
      <c r="C87" s="118" t="s">
        <v>1002</v>
      </c>
      <c r="D87" s="118">
        <f>SUMIFS('For Tally'!C:C, 'For Tally'!F:F, C87)</f>
        <v>15409</v>
      </c>
    </row>
    <row r="88" spans="1:4" x14ac:dyDescent="0.3">
      <c r="A88" s="42" t="s">
        <v>13</v>
      </c>
      <c r="B88" s="42">
        <f>SUMIFS('For Tally'!D:D, 'For Tally'!F:F, A88)</f>
        <v>0</v>
      </c>
      <c r="C88" s="42" t="s">
        <v>13</v>
      </c>
      <c r="D88" s="42">
        <f>SUMIFS('For Tally'!C:C, 'For Tally'!F:F, C88)</f>
        <v>620</v>
      </c>
    </row>
    <row r="89" spans="1:4" x14ac:dyDescent="0.3">
      <c r="A89" s="100" t="s">
        <v>989</v>
      </c>
      <c r="B89" s="100">
        <f>SUMIFS('For Tally'!D:D, 'For Tally'!F:F, A89)</f>
        <v>0</v>
      </c>
      <c r="C89" s="100" t="s">
        <v>989</v>
      </c>
      <c r="D89" s="100">
        <f>SUMIFS('For Tally'!C:C, 'For Tally'!F:F, C89)</f>
        <v>930</v>
      </c>
    </row>
    <row r="90" spans="1:4" x14ac:dyDescent="0.3">
      <c r="A90" s="100" t="s">
        <v>981</v>
      </c>
      <c r="B90" s="100">
        <f>SUMIFS('For Tally'!D:D, 'For Tally'!F:F, A90)</f>
        <v>0</v>
      </c>
      <c r="C90" s="100" t="s">
        <v>981</v>
      </c>
      <c r="D90" s="100">
        <f>SUMIFS('For Tally'!C:C, 'For Tally'!F:F, C90)</f>
        <v>1450</v>
      </c>
    </row>
    <row r="91" spans="1:4" x14ac:dyDescent="0.3">
      <c r="A91" s="137" t="s">
        <v>1661</v>
      </c>
      <c r="B91" s="137">
        <f>SUMIFS('For Tally'!D:D, 'For Tally'!F:F, A91)</f>
        <v>4</v>
      </c>
      <c r="C91" s="137" t="s">
        <v>1661</v>
      </c>
      <c r="D91" s="137">
        <f>SUMIFS('For Tally'!C:C, 'For Tally'!F:F, C91)</f>
        <v>160</v>
      </c>
    </row>
    <row r="92" spans="1:4" x14ac:dyDescent="0.3">
      <c r="A92" s="137" t="s">
        <v>1815</v>
      </c>
      <c r="B92" s="137">
        <f>SUMIFS('For Tally'!D:D, 'For Tally'!F:F, A92)</f>
        <v>0</v>
      </c>
      <c r="C92" s="137" t="s">
        <v>1815</v>
      </c>
      <c r="D92" s="137">
        <f>SUMIFS('For Tally'!C:C, 'For Tally'!F:F, C92)</f>
        <v>4</v>
      </c>
    </row>
    <row r="93" spans="1:4" x14ac:dyDescent="0.3">
      <c r="A93" s="149" t="s">
        <v>1677</v>
      </c>
      <c r="B93" s="149">
        <f>SUMIFS('For Tally'!D:D, 'For Tally'!F:F, A93)</f>
        <v>0</v>
      </c>
      <c r="C93" s="149" t="s">
        <v>1677</v>
      </c>
      <c r="D93" s="149">
        <f>SUMIFS('For Tally'!C:C, 'For Tally'!F:F, C93)</f>
        <v>69</v>
      </c>
    </row>
    <row r="94" spans="1:4" x14ac:dyDescent="0.3">
      <c r="A94" s="84" t="s">
        <v>973</v>
      </c>
      <c r="B94" s="84">
        <f>SUMIFS('For Tally'!D:D, 'For Tally'!F:F, A94)</f>
        <v>22057.380000000005</v>
      </c>
      <c r="C94" s="84" t="s">
        <v>973</v>
      </c>
      <c r="D94" s="84">
        <f>SUMIFS('For Tally'!C:C, 'For Tally'!F:F, C94)</f>
        <v>71421.499999999985</v>
      </c>
    </row>
    <row r="95" spans="1:4" x14ac:dyDescent="0.3">
      <c r="A95" s="44" t="s">
        <v>14</v>
      </c>
      <c r="B95" s="44">
        <f>SUMIFS('For Tally'!D:D, 'For Tally'!F:F, A95)</f>
        <v>0</v>
      </c>
      <c r="C95" s="44" t="s">
        <v>14</v>
      </c>
      <c r="D95" s="44">
        <f>SUMIFS('For Tally'!C:C, 'For Tally'!F:F, C95)</f>
        <v>1099</v>
      </c>
    </row>
    <row r="96" spans="1:4" x14ac:dyDescent="0.3">
      <c r="A96" s="104" t="s">
        <v>983</v>
      </c>
      <c r="B96" s="104">
        <f>SUMIFS('For Tally'!D:D, 'For Tally'!F:F, A96)</f>
        <v>0</v>
      </c>
      <c r="C96" s="104" t="s">
        <v>983</v>
      </c>
      <c r="D96" s="104">
        <f>SUMIFS('For Tally'!C:C, 'For Tally'!F:F, C96)</f>
        <v>2187</v>
      </c>
    </row>
    <row r="97" spans="1:6" x14ac:dyDescent="0.3">
      <c r="A97" s="120" t="s">
        <v>1003</v>
      </c>
      <c r="B97" s="120">
        <f>SUMIFS('For Tally'!D:D, 'For Tally'!F:F, A97)</f>
        <v>120</v>
      </c>
      <c r="C97" s="120" t="s">
        <v>1003</v>
      </c>
      <c r="D97" s="120">
        <f>SUMIFS('For Tally'!C:C, 'For Tally'!F:F, C97)</f>
        <v>50</v>
      </c>
    </row>
    <row r="98" spans="1:6" x14ac:dyDescent="0.3">
      <c r="A98" s="102" t="s">
        <v>1822</v>
      </c>
      <c r="B98" s="102">
        <f>SUMIFS('For Tally'!D:D, 'For Tally'!F:F, A98)</f>
        <v>0</v>
      </c>
      <c r="C98" s="102" t="s">
        <v>1822</v>
      </c>
      <c r="D98" s="102">
        <f>SUMIFS('For Tally'!C:C, 'For Tally'!F:F, C98)</f>
        <v>1</v>
      </c>
    </row>
    <row r="99" spans="1:6" x14ac:dyDescent="0.3">
      <c r="A99" s="131" t="s">
        <v>1657</v>
      </c>
      <c r="B99" s="131">
        <f>SUMIFS('For Tally'!D:D, 'For Tally'!F:F, A99)</f>
        <v>0</v>
      </c>
      <c r="C99" s="131" t="s">
        <v>1657</v>
      </c>
      <c r="D99" s="131">
        <f>SUMIFS('For Tally'!C:C, 'For Tally'!F:F, C99)</f>
        <v>723</v>
      </c>
    </row>
    <row r="100" spans="1:6" x14ac:dyDescent="0.3">
      <c r="A100" s="44" t="s">
        <v>984</v>
      </c>
      <c r="B100" s="44">
        <f>SUMIFS('For Tally'!D:D, 'For Tally'!F:F, A100)</f>
        <v>0</v>
      </c>
      <c r="C100" s="44" t="s">
        <v>984</v>
      </c>
      <c r="D100" s="44">
        <f>SUMIFS('For Tally'!C:C, 'For Tally'!F:F, C100)</f>
        <v>800</v>
      </c>
    </row>
    <row r="101" spans="1:6" x14ac:dyDescent="0.3">
      <c r="A101" s="42" t="s">
        <v>982</v>
      </c>
      <c r="B101" s="42">
        <f>SUMIFS('For Tally'!D:D, 'For Tally'!F:F, A101)</f>
        <v>0</v>
      </c>
      <c r="C101" s="42" t="s">
        <v>982</v>
      </c>
      <c r="D101" s="42">
        <f>SUMIFS('For Tally'!C:C, 'For Tally'!F:F, C101)</f>
        <v>3006</v>
      </c>
    </row>
    <row r="102" spans="1:6" x14ac:dyDescent="0.3">
      <c r="A102" s="139" t="s">
        <v>1662</v>
      </c>
      <c r="B102" s="139">
        <f>SUMIFS('For Tally'!D:D, 'For Tally'!F:F, A102)</f>
        <v>0</v>
      </c>
      <c r="C102" s="139" t="s">
        <v>1662</v>
      </c>
      <c r="D102" s="139">
        <f>SUMIFS('For Tally'!C:C, 'For Tally'!F:F, C102)</f>
        <v>283</v>
      </c>
    </row>
    <row r="103" spans="1:6" x14ac:dyDescent="0.3">
      <c r="A103" s="42" t="s">
        <v>997</v>
      </c>
      <c r="B103" s="42">
        <f>SUMIFS('For Tally'!D:D, 'For Tally'!F:F, A103)</f>
        <v>0</v>
      </c>
      <c r="C103" s="42" t="s">
        <v>997</v>
      </c>
      <c r="D103" s="42">
        <f>SUMIFS('For Tally'!C:C, 'For Tally'!F:F, C103)</f>
        <v>736</v>
      </c>
    </row>
    <row r="104" spans="1:6" x14ac:dyDescent="0.3">
      <c r="A104" s="108" t="s">
        <v>1825</v>
      </c>
      <c r="B104" s="108">
        <f>SUMIFS('For Tally'!D:D, 'For Tally'!F:F, A104)</f>
        <v>0</v>
      </c>
      <c r="C104" s="108" t="s">
        <v>1825</v>
      </c>
      <c r="D104" s="108">
        <f>SUMIFS('For Tally'!C:C, 'For Tally'!F:F, C104)</f>
        <v>328.7</v>
      </c>
    </row>
    <row r="105" spans="1:6" x14ac:dyDescent="0.3">
      <c r="A105" s="90" t="s">
        <v>975</v>
      </c>
      <c r="B105" s="90">
        <f>SUMIFS('For Tally'!D:D, 'For Tally'!F:F, A105)</f>
        <v>0</v>
      </c>
      <c r="C105" s="90" t="s">
        <v>975</v>
      </c>
      <c r="D105" s="90">
        <f>SUMIFS('For Tally'!C:C, 'For Tally'!F:F, C105)</f>
        <v>66865.11</v>
      </c>
    </row>
    <row r="106" spans="1:6" x14ac:dyDescent="0.3">
      <c r="A106" s="38" t="s">
        <v>1676</v>
      </c>
      <c r="B106" s="38">
        <f>SUMIFS('For Tally'!D:D, 'For Tally'!F:F, A106)</f>
        <v>2130</v>
      </c>
      <c r="C106" s="38" t="s">
        <v>1676</v>
      </c>
      <c r="D106" s="38">
        <f>SUMIFS('For Tally'!C:C, 'For Tally'!F:F, C106)</f>
        <v>0</v>
      </c>
    </row>
    <row r="107" spans="1:6" x14ac:dyDescent="0.3">
      <c r="A107" s="154" t="s">
        <v>1807</v>
      </c>
      <c r="B107" s="154">
        <f>SUMIFS('For Tally'!D:D, 'For Tally'!F:F, A107)</f>
        <v>559</v>
      </c>
      <c r="C107" s="154" t="s">
        <v>1807</v>
      </c>
      <c r="D107" s="154">
        <f>SUMIFS('For Tally'!C:C, 'For Tally'!F:F, C107)</f>
        <v>0</v>
      </c>
    </row>
    <row r="108" spans="1:6" x14ac:dyDescent="0.3">
      <c r="A108" s="106" t="s">
        <v>986</v>
      </c>
      <c r="B108" s="106">
        <f>SUMIFS('For Tally'!D:D, 'For Tally'!F:F, A108)</f>
        <v>0</v>
      </c>
      <c r="C108" s="106" t="s">
        <v>986</v>
      </c>
      <c r="D108" s="106">
        <f>SUMIFS('For Tally'!C:C, 'For Tally'!F:F, C108)</f>
        <v>5420</v>
      </c>
    </row>
    <row r="109" spans="1:6" x14ac:dyDescent="0.3">
      <c r="A109" s="23" t="s">
        <v>1667</v>
      </c>
      <c r="B109" s="23">
        <f>SUMIFS('For Tally'!D:D, 'For Tally'!F:F, A109)</f>
        <v>35971</v>
      </c>
      <c r="C109" s="23" t="s">
        <v>1667</v>
      </c>
      <c r="D109" s="23">
        <f>SUMIFS('For Tally'!C:C, 'For Tally'!F:F, C109)</f>
        <v>208000</v>
      </c>
    </row>
    <row r="110" spans="1:6" x14ac:dyDescent="0.3">
      <c r="A110" s="165" t="s">
        <v>2495</v>
      </c>
      <c r="B110" s="165">
        <f>SUM(B5:B109)</f>
        <v>4094424.7500000005</v>
      </c>
      <c r="C110" s="165" t="s">
        <v>2495</v>
      </c>
      <c r="D110" s="165">
        <f>SUM(D5:D109)</f>
        <v>4127912.7</v>
      </c>
      <c r="E110" s="165" t="s">
        <v>2496</v>
      </c>
      <c r="F110" s="165">
        <f>B110-D110</f>
        <v>-33487.949999999721</v>
      </c>
    </row>
    <row r="112" spans="1:6" x14ac:dyDescent="0.3">
      <c r="A112" s="166" t="s">
        <v>2497</v>
      </c>
    </row>
    <row r="113" spans="1:6" x14ac:dyDescent="0.3">
      <c r="A113" s="167" t="s">
        <v>2498</v>
      </c>
      <c r="B113" s="167" t="s">
        <v>2499</v>
      </c>
      <c r="C113" s="167" t="s">
        <v>2500</v>
      </c>
      <c r="D113" s="167"/>
      <c r="E113" s="167"/>
      <c r="F113" s="167"/>
    </row>
    <row r="114" spans="1:6" x14ac:dyDescent="0.3">
      <c r="A114" s="162" t="s">
        <v>1680</v>
      </c>
      <c r="B114" s="162">
        <v>17356.03</v>
      </c>
      <c r="C114" s="162">
        <f>B114 + SUMIFS('For Tally'!D:D, 'For Tally'!I:I, A114) - SUMIFS('For Tally'!C:C, 'For Tally'!I:I, A114)</f>
        <v>5572.5699999993667</v>
      </c>
    </row>
    <row r="115" spans="1:6" x14ac:dyDescent="0.3">
      <c r="A115" s="162" t="s">
        <v>1779</v>
      </c>
      <c r="B115" s="162">
        <v>29321.48</v>
      </c>
      <c r="C115" s="162">
        <f>B115 + SUMIFS('For Tally'!D:D, 'For Tally'!I:I, A115) - SUMIFS('For Tally'!C:C, 'For Tally'!I:I, A115)</f>
        <v>161.99999999883585</v>
      </c>
    </row>
    <row r="116" spans="1:6" x14ac:dyDescent="0.3">
      <c r="A116" s="162" t="s">
        <v>1019</v>
      </c>
      <c r="B116" s="162">
        <v>1733.19</v>
      </c>
      <c r="C116" s="162">
        <f>B116 + SUMIFS('For Tally'!D:D, 'For Tally'!I:I, A116) - SUMIFS('For Tally'!C:C, 'For Tally'!I:I, A116)</f>
        <v>8538.0799999998417</v>
      </c>
    </row>
    <row r="117" spans="1:6" x14ac:dyDescent="0.3">
      <c r="A117" s="162" t="s">
        <v>837</v>
      </c>
      <c r="B117" s="162">
        <v>10986.03</v>
      </c>
      <c r="C117" s="162">
        <f>B117 + SUMIFS('For Tally'!D:D, 'For Tally'!I:I, A117) - SUMIFS('For Tally'!C:C, 'For Tally'!I:I, A117)</f>
        <v>11873.130000000005</v>
      </c>
    </row>
    <row r="118" spans="1:6" x14ac:dyDescent="0.3">
      <c r="A118" s="162" t="s">
        <v>2224</v>
      </c>
      <c r="B118" s="162">
        <v>237</v>
      </c>
      <c r="C118" s="162">
        <f>B118 + SUMIFS('For Tally'!D:D, 'For Tally'!I:I, A118) - SUMIFS('For Tally'!C:C, 'For Tally'!I:I, A118)</f>
        <v>0</v>
      </c>
    </row>
    <row r="120" spans="1:6" x14ac:dyDescent="0.3">
      <c r="A120" s="166" t="s">
        <v>2501</v>
      </c>
    </row>
    <row r="121" spans="1:6" x14ac:dyDescent="0.3">
      <c r="A121" s="168" t="s">
        <v>2502</v>
      </c>
      <c r="B121" s="168" t="s">
        <v>2503</v>
      </c>
      <c r="C121" s="168" t="s">
        <v>2504</v>
      </c>
      <c r="D121" s="168"/>
      <c r="E121" s="168"/>
      <c r="F121" s="168"/>
    </row>
    <row r="122" spans="1:6" x14ac:dyDescent="0.3">
      <c r="A122" s="79" t="s">
        <v>2505</v>
      </c>
      <c r="B122" s="79">
        <f>COUNTIF('For Tally'!G:G, "&gt;=0.85")</f>
        <v>1124</v>
      </c>
      <c r="C122" s="169">
        <f>B122/SUM(B122:B124)</f>
        <v>0.72005124919923125</v>
      </c>
    </row>
    <row r="123" spans="1:6" x14ac:dyDescent="0.3">
      <c r="A123" s="86" t="s">
        <v>2506</v>
      </c>
      <c r="B123" s="86">
        <f>COUNTIFS('For Tally'!G:G, "&gt;=0.60", 'For Tally'!G:G, "&lt;0.85")</f>
        <v>171</v>
      </c>
      <c r="C123" s="170">
        <f>B123/SUM(B122:B124)</f>
        <v>0.10954516335682254</v>
      </c>
    </row>
    <row r="124" spans="1:6" x14ac:dyDescent="0.3">
      <c r="A124" s="34" t="s">
        <v>2507</v>
      </c>
      <c r="B124" s="34">
        <f>COUNTIF('For Tally'!G:G, "&lt;0.60")</f>
        <v>266</v>
      </c>
      <c r="C124" s="171">
        <f>B124/SUM(B122:B124)</f>
        <v>0.17040358744394618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15" width="14" customWidth="1"/>
  </cols>
  <sheetData>
    <row r="1" spans="1:15" ht="18" x14ac:dyDescent="0.35">
      <c r="A1" s="163" t="s">
        <v>2508</v>
      </c>
    </row>
    <row r="3" spans="1:15" x14ac:dyDescent="0.3">
      <c r="A3" s="172" t="s">
        <v>2509</v>
      </c>
      <c r="B3" s="173" t="s">
        <v>2484</v>
      </c>
      <c r="C3" s="173" t="s">
        <v>2482</v>
      </c>
      <c r="D3" s="173" t="s">
        <v>2483</v>
      </c>
      <c r="E3" s="173" t="s">
        <v>2487</v>
      </c>
      <c r="F3" s="173" t="s">
        <v>2486</v>
      </c>
    </row>
    <row r="4" spans="1:15" x14ac:dyDescent="0.3">
      <c r="B4" s="174" t="b">
        <v>1</v>
      </c>
      <c r="C4" s="174" t="b">
        <v>1</v>
      </c>
      <c r="D4" s="174" t="b">
        <v>1</v>
      </c>
      <c r="E4" s="174" t="b">
        <v>1</v>
      </c>
      <c r="F4" s="174" t="b">
        <v>1</v>
      </c>
    </row>
    <row r="5" spans="1:15" hidden="1" x14ac:dyDescent="0.3">
      <c r="B5" t="str">
        <f>IF(B4, B3, "")</f>
        <v>Axis Bank</v>
      </c>
      <c r="C5" t="str">
        <f>IF(C4, C3, "")</f>
        <v>HDFC Bank</v>
      </c>
      <c r="D5" t="str">
        <f>IF(D4, D3, "")</f>
        <v>Kotak Mahindra Bank</v>
      </c>
      <c r="E5" t="str">
        <f>IF(E4, E3, "")</f>
        <v>SBM Bank</v>
      </c>
      <c r="F5" t="str">
        <f>IF(F4, F3, "")</f>
        <v>State Bank of India</v>
      </c>
    </row>
    <row r="7" spans="1:15" x14ac:dyDescent="0.3">
      <c r="A7" s="175" t="s">
        <v>2510</v>
      </c>
      <c r="B7" s="175" t="s">
        <v>2511</v>
      </c>
      <c r="C7" s="175" t="s">
        <v>2512</v>
      </c>
      <c r="D7" s="175" t="s">
        <v>2513</v>
      </c>
      <c r="E7" s="175" t="s">
        <v>2514</v>
      </c>
      <c r="F7" s="175" t="s">
        <v>2515</v>
      </c>
      <c r="G7" s="175" t="s">
        <v>2516</v>
      </c>
      <c r="H7" s="175" t="s">
        <v>2517</v>
      </c>
      <c r="I7" s="175" t="s">
        <v>2518</v>
      </c>
      <c r="J7" s="175" t="s">
        <v>2519</v>
      </c>
      <c r="K7" s="175" t="s">
        <v>2520</v>
      </c>
      <c r="L7" s="175" t="s">
        <v>2521</v>
      </c>
      <c r="M7" s="175" t="s">
        <v>2522</v>
      </c>
      <c r="N7" s="175" t="s">
        <v>2523</v>
      </c>
      <c r="O7" s="175" t="s">
        <v>2495</v>
      </c>
    </row>
    <row r="8" spans="1:15" x14ac:dyDescent="0.3">
      <c r="A8" s="135" t="s">
        <v>157</v>
      </c>
      <c r="B8" s="135">
        <f>SUMPRODUCT(SUMIFS('For Tally'!C:C, 'For Tally'!H:H, $A8, 'For Tally'!A:A, "&gt;=2025-04-01", 'For Tally'!A:A, "&lt;=2025-04-30", 'For Tally'!L:L, $B$5:$F$5))</f>
        <v>0</v>
      </c>
      <c r="C8" s="135">
        <f>SUMPRODUCT(SUMIFS('For Tally'!C:C, 'For Tally'!H:H, $A8, 'For Tally'!A:A, "&gt;=2025-05-01", 'For Tally'!A:A, "&lt;=2025-05-31", 'For Tally'!L:L, $B$5:$F$5))</f>
        <v>0</v>
      </c>
      <c r="D8" s="135">
        <f>SUMPRODUCT(SUMIFS('For Tally'!C:C, 'For Tally'!H:H, $A8, 'For Tally'!A:A, "&gt;=2025-06-01", 'For Tally'!A:A, "&lt;=2025-06-30", 'For Tally'!L:L, $B$5:$F$5))</f>
        <v>0</v>
      </c>
      <c r="E8" s="135">
        <f>SUMPRODUCT(SUMIFS('For Tally'!C:C, 'For Tally'!H:H, $A8, 'For Tally'!A:A, "&gt;=2025-07-01", 'For Tally'!A:A, "&lt;=2025-07-31", 'For Tally'!L:L, $B$5:$F$5))</f>
        <v>10000</v>
      </c>
      <c r="F8" s="135">
        <f>SUMPRODUCT(SUMIFS('For Tally'!C:C, 'For Tally'!H:H, $A8, 'For Tally'!A:A, "&gt;=2025-08-01", 'For Tally'!A:A, "&lt;=2025-08-31", 'For Tally'!L:L, $B$5:$F$5))</f>
        <v>65001</v>
      </c>
      <c r="G8" s="135">
        <f>SUMPRODUCT(SUMIFS('For Tally'!C:C, 'For Tally'!H:H, $A8, 'For Tally'!A:A, "&gt;=2025-09-01", 'For Tally'!A:A, "&lt;=2025-09-30", 'For Tally'!L:L, $B$5:$F$5))</f>
        <v>50000</v>
      </c>
      <c r="H8" s="135">
        <f>SUMPRODUCT(SUMIFS('For Tally'!C:C, 'For Tally'!H:H, $A8, 'For Tally'!A:A, "&gt;=2025-10-01", 'For Tally'!A:A, "&lt;=2025-10-31", 'For Tally'!L:L, $B$5:$F$5))</f>
        <v>340000</v>
      </c>
      <c r="I8" s="135">
        <f>SUMPRODUCT(SUMIFS('For Tally'!C:C, 'For Tally'!H:H, $A8, 'For Tally'!A:A, "&gt;=2025-11-01", 'For Tally'!A:A, "&lt;=2025-11-30", 'For Tally'!L:L, $B$5:$F$5))</f>
        <v>30000</v>
      </c>
      <c r="J8" s="135">
        <f>SUMPRODUCT(SUMIFS('For Tally'!C:C, 'For Tally'!H:H, $A8, 'For Tally'!A:A, "&gt;=2025-12-01", 'For Tally'!A:A, "&lt;=2025-12-31", 'For Tally'!L:L, $B$5:$F$5))</f>
        <v>0</v>
      </c>
      <c r="K8" s="135">
        <f>SUMPRODUCT(SUMIFS('For Tally'!C:C, 'For Tally'!H:H, $A8, 'For Tally'!A:A, "&gt;=2026-01-01", 'For Tally'!A:A, "&lt;=2026-01-31", 'For Tally'!L:L, $B$5:$F$5))</f>
        <v>0</v>
      </c>
      <c r="L8" s="135">
        <f>SUMPRODUCT(SUMIFS('For Tally'!C:C, 'For Tally'!H:H, $A8, 'For Tally'!A:A, "&gt;=2026-02-01", 'For Tally'!A:A, "&lt;=2026-02-28", 'For Tally'!L:L, $B$5:$F$5))</f>
        <v>0</v>
      </c>
      <c r="M8" s="135">
        <f>SUMPRODUCT(SUMIFS('For Tally'!C:C, 'For Tally'!H:H, $A8, 'For Tally'!A:A, "&gt;=2026-03-01", 'For Tally'!A:A, "&lt;=2026-03-31", 'For Tally'!L:L, $B$5:$F$5))</f>
        <v>0</v>
      </c>
      <c r="N8" s="135">
        <f>SUMPRODUCT(SUMIFS('For Tally'!C:C, 'For Tally'!H:H, $A8, 'For Tally'!A:A, "&gt;=2026-04-01", 'For Tally'!A:A, "&lt;=2026-04-30", 'For Tally'!L:L, $B$5:$F$5))</f>
        <v>0</v>
      </c>
      <c r="O8" s="135">
        <f t="shared" ref="O8:O40" si="0">SUM(B8:N8)</f>
        <v>495001</v>
      </c>
    </row>
    <row r="9" spans="1:15" x14ac:dyDescent="0.3">
      <c r="A9" s="135" t="s">
        <v>181</v>
      </c>
      <c r="B9" s="135">
        <f>SUMPRODUCT(SUMIFS('For Tally'!C:C, 'For Tally'!H:H, $A9, 'For Tally'!A:A, "&gt;=2025-04-01", 'For Tally'!A:A, "&lt;=2025-04-30", 'For Tally'!L:L, $B$5:$F$5))</f>
        <v>0</v>
      </c>
      <c r="C9" s="135">
        <f>SUMPRODUCT(SUMIFS('For Tally'!C:C, 'For Tally'!H:H, $A9, 'For Tally'!A:A, "&gt;=2025-05-01", 'For Tally'!A:A, "&lt;=2025-05-31", 'For Tally'!L:L, $B$5:$F$5))</f>
        <v>100000</v>
      </c>
      <c r="D9" s="135">
        <f>SUMPRODUCT(SUMIFS('For Tally'!C:C, 'For Tally'!H:H, $A9, 'For Tally'!A:A, "&gt;=2025-06-01", 'For Tally'!A:A, "&lt;=2025-06-30", 'For Tally'!L:L, $B$5:$F$5))</f>
        <v>0</v>
      </c>
      <c r="E9" s="135">
        <f>SUMPRODUCT(SUMIFS('For Tally'!C:C, 'For Tally'!H:H, $A9, 'For Tally'!A:A, "&gt;=2025-07-01", 'For Tally'!A:A, "&lt;=2025-07-31", 'For Tally'!L:L, $B$5:$F$5))</f>
        <v>0</v>
      </c>
      <c r="F9" s="135">
        <f>SUMPRODUCT(SUMIFS('For Tally'!C:C, 'For Tally'!H:H, $A9, 'For Tally'!A:A, "&gt;=2025-08-01", 'For Tally'!A:A, "&lt;=2025-08-31", 'For Tally'!L:L, $B$5:$F$5))</f>
        <v>0</v>
      </c>
      <c r="G9" s="135">
        <f>SUMPRODUCT(SUMIFS('For Tally'!C:C, 'For Tally'!H:H, $A9, 'For Tally'!A:A, "&gt;=2025-09-01", 'For Tally'!A:A, "&lt;=2025-09-30", 'For Tally'!L:L, $B$5:$F$5))</f>
        <v>43200</v>
      </c>
      <c r="H9" s="135">
        <f>SUMPRODUCT(SUMIFS('For Tally'!C:C, 'For Tally'!H:H, $A9, 'For Tally'!A:A, "&gt;=2025-10-01", 'For Tally'!A:A, "&lt;=2025-10-31", 'For Tally'!L:L, $B$5:$F$5))</f>
        <v>0</v>
      </c>
      <c r="I9" s="135">
        <f>SUMPRODUCT(SUMIFS('For Tally'!C:C, 'For Tally'!H:H, $A9, 'For Tally'!A:A, "&gt;=2025-11-01", 'For Tally'!A:A, "&lt;=2025-11-30", 'For Tally'!L:L, $B$5:$F$5))</f>
        <v>0</v>
      </c>
      <c r="J9" s="135">
        <f>SUMPRODUCT(SUMIFS('For Tally'!C:C, 'For Tally'!H:H, $A9, 'For Tally'!A:A, "&gt;=2025-12-01", 'For Tally'!A:A, "&lt;=2025-12-31", 'For Tally'!L:L, $B$5:$F$5))</f>
        <v>10000</v>
      </c>
      <c r="K9" s="135">
        <f>SUMPRODUCT(SUMIFS('For Tally'!C:C, 'For Tally'!H:H, $A9, 'For Tally'!A:A, "&gt;=2026-01-01", 'For Tally'!A:A, "&lt;=2026-01-31", 'For Tally'!L:L, $B$5:$F$5))</f>
        <v>0</v>
      </c>
      <c r="L9" s="135">
        <f>SUMPRODUCT(SUMIFS('For Tally'!C:C, 'For Tally'!H:H, $A9, 'For Tally'!A:A, "&gt;=2026-02-01", 'For Tally'!A:A, "&lt;=2026-02-28", 'For Tally'!L:L, $B$5:$F$5))</f>
        <v>0</v>
      </c>
      <c r="M9" s="135">
        <f>SUMPRODUCT(SUMIFS('For Tally'!C:C, 'For Tally'!H:H, $A9, 'For Tally'!A:A, "&gt;=2026-03-01", 'For Tally'!A:A, "&lt;=2026-03-31", 'For Tally'!L:L, $B$5:$F$5))</f>
        <v>0</v>
      </c>
      <c r="N9" s="135">
        <f>SUMPRODUCT(SUMIFS('For Tally'!C:C, 'For Tally'!H:H, $A9, 'For Tally'!A:A, "&gt;=2026-04-01", 'For Tally'!A:A, "&lt;=2026-04-30", 'For Tally'!L:L, $B$5:$F$5))</f>
        <v>0</v>
      </c>
      <c r="O9" s="135">
        <f t="shared" si="0"/>
        <v>153200</v>
      </c>
    </row>
    <row r="10" spans="1:15" x14ac:dyDescent="0.3">
      <c r="A10" s="34" t="s">
        <v>7</v>
      </c>
      <c r="B10" s="34">
        <f>SUMPRODUCT(SUMIFS('For Tally'!C:C, 'For Tally'!H:H, $A10, 'For Tally'!A:A, "&gt;=2025-04-01", 'For Tally'!A:A, "&lt;=2025-04-30", 'For Tally'!L:L, $B$5:$F$5))</f>
        <v>295</v>
      </c>
      <c r="C10" s="34">
        <f>SUMPRODUCT(SUMIFS('For Tally'!C:C, 'For Tally'!H:H, $A10, 'For Tally'!A:A, "&gt;=2025-05-01", 'For Tally'!A:A, "&lt;=2025-05-31", 'For Tally'!L:L, $B$5:$F$5))</f>
        <v>0</v>
      </c>
      <c r="D10" s="34">
        <f>SUMPRODUCT(SUMIFS('For Tally'!C:C, 'For Tally'!H:H, $A10, 'For Tally'!A:A, "&gt;=2025-06-01", 'For Tally'!A:A, "&lt;=2025-06-30", 'For Tally'!L:L, $B$5:$F$5))</f>
        <v>305.95999999999998</v>
      </c>
      <c r="E10" s="34">
        <f>SUMPRODUCT(SUMIFS('For Tally'!C:C, 'For Tally'!H:H, $A10, 'For Tally'!A:A, "&gt;=2025-07-01", 'For Tally'!A:A, "&lt;=2025-07-31", 'For Tally'!L:L, $B$5:$F$5))</f>
        <v>0</v>
      </c>
      <c r="F10" s="34">
        <f>SUMPRODUCT(SUMIFS('For Tally'!C:C, 'For Tally'!H:H, $A10, 'For Tally'!A:A, "&gt;=2025-08-01", 'For Tally'!A:A, "&lt;=2025-08-31", 'For Tally'!L:L, $B$5:$F$5))</f>
        <v>0</v>
      </c>
      <c r="G10" s="34">
        <f>SUMPRODUCT(SUMIFS('For Tally'!C:C, 'For Tally'!H:H, $A10, 'For Tally'!A:A, "&gt;=2025-09-01", 'For Tally'!A:A, "&lt;=2025-09-30", 'For Tally'!L:L, $B$5:$F$5))</f>
        <v>295</v>
      </c>
      <c r="H10" s="34">
        <f>SUMPRODUCT(SUMIFS('For Tally'!C:C, 'For Tally'!H:H, $A10, 'For Tally'!A:A, "&gt;=2025-10-01", 'For Tally'!A:A, "&lt;=2025-10-31", 'For Tally'!L:L, $B$5:$F$5))</f>
        <v>0</v>
      </c>
      <c r="I10" s="34">
        <f>SUMPRODUCT(SUMIFS('For Tally'!C:C, 'For Tally'!H:H, $A10, 'For Tally'!A:A, "&gt;=2025-11-01", 'For Tally'!A:A, "&lt;=2025-11-30", 'For Tally'!L:L, $B$5:$F$5))</f>
        <v>0</v>
      </c>
      <c r="J10" s="34">
        <f>SUMPRODUCT(SUMIFS('For Tally'!C:C, 'For Tally'!H:H, $A10, 'For Tally'!A:A, "&gt;=2025-12-01", 'For Tally'!A:A, "&lt;=2025-12-31", 'For Tally'!L:L, $B$5:$F$5))</f>
        <v>0</v>
      </c>
      <c r="K10" s="34">
        <f>SUMPRODUCT(SUMIFS('For Tally'!C:C, 'For Tally'!H:H, $A10, 'For Tally'!A:A, "&gt;=2026-01-01", 'For Tally'!A:A, "&lt;=2026-01-31", 'For Tally'!L:L, $B$5:$F$5))</f>
        <v>295</v>
      </c>
      <c r="L10" s="34">
        <f>SUMPRODUCT(SUMIFS('For Tally'!C:C, 'For Tally'!H:H, $A10, 'For Tally'!A:A, "&gt;=2026-02-01", 'For Tally'!A:A, "&lt;=2026-02-28", 'For Tally'!L:L, $B$5:$F$5))</f>
        <v>295</v>
      </c>
      <c r="M10" s="34">
        <f>SUMPRODUCT(SUMIFS('For Tally'!C:C, 'For Tally'!H:H, $A10, 'For Tally'!A:A, "&gt;=2026-03-01", 'For Tally'!A:A, "&lt;=2026-03-31", 'For Tally'!L:L, $B$5:$F$5))</f>
        <v>885</v>
      </c>
      <c r="N10" s="34">
        <f>SUMPRODUCT(SUMIFS('For Tally'!C:C, 'For Tally'!H:H, $A10, 'For Tally'!A:A, "&gt;=2026-04-01", 'For Tally'!A:A, "&lt;=2026-04-30", 'For Tally'!L:L, $B$5:$F$5))</f>
        <v>0</v>
      </c>
      <c r="O10" s="34">
        <f t="shared" si="0"/>
        <v>2370.96</v>
      </c>
    </row>
    <row r="11" spans="1:15" x14ac:dyDescent="0.3">
      <c r="A11" s="135" t="s">
        <v>79</v>
      </c>
      <c r="B11" s="135">
        <f>SUMPRODUCT(SUMIFS('For Tally'!C:C, 'For Tally'!H:H, $A11, 'For Tally'!A:A, "&gt;=2025-04-01", 'For Tally'!A:A, "&lt;=2025-04-30", 'For Tally'!L:L, $B$5:$F$5))</f>
        <v>500</v>
      </c>
      <c r="C11" s="135">
        <f>SUMPRODUCT(SUMIFS('For Tally'!C:C, 'For Tally'!H:H, $A11, 'For Tally'!A:A, "&gt;=2025-05-01", 'For Tally'!A:A, "&lt;=2025-05-31", 'For Tally'!L:L, $B$5:$F$5))</f>
        <v>0</v>
      </c>
      <c r="D11" s="135">
        <f>SUMPRODUCT(SUMIFS('For Tally'!C:C, 'For Tally'!H:H, $A11, 'For Tally'!A:A, "&gt;=2025-06-01", 'For Tally'!A:A, "&lt;=2025-06-30", 'For Tally'!L:L, $B$5:$F$5))</f>
        <v>0</v>
      </c>
      <c r="E11" s="135">
        <f>SUMPRODUCT(SUMIFS('For Tally'!C:C, 'For Tally'!H:H, $A11, 'For Tally'!A:A, "&gt;=2025-07-01", 'For Tally'!A:A, "&lt;=2025-07-31", 'For Tally'!L:L, $B$5:$F$5))</f>
        <v>0</v>
      </c>
      <c r="F11" s="135">
        <f>SUMPRODUCT(SUMIFS('For Tally'!C:C, 'For Tally'!H:H, $A11, 'For Tally'!A:A, "&gt;=2025-08-01", 'For Tally'!A:A, "&lt;=2025-08-31", 'For Tally'!L:L, $B$5:$F$5))</f>
        <v>0</v>
      </c>
      <c r="G11" s="135">
        <f>SUMPRODUCT(SUMIFS('For Tally'!C:C, 'For Tally'!H:H, $A11, 'For Tally'!A:A, "&gt;=2025-09-01", 'For Tally'!A:A, "&lt;=2025-09-30", 'For Tally'!L:L, $B$5:$F$5))</f>
        <v>0</v>
      </c>
      <c r="H11" s="135">
        <f>SUMPRODUCT(SUMIFS('For Tally'!C:C, 'For Tally'!H:H, $A11, 'For Tally'!A:A, "&gt;=2025-10-01", 'For Tally'!A:A, "&lt;=2025-10-31", 'For Tally'!L:L, $B$5:$F$5))</f>
        <v>0</v>
      </c>
      <c r="I11" s="135">
        <f>SUMPRODUCT(SUMIFS('For Tally'!C:C, 'For Tally'!H:H, $A11, 'For Tally'!A:A, "&gt;=2025-11-01", 'For Tally'!A:A, "&lt;=2025-11-30", 'For Tally'!L:L, $B$5:$F$5))</f>
        <v>0</v>
      </c>
      <c r="J11" s="135">
        <f>SUMPRODUCT(SUMIFS('For Tally'!C:C, 'For Tally'!H:H, $A11, 'For Tally'!A:A, "&gt;=2025-12-01", 'For Tally'!A:A, "&lt;=2025-12-31", 'For Tally'!L:L, $B$5:$F$5))</f>
        <v>0</v>
      </c>
      <c r="K11" s="135">
        <f>SUMPRODUCT(SUMIFS('For Tally'!C:C, 'For Tally'!H:H, $A11, 'For Tally'!A:A, "&gt;=2026-01-01", 'For Tally'!A:A, "&lt;=2026-01-31", 'For Tally'!L:L, $B$5:$F$5))</f>
        <v>0</v>
      </c>
      <c r="L11" s="135">
        <f>SUMPRODUCT(SUMIFS('For Tally'!C:C, 'For Tally'!H:H, $A11, 'For Tally'!A:A, "&gt;=2026-02-01", 'For Tally'!A:A, "&lt;=2026-02-28", 'For Tally'!L:L, $B$5:$F$5))</f>
        <v>0</v>
      </c>
      <c r="M11" s="135">
        <f>SUMPRODUCT(SUMIFS('For Tally'!C:C, 'For Tally'!H:H, $A11, 'For Tally'!A:A, "&gt;=2026-03-01", 'For Tally'!A:A, "&lt;=2026-03-31", 'For Tally'!L:L, $B$5:$F$5))</f>
        <v>0</v>
      </c>
      <c r="N11" s="135">
        <f>SUMPRODUCT(SUMIFS('For Tally'!C:C, 'For Tally'!H:H, $A11, 'For Tally'!A:A, "&gt;=2026-04-01", 'For Tally'!A:A, "&lt;=2026-04-30", 'For Tally'!L:L, $B$5:$F$5))</f>
        <v>0</v>
      </c>
      <c r="O11" s="135">
        <f t="shared" si="0"/>
        <v>500</v>
      </c>
    </row>
    <row r="12" spans="1:15" x14ac:dyDescent="0.3">
      <c r="A12" s="135" t="s">
        <v>1028</v>
      </c>
      <c r="B12" s="135">
        <f>SUMPRODUCT(SUMIFS('For Tally'!C:C, 'For Tally'!H:H, $A12, 'For Tally'!A:A, "&gt;=2025-04-01", 'For Tally'!A:A, "&lt;=2025-04-30", 'For Tally'!L:L, $B$5:$F$5))</f>
        <v>21872.93</v>
      </c>
      <c r="C12" s="135">
        <f>SUMPRODUCT(SUMIFS('For Tally'!C:C, 'For Tally'!H:H, $A12, 'For Tally'!A:A, "&gt;=2025-05-01", 'For Tally'!A:A, "&lt;=2025-05-31", 'For Tally'!L:L, $B$5:$F$5))</f>
        <v>3240.66</v>
      </c>
      <c r="D12" s="135">
        <f>SUMPRODUCT(SUMIFS('For Tally'!C:C, 'For Tally'!H:H, $A12, 'For Tally'!A:A, "&gt;=2025-06-01", 'For Tally'!A:A, "&lt;=2025-06-30", 'For Tally'!L:L, $B$5:$F$5))</f>
        <v>25902.75</v>
      </c>
      <c r="E12" s="135">
        <f>SUMPRODUCT(SUMIFS('For Tally'!C:C, 'For Tally'!H:H, $A12, 'For Tally'!A:A, "&gt;=2025-07-01", 'For Tally'!A:A, "&lt;=2025-07-31", 'For Tally'!L:L, $B$5:$F$5))</f>
        <v>15134.43</v>
      </c>
      <c r="F12" s="135">
        <f>SUMPRODUCT(SUMIFS('For Tally'!C:C, 'For Tally'!H:H, $A12, 'For Tally'!A:A, "&gt;=2025-08-01", 'For Tally'!A:A, "&lt;=2025-08-31", 'For Tally'!L:L, $B$5:$F$5))</f>
        <v>9876.869999999999</v>
      </c>
      <c r="G12" s="135">
        <f>SUMPRODUCT(SUMIFS('For Tally'!C:C, 'For Tally'!H:H, $A12, 'For Tally'!A:A, "&gt;=2025-09-01", 'For Tally'!A:A, "&lt;=2025-09-30", 'For Tally'!L:L, $B$5:$F$5))</f>
        <v>29186.82</v>
      </c>
      <c r="H12" s="135">
        <f>SUMPRODUCT(SUMIFS('For Tally'!C:C, 'For Tally'!H:H, $A12, 'For Tally'!A:A, "&gt;=2025-10-01", 'For Tally'!A:A, "&lt;=2025-10-31", 'For Tally'!L:L, $B$5:$F$5))</f>
        <v>46603.95</v>
      </c>
      <c r="I12" s="135">
        <f>SUMPRODUCT(SUMIFS('For Tally'!C:C, 'For Tally'!H:H, $A12, 'For Tally'!A:A, "&gt;=2025-11-01", 'For Tally'!A:A, "&lt;=2025-11-30", 'For Tally'!L:L, $B$5:$F$5))</f>
        <v>26440.5</v>
      </c>
      <c r="J12" s="135">
        <f>SUMPRODUCT(SUMIFS('For Tally'!C:C, 'For Tally'!H:H, $A12, 'For Tally'!A:A, "&gt;=2025-12-01", 'For Tally'!A:A, "&lt;=2025-12-31", 'For Tally'!L:L, $B$5:$F$5))</f>
        <v>20167.93</v>
      </c>
      <c r="K12" s="135">
        <f>SUMPRODUCT(SUMIFS('For Tally'!C:C, 'For Tally'!H:H, $A12, 'For Tally'!A:A, "&gt;=2026-01-01", 'For Tally'!A:A, "&lt;=2026-01-31", 'For Tally'!L:L, $B$5:$F$5))</f>
        <v>48809.24</v>
      </c>
      <c r="L12" s="135">
        <f>SUMPRODUCT(SUMIFS('For Tally'!C:C, 'For Tally'!H:H, $A12, 'For Tally'!A:A, "&gt;=2026-02-01", 'For Tally'!A:A, "&lt;=2026-02-28", 'For Tally'!L:L, $B$5:$F$5))</f>
        <v>22106.85</v>
      </c>
      <c r="M12" s="135">
        <f>SUMPRODUCT(SUMIFS('For Tally'!C:C, 'For Tally'!H:H, $A12, 'For Tally'!A:A, "&gt;=2026-03-01", 'For Tally'!A:A, "&lt;=2026-03-31", 'For Tally'!L:L, $B$5:$F$5))</f>
        <v>12183.37</v>
      </c>
      <c r="N12" s="135">
        <f>SUMPRODUCT(SUMIFS('For Tally'!C:C, 'For Tally'!H:H, $A12, 'For Tally'!A:A, "&gt;=2026-04-01", 'For Tally'!A:A, "&lt;=2026-04-30", 'For Tally'!L:L, $B$5:$F$5))</f>
        <v>0</v>
      </c>
      <c r="O12" s="135">
        <f t="shared" si="0"/>
        <v>281526.29999999993</v>
      </c>
    </row>
    <row r="13" spans="1:15" x14ac:dyDescent="0.3">
      <c r="A13" s="36" t="s">
        <v>9</v>
      </c>
      <c r="B13" s="36">
        <f>SUMPRODUCT(SUMIFS('For Tally'!C:C, 'For Tally'!H:H, $A13, 'For Tally'!A:A, "&gt;=2025-04-01", 'For Tally'!A:A, "&lt;=2025-04-30", 'For Tally'!L:L, $B$5:$F$5))</f>
        <v>531</v>
      </c>
      <c r="C13" s="36">
        <f>SUMPRODUCT(SUMIFS('For Tally'!C:C, 'For Tally'!H:H, $A13, 'For Tally'!A:A, "&gt;=2025-05-01", 'For Tally'!A:A, "&lt;=2025-05-31", 'For Tally'!L:L, $B$5:$F$5))</f>
        <v>1062</v>
      </c>
      <c r="D13" s="36">
        <f>SUMPRODUCT(SUMIFS('For Tally'!C:C, 'For Tally'!H:H, $A13, 'For Tally'!A:A, "&gt;=2025-06-01", 'For Tally'!A:A, "&lt;=2025-06-30", 'For Tally'!L:L, $B$5:$F$5))</f>
        <v>719.8</v>
      </c>
      <c r="E13" s="36">
        <f>SUMPRODUCT(SUMIFS('For Tally'!C:C, 'For Tally'!H:H, $A13, 'For Tally'!A:A, "&gt;=2025-07-01", 'For Tally'!A:A, "&lt;=2025-07-31", 'For Tally'!L:L, $B$5:$F$5))</f>
        <v>330.4</v>
      </c>
      <c r="F13" s="36">
        <f>SUMPRODUCT(SUMIFS('For Tally'!C:C, 'For Tally'!H:H, $A13, 'For Tally'!A:A, "&gt;=2025-08-01", 'For Tally'!A:A, "&lt;=2025-08-31", 'For Tally'!L:L, $B$5:$F$5))</f>
        <v>460.2</v>
      </c>
      <c r="G13" s="36">
        <f>SUMPRODUCT(SUMIFS('For Tally'!C:C, 'For Tally'!H:H, $A13, 'For Tally'!A:A, "&gt;=2025-09-01", 'For Tally'!A:A, "&lt;=2025-09-30", 'For Tally'!L:L, $B$5:$F$5))</f>
        <v>330.4</v>
      </c>
      <c r="H13" s="36">
        <f>SUMPRODUCT(SUMIFS('For Tally'!C:C, 'For Tally'!H:H, $A13, 'For Tally'!A:A, "&gt;=2025-10-01", 'For Tally'!A:A, "&lt;=2025-10-31", 'For Tally'!L:L, $B$5:$F$5))</f>
        <v>637.20000000000005</v>
      </c>
      <c r="I13" s="36">
        <f>SUMPRODUCT(SUMIFS('For Tally'!C:C, 'For Tally'!H:H, $A13, 'For Tally'!A:A, "&gt;=2025-11-01", 'For Tally'!A:A, "&lt;=2025-11-30", 'For Tally'!L:L, $B$5:$F$5))</f>
        <v>1109.2</v>
      </c>
      <c r="J13" s="36">
        <f>SUMPRODUCT(SUMIFS('For Tally'!C:C, 'For Tally'!H:H, $A13, 'For Tally'!A:A, "&gt;=2025-12-01", 'For Tally'!A:A, "&lt;=2025-12-31", 'For Tally'!L:L, $B$5:$F$5))</f>
        <v>365.8</v>
      </c>
      <c r="K13" s="36">
        <f>SUMPRODUCT(SUMIFS('For Tally'!C:C, 'For Tally'!H:H, $A13, 'For Tally'!A:A, "&gt;=2026-01-01", 'For Tally'!A:A, "&lt;=2026-01-31", 'For Tally'!L:L, $B$5:$F$5))</f>
        <v>82.6</v>
      </c>
      <c r="L13" s="36">
        <f>SUMPRODUCT(SUMIFS('For Tally'!C:C, 'For Tally'!H:H, $A13, 'For Tally'!A:A, "&gt;=2026-02-01", 'For Tally'!A:A, "&lt;=2026-02-28", 'For Tally'!L:L, $B$5:$F$5))</f>
        <v>94.4</v>
      </c>
      <c r="M13" s="36">
        <f>SUMPRODUCT(SUMIFS('For Tally'!C:C, 'For Tally'!H:H, $A13, 'For Tally'!A:A, "&gt;=2026-03-01", 'For Tally'!A:A, "&lt;=2026-03-31", 'For Tally'!L:L, $B$5:$F$5))</f>
        <v>82.6</v>
      </c>
      <c r="N13" s="36">
        <f>SUMPRODUCT(SUMIFS('For Tally'!C:C, 'For Tally'!H:H, $A13, 'For Tally'!A:A, "&gt;=2026-04-01", 'For Tally'!A:A, "&lt;=2026-04-30", 'For Tally'!L:L, $B$5:$F$5))</f>
        <v>0</v>
      </c>
      <c r="O13" s="36">
        <f t="shared" si="0"/>
        <v>5805.6</v>
      </c>
    </row>
    <row r="14" spans="1:15" x14ac:dyDescent="0.3">
      <c r="A14" s="110" t="s">
        <v>988</v>
      </c>
      <c r="B14" s="110">
        <f>SUMPRODUCT(SUMIFS('For Tally'!C:C, 'For Tally'!H:H, $A14, 'For Tally'!A:A, "&gt;=2025-04-01", 'For Tally'!A:A, "&lt;=2025-04-30", 'For Tally'!L:L, $B$5:$F$5))</f>
        <v>0</v>
      </c>
      <c r="C14" s="110">
        <f>SUMPRODUCT(SUMIFS('For Tally'!C:C, 'For Tally'!H:H, $A14, 'For Tally'!A:A, "&gt;=2025-05-01", 'For Tally'!A:A, "&lt;=2025-05-31", 'For Tally'!L:L, $B$5:$F$5))</f>
        <v>0</v>
      </c>
      <c r="D14" s="110">
        <f>SUMPRODUCT(SUMIFS('For Tally'!C:C, 'For Tally'!H:H, $A14, 'For Tally'!A:A, "&gt;=2025-06-01", 'For Tally'!A:A, "&lt;=2025-06-30", 'For Tally'!L:L, $B$5:$F$5))</f>
        <v>0</v>
      </c>
      <c r="E14" s="110">
        <f>SUMPRODUCT(SUMIFS('For Tally'!C:C, 'For Tally'!H:H, $A14, 'For Tally'!A:A, "&gt;=2025-07-01", 'For Tally'!A:A, "&lt;=2025-07-31", 'For Tally'!L:L, $B$5:$F$5))</f>
        <v>0</v>
      </c>
      <c r="F14" s="110">
        <f>SUMPRODUCT(SUMIFS('For Tally'!C:C, 'For Tally'!H:H, $A14, 'For Tally'!A:A, "&gt;=2025-08-01", 'For Tally'!A:A, "&lt;=2025-08-31", 'For Tally'!L:L, $B$5:$F$5))</f>
        <v>0</v>
      </c>
      <c r="G14" s="110">
        <f>SUMPRODUCT(SUMIFS('For Tally'!C:C, 'For Tally'!H:H, $A14, 'For Tally'!A:A, "&gt;=2025-09-01", 'For Tally'!A:A, "&lt;=2025-09-30", 'For Tally'!L:L, $B$5:$F$5))</f>
        <v>2100</v>
      </c>
      <c r="H14" s="110">
        <f>SUMPRODUCT(SUMIFS('For Tally'!C:C, 'For Tally'!H:H, $A14, 'For Tally'!A:A, "&gt;=2025-10-01", 'For Tally'!A:A, "&lt;=2025-10-31", 'For Tally'!L:L, $B$5:$F$5))</f>
        <v>0</v>
      </c>
      <c r="I14" s="110">
        <f>SUMPRODUCT(SUMIFS('For Tally'!C:C, 'For Tally'!H:H, $A14, 'For Tally'!A:A, "&gt;=2025-11-01", 'For Tally'!A:A, "&lt;=2025-11-30", 'For Tally'!L:L, $B$5:$F$5))</f>
        <v>0</v>
      </c>
      <c r="J14" s="110">
        <f>SUMPRODUCT(SUMIFS('For Tally'!C:C, 'For Tally'!H:H, $A14, 'For Tally'!A:A, "&gt;=2025-12-01", 'For Tally'!A:A, "&lt;=2025-12-31", 'For Tally'!L:L, $B$5:$F$5))</f>
        <v>0</v>
      </c>
      <c r="K14" s="110">
        <f>SUMPRODUCT(SUMIFS('For Tally'!C:C, 'For Tally'!H:H, $A14, 'For Tally'!A:A, "&gt;=2026-01-01", 'For Tally'!A:A, "&lt;=2026-01-31", 'For Tally'!L:L, $B$5:$F$5))</f>
        <v>0</v>
      </c>
      <c r="L14" s="110">
        <f>SUMPRODUCT(SUMIFS('For Tally'!C:C, 'For Tally'!H:H, $A14, 'For Tally'!A:A, "&gt;=2026-02-01", 'For Tally'!A:A, "&lt;=2026-02-28", 'For Tally'!L:L, $B$5:$F$5))</f>
        <v>0</v>
      </c>
      <c r="M14" s="110">
        <f>SUMPRODUCT(SUMIFS('For Tally'!C:C, 'For Tally'!H:H, $A14, 'For Tally'!A:A, "&gt;=2026-03-01", 'For Tally'!A:A, "&lt;=2026-03-31", 'For Tally'!L:L, $B$5:$F$5))</f>
        <v>0</v>
      </c>
      <c r="N14" s="110">
        <f>SUMPRODUCT(SUMIFS('For Tally'!C:C, 'For Tally'!H:H, $A14, 'For Tally'!A:A, "&gt;=2026-04-01", 'For Tally'!A:A, "&lt;=2026-04-30", 'For Tally'!L:L, $B$5:$F$5))</f>
        <v>0</v>
      </c>
      <c r="O14" s="110">
        <f t="shared" si="0"/>
        <v>2100</v>
      </c>
    </row>
    <row r="15" spans="1:15" x14ac:dyDescent="0.3">
      <c r="A15" s="135" t="s">
        <v>417</v>
      </c>
      <c r="B15" s="135">
        <f>SUMPRODUCT(SUMIFS('For Tally'!C:C, 'For Tally'!H:H, $A15, 'For Tally'!A:A, "&gt;=2025-04-01", 'For Tally'!A:A, "&lt;=2025-04-30", 'For Tally'!L:L, $B$5:$F$5))</f>
        <v>0</v>
      </c>
      <c r="C15" s="135">
        <f>SUMPRODUCT(SUMIFS('For Tally'!C:C, 'For Tally'!H:H, $A15, 'For Tally'!A:A, "&gt;=2025-05-01", 'For Tally'!A:A, "&lt;=2025-05-31", 'For Tally'!L:L, $B$5:$F$5))</f>
        <v>0</v>
      </c>
      <c r="D15" s="135">
        <f>SUMPRODUCT(SUMIFS('For Tally'!C:C, 'For Tally'!H:H, $A15, 'For Tally'!A:A, "&gt;=2025-06-01", 'For Tally'!A:A, "&lt;=2025-06-30", 'For Tally'!L:L, $B$5:$F$5))</f>
        <v>0</v>
      </c>
      <c r="E15" s="135">
        <f>SUMPRODUCT(SUMIFS('For Tally'!C:C, 'For Tally'!H:H, $A15, 'For Tally'!A:A, "&gt;=2025-07-01", 'For Tally'!A:A, "&lt;=2025-07-31", 'For Tally'!L:L, $B$5:$F$5))</f>
        <v>0</v>
      </c>
      <c r="F15" s="135">
        <f>SUMPRODUCT(SUMIFS('For Tally'!C:C, 'For Tally'!H:H, $A15, 'For Tally'!A:A, "&gt;=2025-08-01", 'For Tally'!A:A, "&lt;=2025-08-31", 'For Tally'!L:L, $B$5:$F$5))</f>
        <v>14994</v>
      </c>
      <c r="G15" s="135">
        <f>SUMPRODUCT(SUMIFS('For Tally'!C:C, 'For Tally'!H:H, $A15, 'For Tally'!A:A, "&gt;=2025-09-01", 'For Tally'!A:A, "&lt;=2025-09-30", 'For Tally'!L:L, $B$5:$F$5))</f>
        <v>0</v>
      </c>
      <c r="H15" s="135">
        <f>SUMPRODUCT(SUMIFS('For Tally'!C:C, 'For Tally'!H:H, $A15, 'For Tally'!A:A, "&gt;=2025-10-01", 'For Tally'!A:A, "&lt;=2025-10-31", 'For Tally'!L:L, $B$5:$F$5))</f>
        <v>0</v>
      </c>
      <c r="I15" s="135">
        <f>SUMPRODUCT(SUMIFS('For Tally'!C:C, 'For Tally'!H:H, $A15, 'For Tally'!A:A, "&gt;=2025-11-01", 'For Tally'!A:A, "&lt;=2025-11-30", 'For Tally'!L:L, $B$5:$F$5))</f>
        <v>0</v>
      </c>
      <c r="J15" s="135">
        <f>SUMPRODUCT(SUMIFS('For Tally'!C:C, 'For Tally'!H:H, $A15, 'For Tally'!A:A, "&gt;=2025-12-01", 'For Tally'!A:A, "&lt;=2025-12-31", 'For Tally'!L:L, $B$5:$F$5))</f>
        <v>0</v>
      </c>
      <c r="K15" s="135">
        <f>SUMPRODUCT(SUMIFS('For Tally'!C:C, 'For Tally'!H:H, $A15, 'For Tally'!A:A, "&gt;=2026-01-01", 'For Tally'!A:A, "&lt;=2026-01-31", 'For Tally'!L:L, $B$5:$F$5))</f>
        <v>0</v>
      </c>
      <c r="L15" s="135">
        <f>SUMPRODUCT(SUMIFS('For Tally'!C:C, 'For Tally'!H:H, $A15, 'For Tally'!A:A, "&gt;=2026-02-01", 'For Tally'!A:A, "&lt;=2026-02-28", 'For Tally'!L:L, $B$5:$F$5))</f>
        <v>0</v>
      </c>
      <c r="M15" s="135">
        <f>SUMPRODUCT(SUMIFS('For Tally'!C:C, 'For Tally'!H:H, $A15, 'For Tally'!A:A, "&gt;=2026-03-01", 'For Tally'!A:A, "&lt;=2026-03-31", 'For Tally'!L:L, $B$5:$F$5))</f>
        <v>0</v>
      </c>
      <c r="N15" s="135">
        <f>SUMPRODUCT(SUMIFS('For Tally'!C:C, 'For Tally'!H:H, $A15, 'For Tally'!A:A, "&gt;=2026-04-01", 'For Tally'!A:A, "&lt;=2026-04-30", 'For Tally'!L:L, $B$5:$F$5))</f>
        <v>0</v>
      </c>
      <c r="O15" s="135">
        <f t="shared" si="0"/>
        <v>14994</v>
      </c>
    </row>
    <row r="16" spans="1:15" x14ac:dyDescent="0.3">
      <c r="A16" s="135" t="s">
        <v>1189</v>
      </c>
      <c r="B16" s="135">
        <f>SUMPRODUCT(SUMIFS('For Tally'!C:C, 'For Tally'!H:H, $A16, 'For Tally'!A:A, "&gt;=2025-04-01", 'For Tally'!A:A, "&lt;=2025-04-30", 'For Tally'!L:L, $B$5:$F$5))</f>
        <v>0</v>
      </c>
      <c r="C16" s="135">
        <f>SUMPRODUCT(SUMIFS('For Tally'!C:C, 'For Tally'!H:H, $A16, 'For Tally'!A:A, "&gt;=2025-05-01", 'For Tally'!A:A, "&lt;=2025-05-31", 'For Tally'!L:L, $B$5:$F$5))</f>
        <v>0</v>
      </c>
      <c r="D16" s="135">
        <f>SUMPRODUCT(SUMIFS('For Tally'!C:C, 'For Tally'!H:H, $A16, 'For Tally'!A:A, "&gt;=2025-06-01", 'For Tally'!A:A, "&lt;=2025-06-30", 'For Tally'!L:L, $B$5:$F$5))</f>
        <v>0</v>
      </c>
      <c r="E16" s="135">
        <f>SUMPRODUCT(SUMIFS('For Tally'!C:C, 'For Tally'!H:H, $A16, 'For Tally'!A:A, "&gt;=2025-07-01", 'For Tally'!A:A, "&lt;=2025-07-31", 'For Tally'!L:L, $B$5:$F$5))</f>
        <v>0</v>
      </c>
      <c r="F16" s="135">
        <f>SUMPRODUCT(SUMIFS('For Tally'!C:C, 'For Tally'!H:H, $A16, 'For Tally'!A:A, "&gt;=2025-08-01", 'For Tally'!A:A, "&lt;=2025-08-31", 'For Tally'!L:L, $B$5:$F$5))</f>
        <v>283</v>
      </c>
      <c r="G16" s="135">
        <f>SUMPRODUCT(SUMIFS('For Tally'!C:C, 'For Tally'!H:H, $A16, 'For Tally'!A:A, "&gt;=2025-09-01", 'For Tally'!A:A, "&lt;=2025-09-30", 'For Tally'!L:L, $B$5:$F$5))</f>
        <v>2382</v>
      </c>
      <c r="H16" s="135">
        <f>SUMPRODUCT(SUMIFS('For Tally'!C:C, 'For Tally'!H:H, $A16, 'For Tally'!A:A, "&gt;=2025-10-01", 'For Tally'!A:A, "&lt;=2025-10-31", 'For Tally'!L:L, $B$5:$F$5))</f>
        <v>0</v>
      </c>
      <c r="I16" s="135">
        <f>SUMPRODUCT(SUMIFS('For Tally'!C:C, 'For Tally'!H:H, $A16, 'For Tally'!A:A, "&gt;=2025-11-01", 'For Tally'!A:A, "&lt;=2025-11-30", 'For Tally'!L:L, $B$5:$F$5))</f>
        <v>0</v>
      </c>
      <c r="J16" s="135">
        <f>SUMPRODUCT(SUMIFS('For Tally'!C:C, 'For Tally'!H:H, $A16, 'For Tally'!A:A, "&gt;=2025-12-01", 'For Tally'!A:A, "&lt;=2025-12-31", 'For Tally'!L:L, $B$5:$F$5))</f>
        <v>0</v>
      </c>
      <c r="K16" s="135">
        <f>SUMPRODUCT(SUMIFS('For Tally'!C:C, 'For Tally'!H:H, $A16, 'For Tally'!A:A, "&gt;=2026-01-01", 'For Tally'!A:A, "&lt;=2026-01-31", 'For Tally'!L:L, $B$5:$F$5))</f>
        <v>2258.89</v>
      </c>
      <c r="L16" s="135">
        <f>SUMPRODUCT(SUMIFS('For Tally'!C:C, 'For Tally'!H:H, $A16, 'For Tally'!A:A, "&gt;=2026-02-01", 'For Tally'!A:A, "&lt;=2026-02-28", 'For Tally'!L:L, $B$5:$F$5))</f>
        <v>0</v>
      </c>
      <c r="M16" s="135">
        <f>SUMPRODUCT(SUMIFS('For Tally'!C:C, 'For Tally'!H:H, $A16, 'For Tally'!A:A, "&gt;=2026-03-01", 'For Tally'!A:A, "&lt;=2026-03-31", 'For Tally'!L:L, $B$5:$F$5))</f>
        <v>0</v>
      </c>
      <c r="N16" s="135">
        <f>SUMPRODUCT(SUMIFS('For Tally'!C:C, 'For Tally'!H:H, $A16, 'For Tally'!A:A, "&gt;=2026-04-01", 'For Tally'!A:A, "&lt;=2026-04-30", 'For Tally'!L:L, $B$5:$F$5))</f>
        <v>0</v>
      </c>
      <c r="O16" s="135">
        <f t="shared" si="0"/>
        <v>4923.8899999999994</v>
      </c>
    </row>
    <row r="17" spans="1:15" x14ac:dyDescent="0.3">
      <c r="A17" s="135" t="s">
        <v>1053</v>
      </c>
      <c r="B17" s="135">
        <f>SUMPRODUCT(SUMIFS('For Tally'!C:C, 'For Tally'!H:H, $A17, 'For Tally'!A:A, "&gt;=2025-04-01", 'For Tally'!A:A, "&lt;=2025-04-30", 'For Tally'!L:L, $B$5:$F$5))</f>
        <v>0</v>
      </c>
      <c r="C17" s="135">
        <f>SUMPRODUCT(SUMIFS('For Tally'!C:C, 'For Tally'!H:H, $A17, 'For Tally'!A:A, "&gt;=2025-05-01", 'For Tally'!A:A, "&lt;=2025-05-31", 'For Tally'!L:L, $B$5:$F$5))</f>
        <v>0</v>
      </c>
      <c r="D17" s="135">
        <f>SUMPRODUCT(SUMIFS('For Tally'!C:C, 'For Tally'!H:H, $A17, 'For Tally'!A:A, "&gt;=2025-06-01", 'For Tally'!A:A, "&lt;=2025-06-30", 'For Tally'!L:L, $B$5:$F$5))</f>
        <v>260</v>
      </c>
      <c r="E17" s="135">
        <f>SUMPRODUCT(SUMIFS('For Tally'!C:C, 'For Tally'!H:H, $A17, 'For Tally'!A:A, "&gt;=2025-07-01", 'For Tally'!A:A, "&lt;=2025-07-31", 'For Tally'!L:L, $B$5:$F$5))</f>
        <v>360</v>
      </c>
      <c r="F17" s="135">
        <f>SUMPRODUCT(SUMIFS('For Tally'!C:C, 'For Tally'!H:H, $A17, 'For Tally'!A:A, "&gt;=2025-08-01", 'For Tally'!A:A, "&lt;=2025-08-31", 'For Tally'!L:L, $B$5:$F$5))</f>
        <v>620</v>
      </c>
      <c r="G17" s="135">
        <f>SUMPRODUCT(SUMIFS('For Tally'!C:C, 'For Tally'!H:H, $A17, 'For Tally'!A:A, "&gt;=2025-09-01", 'For Tally'!A:A, "&lt;=2025-09-30", 'For Tally'!L:L, $B$5:$F$5))</f>
        <v>360</v>
      </c>
      <c r="H17" s="135">
        <f>SUMPRODUCT(SUMIFS('For Tally'!C:C, 'For Tally'!H:H, $A17, 'For Tally'!A:A, "&gt;=2025-10-01", 'For Tally'!A:A, "&lt;=2025-10-31", 'For Tally'!L:L, $B$5:$F$5))</f>
        <v>310</v>
      </c>
      <c r="I17" s="135">
        <f>SUMPRODUCT(SUMIFS('For Tally'!C:C, 'For Tally'!H:H, $A17, 'For Tally'!A:A, "&gt;=2025-11-01", 'For Tally'!A:A, "&lt;=2025-11-30", 'For Tally'!L:L, $B$5:$F$5))</f>
        <v>260</v>
      </c>
      <c r="J17" s="135">
        <f>SUMPRODUCT(SUMIFS('For Tally'!C:C, 'For Tally'!H:H, $A17, 'For Tally'!A:A, "&gt;=2025-12-01", 'For Tally'!A:A, "&lt;=2025-12-31", 'For Tally'!L:L, $B$5:$F$5))</f>
        <v>210</v>
      </c>
      <c r="K17" s="135">
        <f>SUMPRODUCT(SUMIFS('For Tally'!C:C, 'For Tally'!H:H, $A17, 'For Tally'!A:A, "&gt;=2026-01-01", 'For Tally'!A:A, "&lt;=2026-01-31", 'For Tally'!L:L, $B$5:$F$5))</f>
        <v>0</v>
      </c>
      <c r="L17" s="135">
        <f>SUMPRODUCT(SUMIFS('For Tally'!C:C, 'For Tally'!H:H, $A17, 'For Tally'!A:A, "&gt;=2026-02-01", 'For Tally'!A:A, "&lt;=2026-02-28", 'For Tally'!L:L, $B$5:$F$5))</f>
        <v>0</v>
      </c>
      <c r="M17" s="135">
        <f>SUMPRODUCT(SUMIFS('For Tally'!C:C, 'For Tally'!H:H, $A17, 'For Tally'!A:A, "&gt;=2026-03-01", 'For Tally'!A:A, "&lt;=2026-03-31", 'For Tally'!L:L, $B$5:$F$5))</f>
        <v>0</v>
      </c>
      <c r="N17" s="135">
        <f>SUMPRODUCT(SUMIFS('For Tally'!C:C, 'For Tally'!H:H, $A17, 'For Tally'!A:A, "&gt;=2026-04-01", 'For Tally'!A:A, "&lt;=2026-04-30", 'For Tally'!L:L, $B$5:$F$5))</f>
        <v>0</v>
      </c>
      <c r="O17" s="135">
        <f t="shared" si="0"/>
        <v>2380</v>
      </c>
    </row>
    <row r="18" spans="1:15" x14ac:dyDescent="0.3">
      <c r="A18" s="135" t="s">
        <v>131</v>
      </c>
      <c r="B18" s="135">
        <f>SUMPRODUCT(SUMIFS('For Tally'!C:C, 'For Tally'!H:H, $A18, 'For Tally'!A:A, "&gt;=2025-04-01", 'For Tally'!A:A, "&lt;=2025-04-30", 'For Tally'!L:L, $B$5:$F$5))</f>
        <v>60</v>
      </c>
      <c r="C18" s="135">
        <f>SUMPRODUCT(SUMIFS('For Tally'!C:C, 'For Tally'!H:H, $A18, 'For Tally'!A:A, "&gt;=2025-05-01", 'For Tally'!A:A, "&lt;=2025-05-31", 'For Tally'!L:L, $B$5:$F$5))</f>
        <v>584</v>
      </c>
      <c r="D18" s="135">
        <f>SUMPRODUCT(SUMIFS('For Tally'!C:C, 'For Tally'!H:H, $A18, 'For Tally'!A:A, "&gt;=2025-06-01", 'For Tally'!A:A, "&lt;=2025-06-30", 'For Tally'!L:L, $B$5:$F$5))</f>
        <v>430</v>
      </c>
      <c r="E18" s="135">
        <f>SUMPRODUCT(SUMIFS('For Tally'!C:C, 'For Tally'!H:H, $A18, 'For Tally'!A:A, "&gt;=2025-07-01", 'For Tally'!A:A, "&lt;=2025-07-31", 'For Tally'!L:L, $B$5:$F$5))</f>
        <v>3397</v>
      </c>
      <c r="F18" s="135">
        <f>SUMPRODUCT(SUMIFS('For Tally'!C:C, 'For Tally'!H:H, $A18, 'For Tally'!A:A, "&gt;=2025-08-01", 'For Tally'!A:A, "&lt;=2025-08-31", 'For Tally'!L:L, $B$5:$F$5))</f>
        <v>0</v>
      </c>
      <c r="G18" s="135">
        <f>SUMPRODUCT(SUMIFS('For Tally'!C:C, 'For Tally'!H:H, $A18, 'For Tally'!A:A, "&gt;=2025-09-01", 'For Tally'!A:A, "&lt;=2025-09-30", 'For Tally'!L:L, $B$5:$F$5))</f>
        <v>430</v>
      </c>
      <c r="H18" s="135">
        <f>SUMPRODUCT(SUMIFS('For Tally'!C:C, 'For Tally'!H:H, $A18, 'For Tally'!A:A, "&gt;=2025-10-01", 'For Tally'!A:A, "&lt;=2025-10-31", 'For Tally'!L:L, $B$5:$F$5))</f>
        <v>70</v>
      </c>
      <c r="I18" s="135">
        <f>SUMPRODUCT(SUMIFS('For Tally'!C:C, 'For Tally'!H:H, $A18, 'For Tally'!A:A, "&gt;=2025-11-01", 'For Tally'!A:A, "&lt;=2025-11-30", 'For Tally'!L:L, $B$5:$F$5))</f>
        <v>318</v>
      </c>
      <c r="J18" s="135">
        <f>SUMPRODUCT(SUMIFS('For Tally'!C:C, 'For Tally'!H:H, $A18, 'For Tally'!A:A, "&gt;=2025-12-01", 'For Tally'!A:A, "&lt;=2025-12-31", 'For Tally'!L:L, $B$5:$F$5))</f>
        <v>524</v>
      </c>
      <c r="K18" s="135">
        <f>SUMPRODUCT(SUMIFS('For Tally'!C:C, 'For Tally'!H:H, $A18, 'For Tally'!A:A, "&gt;=2026-01-01", 'For Tally'!A:A, "&lt;=2026-01-31", 'For Tally'!L:L, $B$5:$F$5))</f>
        <v>4192.3</v>
      </c>
      <c r="L18" s="135">
        <f>SUMPRODUCT(SUMIFS('For Tally'!C:C, 'For Tally'!H:H, $A18, 'For Tally'!A:A, "&gt;=2026-02-01", 'For Tally'!A:A, "&lt;=2026-02-28", 'For Tally'!L:L, $B$5:$F$5))</f>
        <v>158</v>
      </c>
      <c r="M18" s="135">
        <f>SUMPRODUCT(SUMIFS('For Tally'!C:C, 'For Tally'!H:H, $A18, 'For Tally'!A:A, "&gt;=2026-03-01", 'For Tally'!A:A, "&lt;=2026-03-31", 'For Tally'!L:L, $B$5:$F$5))</f>
        <v>0</v>
      </c>
      <c r="N18" s="135">
        <f>SUMPRODUCT(SUMIFS('For Tally'!C:C, 'For Tally'!H:H, $A18, 'For Tally'!A:A, "&gt;=2026-04-01", 'For Tally'!A:A, "&lt;=2026-04-30", 'For Tally'!L:L, $B$5:$F$5))</f>
        <v>0</v>
      </c>
      <c r="O18" s="135">
        <f t="shared" si="0"/>
        <v>10163.299999999999</v>
      </c>
    </row>
    <row r="19" spans="1:15" x14ac:dyDescent="0.3">
      <c r="A19" s="135" t="s">
        <v>49</v>
      </c>
      <c r="B19" s="135">
        <f>SUMPRODUCT(SUMIFS('For Tally'!C:C, 'For Tally'!H:H, $A19, 'For Tally'!A:A, "&gt;=2025-04-01", 'For Tally'!A:A, "&lt;=2025-04-30", 'For Tally'!L:L, $B$5:$F$5))</f>
        <v>73370.42</v>
      </c>
      <c r="C19" s="135">
        <f>SUMPRODUCT(SUMIFS('For Tally'!C:C, 'For Tally'!H:H, $A19, 'For Tally'!A:A, "&gt;=2025-05-01", 'For Tally'!A:A, "&lt;=2025-05-31", 'For Tally'!L:L, $B$5:$F$5))</f>
        <v>107668.73</v>
      </c>
      <c r="D19" s="135">
        <f>SUMPRODUCT(SUMIFS('For Tally'!C:C, 'For Tally'!H:H, $A19, 'For Tally'!A:A, "&gt;=2025-06-01", 'For Tally'!A:A, "&lt;=2025-06-30", 'For Tally'!L:L, $B$5:$F$5))</f>
        <v>45869.900000000009</v>
      </c>
      <c r="E19" s="135">
        <f>SUMPRODUCT(SUMIFS('For Tally'!C:C, 'For Tally'!H:H, $A19, 'For Tally'!A:A, "&gt;=2025-07-01", 'For Tally'!A:A, "&lt;=2025-07-31", 'For Tally'!L:L, $B$5:$F$5))</f>
        <v>94864.859999999957</v>
      </c>
      <c r="F19" s="135">
        <f>SUMPRODUCT(SUMIFS('For Tally'!C:C, 'For Tally'!H:H, $A19, 'For Tally'!A:A, "&gt;=2025-08-01", 'For Tally'!A:A, "&lt;=2025-08-31", 'For Tally'!L:L, $B$5:$F$5))</f>
        <v>58188.209999999992</v>
      </c>
      <c r="G19" s="135">
        <f>SUMPRODUCT(SUMIFS('For Tally'!C:C, 'For Tally'!H:H, $A19, 'For Tally'!A:A, "&gt;=2025-09-01", 'For Tally'!A:A, "&lt;=2025-09-30", 'For Tally'!L:L, $B$5:$F$5))</f>
        <v>146931.75</v>
      </c>
      <c r="H19" s="135">
        <f>SUMPRODUCT(SUMIFS('For Tally'!C:C, 'For Tally'!H:H, $A19, 'For Tally'!A:A, "&gt;=2025-10-01", 'For Tally'!A:A, "&lt;=2025-10-31", 'For Tally'!L:L, $B$5:$F$5))</f>
        <v>46065.229999999989</v>
      </c>
      <c r="I19" s="135">
        <f>SUMPRODUCT(SUMIFS('For Tally'!C:C, 'For Tally'!H:H, $A19, 'For Tally'!A:A, "&gt;=2025-11-01", 'For Tally'!A:A, "&lt;=2025-11-30", 'For Tally'!L:L, $B$5:$F$5))</f>
        <v>18726.759999999998</v>
      </c>
      <c r="J19" s="135">
        <f>SUMPRODUCT(SUMIFS('For Tally'!C:C, 'For Tally'!H:H, $A19, 'For Tally'!A:A, "&gt;=2025-12-01", 'For Tally'!A:A, "&lt;=2025-12-31", 'For Tally'!L:L, $B$5:$F$5))</f>
        <v>46303.46</v>
      </c>
      <c r="K19" s="135">
        <f>SUMPRODUCT(SUMIFS('For Tally'!C:C, 'For Tally'!H:H, $A19, 'For Tally'!A:A, "&gt;=2026-01-01", 'For Tally'!A:A, "&lt;=2026-01-31", 'For Tally'!L:L, $B$5:$F$5))</f>
        <v>24061.710000000006</v>
      </c>
      <c r="L19" s="135">
        <f>SUMPRODUCT(SUMIFS('For Tally'!C:C, 'For Tally'!H:H, $A19, 'For Tally'!A:A, "&gt;=2026-02-01", 'For Tally'!A:A, "&lt;=2026-02-28", 'For Tally'!L:L, $B$5:$F$5))</f>
        <v>29593.200000000001</v>
      </c>
      <c r="M19" s="135">
        <f>SUMPRODUCT(SUMIFS('For Tally'!C:C, 'For Tally'!H:H, $A19, 'For Tally'!A:A, "&gt;=2026-03-01", 'For Tally'!A:A, "&lt;=2026-03-31", 'For Tally'!L:L, $B$5:$F$5))</f>
        <v>35966.259999999987</v>
      </c>
      <c r="N19" s="135">
        <f>SUMPRODUCT(SUMIFS('For Tally'!C:C, 'For Tally'!H:H, $A19, 'For Tally'!A:A, "&gt;=2026-04-01", 'For Tally'!A:A, "&lt;=2026-04-30", 'For Tally'!L:L, $B$5:$F$5))</f>
        <v>0</v>
      </c>
      <c r="O19" s="135">
        <f t="shared" si="0"/>
        <v>727610.48999999976</v>
      </c>
    </row>
    <row r="20" spans="1:15" x14ac:dyDescent="0.3">
      <c r="A20" s="96" t="s">
        <v>991</v>
      </c>
      <c r="B20" s="96">
        <f>SUMPRODUCT(SUMIFS('For Tally'!C:C, 'For Tally'!H:H, $A20, 'For Tally'!A:A, "&gt;=2025-04-01", 'For Tally'!A:A, "&lt;=2025-04-30", 'For Tally'!L:L, $B$5:$F$5))</f>
        <v>0</v>
      </c>
      <c r="C20" s="96">
        <f>SUMPRODUCT(SUMIFS('For Tally'!C:C, 'For Tally'!H:H, $A20, 'For Tally'!A:A, "&gt;=2025-05-01", 'For Tally'!A:A, "&lt;=2025-05-31", 'For Tally'!L:L, $B$5:$F$5))</f>
        <v>0</v>
      </c>
      <c r="D20" s="96">
        <f>SUMPRODUCT(SUMIFS('For Tally'!C:C, 'For Tally'!H:H, $A20, 'For Tally'!A:A, "&gt;=2025-06-01", 'For Tally'!A:A, "&lt;=2025-06-30", 'For Tally'!L:L, $B$5:$F$5))</f>
        <v>0</v>
      </c>
      <c r="E20" s="96">
        <f>SUMPRODUCT(SUMIFS('For Tally'!C:C, 'For Tally'!H:H, $A20, 'For Tally'!A:A, "&gt;=2025-07-01", 'For Tally'!A:A, "&lt;=2025-07-31", 'For Tally'!L:L, $B$5:$F$5))</f>
        <v>0</v>
      </c>
      <c r="F20" s="96">
        <f>SUMPRODUCT(SUMIFS('For Tally'!C:C, 'For Tally'!H:H, $A20, 'For Tally'!A:A, "&gt;=2025-08-01", 'For Tally'!A:A, "&lt;=2025-08-31", 'For Tally'!L:L, $B$5:$F$5))</f>
        <v>0</v>
      </c>
      <c r="G20" s="96">
        <f>SUMPRODUCT(SUMIFS('For Tally'!C:C, 'For Tally'!H:H, $A20, 'For Tally'!A:A, "&gt;=2025-09-01", 'For Tally'!A:A, "&lt;=2025-09-30", 'For Tally'!L:L, $B$5:$F$5))</f>
        <v>0</v>
      </c>
      <c r="H20" s="96">
        <f>SUMPRODUCT(SUMIFS('For Tally'!C:C, 'For Tally'!H:H, $A20, 'For Tally'!A:A, "&gt;=2025-10-01", 'For Tally'!A:A, "&lt;=2025-10-31", 'For Tally'!L:L, $B$5:$F$5))</f>
        <v>14739</v>
      </c>
      <c r="I20" s="96">
        <f>SUMPRODUCT(SUMIFS('For Tally'!C:C, 'For Tally'!H:H, $A20, 'For Tally'!A:A, "&gt;=2025-11-01", 'For Tally'!A:A, "&lt;=2025-11-30", 'For Tally'!L:L, $B$5:$F$5))</f>
        <v>0</v>
      </c>
      <c r="J20" s="96">
        <f>SUMPRODUCT(SUMIFS('For Tally'!C:C, 'For Tally'!H:H, $A20, 'For Tally'!A:A, "&gt;=2025-12-01", 'For Tally'!A:A, "&lt;=2025-12-31", 'For Tally'!L:L, $B$5:$F$5))</f>
        <v>0</v>
      </c>
      <c r="K20" s="96">
        <f>SUMPRODUCT(SUMIFS('For Tally'!C:C, 'For Tally'!H:H, $A20, 'For Tally'!A:A, "&gt;=2026-01-01", 'For Tally'!A:A, "&lt;=2026-01-31", 'For Tally'!L:L, $B$5:$F$5))</f>
        <v>0</v>
      </c>
      <c r="L20" s="96">
        <f>SUMPRODUCT(SUMIFS('For Tally'!C:C, 'For Tally'!H:H, $A20, 'For Tally'!A:A, "&gt;=2026-02-01", 'For Tally'!A:A, "&lt;=2026-02-28", 'For Tally'!L:L, $B$5:$F$5))</f>
        <v>0</v>
      </c>
      <c r="M20" s="96">
        <f>SUMPRODUCT(SUMIFS('For Tally'!C:C, 'For Tally'!H:H, $A20, 'For Tally'!A:A, "&gt;=2026-03-01", 'For Tally'!A:A, "&lt;=2026-03-31", 'For Tally'!L:L, $B$5:$F$5))</f>
        <v>0</v>
      </c>
      <c r="N20" s="96">
        <f>SUMPRODUCT(SUMIFS('For Tally'!C:C, 'For Tally'!H:H, $A20, 'For Tally'!A:A, "&gt;=2026-04-01", 'For Tally'!A:A, "&lt;=2026-04-30", 'For Tally'!L:L, $B$5:$F$5))</f>
        <v>0</v>
      </c>
      <c r="O20" s="96">
        <f t="shared" si="0"/>
        <v>14739</v>
      </c>
    </row>
    <row r="21" spans="1:15" x14ac:dyDescent="0.3">
      <c r="A21" s="135" t="s">
        <v>137</v>
      </c>
      <c r="B21" s="135">
        <f>SUMPRODUCT(SUMIFS('For Tally'!C:C, 'For Tally'!H:H, $A21, 'For Tally'!A:A, "&gt;=2025-04-01", 'For Tally'!A:A, "&lt;=2025-04-30", 'For Tally'!L:L, $B$5:$F$5))</f>
        <v>0</v>
      </c>
      <c r="C21" s="135">
        <f>SUMPRODUCT(SUMIFS('For Tally'!C:C, 'For Tally'!H:H, $A21, 'For Tally'!A:A, "&gt;=2025-05-01", 'For Tally'!A:A, "&lt;=2025-05-31", 'For Tally'!L:L, $B$5:$F$5))</f>
        <v>1099</v>
      </c>
      <c r="D21" s="135">
        <f>SUMPRODUCT(SUMIFS('For Tally'!C:C, 'For Tally'!H:H, $A21, 'For Tally'!A:A, "&gt;=2025-06-01", 'For Tally'!A:A, "&lt;=2025-06-30", 'For Tally'!L:L, $B$5:$F$5))</f>
        <v>0</v>
      </c>
      <c r="E21" s="135">
        <f>SUMPRODUCT(SUMIFS('For Tally'!C:C, 'For Tally'!H:H, $A21, 'For Tally'!A:A, "&gt;=2025-07-01", 'For Tally'!A:A, "&lt;=2025-07-31", 'For Tally'!L:L, $B$5:$F$5))</f>
        <v>0</v>
      </c>
      <c r="F21" s="135">
        <f>SUMPRODUCT(SUMIFS('For Tally'!C:C, 'For Tally'!H:H, $A21, 'For Tally'!A:A, "&gt;=2025-08-01", 'For Tally'!A:A, "&lt;=2025-08-31", 'For Tally'!L:L, $B$5:$F$5))</f>
        <v>800</v>
      </c>
      <c r="G21" s="135">
        <f>SUMPRODUCT(SUMIFS('For Tally'!C:C, 'For Tally'!H:H, $A21, 'For Tally'!A:A, "&gt;=2025-09-01", 'For Tally'!A:A, "&lt;=2025-09-30", 'For Tally'!L:L, $B$5:$F$5))</f>
        <v>0</v>
      </c>
      <c r="H21" s="135">
        <f>SUMPRODUCT(SUMIFS('For Tally'!C:C, 'For Tally'!H:H, $A21, 'For Tally'!A:A, "&gt;=2025-10-01", 'For Tally'!A:A, "&lt;=2025-10-31", 'For Tally'!L:L, $B$5:$F$5))</f>
        <v>0</v>
      </c>
      <c r="I21" s="135">
        <f>SUMPRODUCT(SUMIFS('For Tally'!C:C, 'For Tally'!H:H, $A21, 'For Tally'!A:A, "&gt;=2025-11-01", 'For Tally'!A:A, "&lt;=2025-11-30", 'For Tally'!L:L, $B$5:$F$5))</f>
        <v>0</v>
      </c>
      <c r="J21" s="135">
        <f>SUMPRODUCT(SUMIFS('For Tally'!C:C, 'For Tally'!H:H, $A21, 'For Tally'!A:A, "&gt;=2025-12-01", 'For Tally'!A:A, "&lt;=2025-12-31", 'For Tally'!L:L, $B$5:$F$5))</f>
        <v>0</v>
      </c>
      <c r="K21" s="135">
        <f>SUMPRODUCT(SUMIFS('For Tally'!C:C, 'For Tally'!H:H, $A21, 'For Tally'!A:A, "&gt;=2026-01-01", 'For Tally'!A:A, "&lt;=2026-01-31", 'For Tally'!L:L, $B$5:$F$5))</f>
        <v>0</v>
      </c>
      <c r="L21" s="135">
        <f>SUMPRODUCT(SUMIFS('For Tally'!C:C, 'For Tally'!H:H, $A21, 'For Tally'!A:A, "&gt;=2026-02-01", 'For Tally'!A:A, "&lt;=2026-02-28", 'For Tally'!L:L, $B$5:$F$5))</f>
        <v>0</v>
      </c>
      <c r="M21" s="135">
        <f>SUMPRODUCT(SUMIFS('For Tally'!C:C, 'For Tally'!H:H, $A21, 'For Tally'!A:A, "&gt;=2026-03-01", 'For Tally'!A:A, "&lt;=2026-03-31", 'For Tally'!L:L, $B$5:$F$5))</f>
        <v>0</v>
      </c>
      <c r="N21" s="135">
        <f>SUMPRODUCT(SUMIFS('For Tally'!C:C, 'For Tally'!H:H, $A21, 'For Tally'!A:A, "&gt;=2026-04-01", 'For Tally'!A:A, "&lt;=2026-04-30", 'For Tally'!L:L, $B$5:$F$5))</f>
        <v>0</v>
      </c>
      <c r="O21" s="135">
        <f t="shared" si="0"/>
        <v>1899</v>
      </c>
    </row>
    <row r="22" spans="1:15" x14ac:dyDescent="0.3">
      <c r="A22" s="135" t="s">
        <v>343</v>
      </c>
      <c r="B22" s="135">
        <f>SUMPRODUCT(SUMIFS('For Tally'!C:C, 'For Tally'!H:H, $A22, 'For Tally'!A:A, "&gt;=2025-04-01", 'For Tally'!A:A, "&lt;=2025-04-30", 'For Tally'!L:L, $B$5:$F$5))</f>
        <v>0</v>
      </c>
      <c r="C22" s="135">
        <f>SUMPRODUCT(SUMIFS('For Tally'!C:C, 'For Tally'!H:H, $A22, 'For Tally'!A:A, "&gt;=2025-05-01", 'For Tally'!A:A, "&lt;=2025-05-31", 'For Tally'!L:L, $B$5:$F$5))</f>
        <v>0</v>
      </c>
      <c r="D22" s="135">
        <f>SUMPRODUCT(SUMIFS('For Tally'!C:C, 'For Tally'!H:H, $A22, 'For Tally'!A:A, "&gt;=2025-06-01", 'For Tally'!A:A, "&lt;=2025-06-30", 'For Tally'!L:L, $B$5:$F$5))</f>
        <v>0</v>
      </c>
      <c r="E22" s="135">
        <f>SUMPRODUCT(SUMIFS('For Tally'!C:C, 'For Tally'!H:H, $A22, 'For Tally'!A:A, "&gt;=2025-07-01", 'For Tally'!A:A, "&lt;=2025-07-31", 'For Tally'!L:L, $B$5:$F$5))</f>
        <v>50000</v>
      </c>
      <c r="F22" s="135">
        <f>SUMPRODUCT(SUMIFS('For Tally'!C:C, 'For Tally'!H:H, $A22, 'For Tally'!A:A, "&gt;=2025-08-01", 'For Tally'!A:A, "&lt;=2025-08-31", 'For Tally'!L:L, $B$5:$F$5))</f>
        <v>0</v>
      </c>
      <c r="G22" s="135">
        <f>SUMPRODUCT(SUMIFS('For Tally'!C:C, 'For Tally'!H:H, $A22, 'For Tally'!A:A, "&gt;=2025-09-01", 'For Tally'!A:A, "&lt;=2025-09-30", 'For Tally'!L:L, $B$5:$F$5))</f>
        <v>0</v>
      </c>
      <c r="H22" s="135">
        <f>SUMPRODUCT(SUMIFS('For Tally'!C:C, 'For Tally'!H:H, $A22, 'For Tally'!A:A, "&gt;=2025-10-01", 'For Tally'!A:A, "&lt;=2025-10-31", 'For Tally'!L:L, $B$5:$F$5))</f>
        <v>250488</v>
      </c>
      <c r="I22" s="135">
        <f>SUMPRODUCT(SUMIFS('For Tally'!C:C, 'For Tally'!H:H, $A22, 'For Tally'!A:A, "&gt;=2025-11-01", 'For Tally'!A:A, "&lt;=2025-11-30", 'For Tally'!L:L, $B$5:$F$5))</f>
        <v>0</v>
      </c>
      <c r="J22" s="135">
        <f>SUMPRODUCT(SUMIFS('For Tally'!C:C, 'For Tally'!H:H, $A22, 'For Tally'!A:A, "&gt;=2025-12-01", 'For Tally'!A:A, "&lt;=2025-12-31", 'For Tally'!L:L, $B$5:$F$5))</f>
        <v>0</v>
      </c>
      <c r="K22" s="135">
        <f>SUMPRODUCT(SUMIFS('For Tally'!C:C, 'For Tally'!H:H, $A22, 'For Tally'!A:A, "&gt;=2026-01-01", 'For Tally'!A:A, "&lt;=2026-01-31", 'For Tally'!L:L, $B$5:$F$5))</f>
        <v>0</v>
      </c>
      <c r="L22" s="135">
        <f>SUMPRODUCT(SUMIFS('For Tally'!C:C, 'For Tally'!H:H, $A22, 'For Tally'!A:A, "&gt;=2026-02-01", 'For Tally'!A:A, "&lt;=2026-02-28", 'For Tally'!L:L, $B$5:$F$5))</f>
        <v>0</v>
      </c>
      <c r="M22" s="135">
        <f>SUMPRODUCT(SUMIFS('For Tally'!C:C, 'For Tally'!H:H, $A22, 'For Tally'!A:A, "&gt;=2026-03-01", 'For Tally'!A:A, "&lt;=2026-03-31", 'For Tally'!L:L, $B$5:$F$5))</f>
        <v>100000</v>
      </c>
      <c r="N22" s="135">
        <f>SUMPRODUCT(SUMIFS('For Tally'!C:C, 'For Tally'!H:H, $A22, 'For Tally'!A:A, "&gt;=2026-04-01", 'For Tally'!A:A, "&lt;=2026-04-30", 'For Tally'!L:L, $B$5:$F$5))</f>
        <v>0</v>
      </c>
      <c r="O22" s="135">
        <f t="shared" si="0"/>
        <v>400488</v>
      </c>
    </row>
    <row r="23" spans="1:15" x14ac:dyDescent="0.3">
      <c r="A23" s="135" t="s">
        <v>1701</v>
      </c>
      <c r="B23" s="135">
        <f>SUMPRODUCT(SUMIFS('For Tally'!C:C, 'For Tally'!H:H, $A23, 'For Tally'!A:A, "&gt;=2025-04-01", 'For Tally'!A:A, "&lt;=2025-04-30", 'For Tally'!L:L, $B$5:$F$5))</f>
        <v>25000</v>
      </c>
      <c r="C23" s="135">
        <f>SUMPRODUCT(SUMIFS('For Tally'!C:C, 'For Tally'!H:H, $A23, 'For Tally'!A:A, "&gt;=2025-05-01", 'For Tally'!A:A, "&lt;=2025-05-31", 'For Tally'!L:L, $B$5:$F$5))</f>
        <v>0</v>
      </c>
      <c r="D23" s="135">
        <f>SUMPRODUCT(SUMIFS('For Tally'!C:C, 'For Tally'!H:H, $A23, 'For Tally'!A:A, "&gt;=2025-06-01", 'For Tally'!A:A, "&lt;=2025-06-30", 'For Tally'!L:L, $B$5:$F$5))</f>
        <v>20000</v>
      </c>
      <c r="E23" s="135">
        <f>SUMPRODUCT(SUMIFS('For Tally'!C:C, 'For Tally'!H:H, $A23, 'For Tally'!A:A, "&gt;=2025-07-01", 'For Tally'!A:A, "&lt;=2025-07-31", 'For Tally'!L:L, $B$5:$F$5))</f>
        <v>0</v>
      </c>
      <c r="F23" s="135">
        <f>SUMPRODUCT(SUMIFS('For Tally'!C:C, 'For Tally'!H:H, $A23, 'For Tally'!A:A, "&gt;=2025-08-01", 'For Tally'!A:A, "&lt;=2025-08-31", 'For Tally'!L:L, $B$5:$F$5))</f>
        <v>0</v>
      </c>
      <c r="G23" s="135">
        <f>SUMPRODUCT(SUMIFS('For Tally'!C:C, 'For Tally'!H:H, $A23, 'For Tally'!A:A, "&gt;=2025-09-01", 'For Tally'!A:A, "&lt;=2025-09-30", 'For Tally'!L:L, $B$5:$F$5))</f>
        <v>38000</v>
      </c>
      <c r="H23" s="135">
        <f>SUMPRODUCT(SUMIFS('For Tally'!C:C, 'For Tally'!H:H, $A23, 'For Tally'!A:A, "&gt;=2025-10-01", 'For Tally'!A:A, "&lt;=2025-10-31", 'For Tally'!L:L, $B$5:$F$5))</f>
        <v>0</v>
      </c>
      <c r="I23" s="135">
        <f>SUMPRODUCT(SUMIFS('For Tally'!C:C, 'For Tally'!H:H, $A23, 'For Tally'!A:A, "&gt;=2025-11-01", 'For Tally'!A:A, "&lt;=2025-11-30", 'For Tally'!L:L, $B$5:$F$5))</f>
        <v>15000</v>
      </c>
      <c r="J23" s="135">
        <f>SUMPRODUCT(SUMIFS('For Tally'!C:C, 'For Tally'!H:H, $A23, 'For Tally'!A:A, "&gt;=2025-12-01", 'For Tally'!A:A, "&lt;=2025-12-31", 'For Tally'!L:L, $B$5:$F$5))</f>
        <v>0</v>
      </c>
      <c r="K23" s="135">
        <f>SUMPRODUCT(SUMIFS('For Tally'!C:C, 'For Tally'!H:H, $A23, 'For Tally'!A:A, "&gt;=2026-01-01", 'For Tally'!A:A, "&lt;=2026-01-31", 'For Tally'!L:L, $B$5:$F$5))</f>
        <v>0</v>
      </c>
      <c r="L23" s="135">
        <f>SUMPRODUCT(SUMIFS('For Tally'!C:C, 'For Tally'!H:H, $A23, 'For Tally'!A:A, "&gt;=2026-02-01", 'For Tally'!A:A, "&lt;=2026-02-28", 'For Tally'!L:L, $B$5:$F$5))</f>
        <v>0</v>
      </c>
      <c r="M23" s="135">
        <f>SUMPRODUCT(SUMIFS('For Tally'!C:C, 'For Tally'!H:H, $A23, 'For Tally'!A:A, "&gt;=2026-03-01", 'For Tally'!A:A, "&lt;=2026-03-31", 'For Tally'!L:L, $B$5:$F$5))</f>
        <v>500</v>
      </c>
      <c r="N23" s="135">
        <f>SUMPRODUCT(SUMIFS('For Tally'!C:C, 'For Tally'!H:H, $A23, 'For Tally'!A:A, "&gt;=2026-04-01", 'For Tally'!A:A, "&lt;=2026-04-30", 'For Tally'!L:L, $B$5:$F$5))</f>
        <v>0</v>
      </c>
      <c r="O23" s="135">
        <f t="shared" si="0"/>
        <v>98500</v>
      </c>
    </row>
    <row r="24" spans="1:15" x14ac:dyDescent="0.3">
      <c r="A24" s="135" t="s">
        <v>1019</v>
      </c>
      <c r="B24" s="135">
        <f>SUMPRODUCT(SUMIFS('For Tally'!C:C, 'For Tally'!H:H, $A24, 'For Tally'!A:A, "&gt;=2025-04-01", 'For Tally'!A:A, "&lt;=2025-04-30", 'For Tally'!L:L, $B$5:$F$5))</f>
        <v>0</v>
      </c>
      <c r="C24" s="135">
        <f>SUMPRODUCT(SUMIFS('For Tally'!C:C, 'For Tally'!H:H, $A24, 'For Tally'!A:A, "&gt;=2025-05-01", 'For Tally'!A:A, "&lt;=2025-05-31", 'For Tally'!L:L, $B$5:$F$5))</f>
        <v>72001</v>
      </c>
      <c r="D24" s="135">
        <f>SUMPRODUCT(SUMIFS('For Tally'!C:C, 'For Tally'!H:H, $A24, 'For Tally'!A:A, "&gt;=2025-06-01", 'For Tally'!A:A, "&lt;=2025-06-30", 'For Tally'!L:L, $B$5:$F$5))</f>
        <v>60000</v>
      </c>
      <c r="E24" s="135">
        <f>SUMPRODUCT(SUMIFS('For Tally'!C:C, 'For Tally'!H:H, $A24, 'For Tally'!A:A, "&gt;=2025-07-01", 'For Tally'!A:A, "&lt;=2025-07-31", 'For Tally'!L:L, $B$5:$F$5))</f>
        <v>22000</v>
      </c>
      <c r="F24" s="135">
        <f>SUMPRODUCT(SUMIFS('For Tally'!C:C, 'For Tally'!H:H, $A24, 'For Tally'!A:A, "&gt;=2025-08-01", 'For Tally'!A:A, "&lt;=2025-08-31", 'For Tally'!L:L, $B$5:$F$5))</f>
        <v>54241</v>
      </c>
      <c r="G24" s="135">
        <f>SUMPRODUCT(SUMIFS('For Tally'!C:C, 'For Tally'!H:H, $A24, 'For Tally'!A:A, "&gt;=2025-09-01", 'For Tally'!A:A, "&lt;=2025-09-30", 'For Tally'!L:L, $B$5:$F$5))</f>
        <v>30000</v>
      </c>
      <c r="H24" s="135">
        <f>SUMPRODUCT(SUMIFS('For Tally'!C:C, 'For Tally'!H:H, $A24, 'For Tally'!A:A, "&gt;=2025-10-01", 'For Tally'!A:A, "&lt;=2025-10-31", 'For Tally'!L:L, $B$5:$F$5))</f>
        <v>7000</v>
      </c>
      <c r="I24" s="135">
        <f>SUMPRODUCT(SUMIFS('For Tally'!C:C, 'For Tally'!H:H, $A24, 'For Tally'!A:A, "&gt;=2025-11-01", 'For Tally'!A:A, "&lt;=2025-11-30", 'For Tally'!L:L, $B$5:$F$5))</f>
        <v>20000</v>
      </c>
      <c r="J24" s="135">
        <f>SUMPRODUCT(SUMIFS('For Tally'!C:C, 'For Tally'!H:H, $A24, 'For Tally'!A:A, "&gt;=2025-12-01", 'For Tally'!A:A, "&lt;=2025-12-31", 'For Tally'!L:L, $B$5:$F$5))</f>
        <v>17000</v>
      </c>
      <c r="K24" s="135">
        <f>SUMPRODUCT(SUMIFS('For Tally'!C:C, 'For Tally'!H:H, $A24, 'For Tally'!A:A, "&gt;=2026-01-01", 'For Tally'!A:A, "&lt;=2026-01-31", 'For Tally'!L:L, $B$5:$F$5))</f>
        <v>56194</v>
      </c>
      <c r="L24" s="135">
        <f>SUMPRODUCT(SUMIFS('For Tally'!C:C, 'For Tally'!H:H, $A24, 'For Tally'!A:A, "&gt;=2026-02-01", 'For Tally'!A:A, "&lt;=2026-02-28", 'For Tally'!L:L, $B$5:$F$5))</f>
        <v>10169.370000000001</v>
      </c>
      <c r="M24" s="135">
        <f>SUMPRODUCT(SUMIFS('For Tally'!C:C, 'For Tally'!H:H, $A24, 'For Tally'!A:A, "&gt;=2026-03-01", 'For Tally'!A:A, "&lt;=2026-03-31", 'For Tally'!L:L, $B$5:$F$5))</f>
        <v>20000</v>
      </c>
      <c r="N24" s="135">
        <f>SUMPRODUCT(SUMIFS('For Tally'!C:C, 'For Tally'!H:H, $A24, 'For Tally'!A:A, "&gt;=2026-04-01", 'For Tally'!A:A, "&lt;=2026-04-30", 'For Tally'!L:L, $B$5:$F$5))</f>
        <v>0</v>
      </c>
      <c r="O24" s="135">
        <f t="shared" si="0"/>
        <v>368605.37</v>
      </c>
    </row>
    <row r="25" spans="1:15" x14ac:dyDescent="0.3">
      <c r="A25" s="135" t="s">
        <v>1031</v>
      </c>
      <c r="B25" s="135">
        <f>SUMPRODUCT(SUMIFS('For Tally'!C:C, 'For Tally'!H:H, $A25, 'For Tally'!A:A, "&gt;=2025-04-01", 'For Tally'!A:A, "&lt;=2025-04-30", 'For Tally'!L:L, $B$5:$F$5))</f>
        <v>12010</v>
      </c>
      <c r="C25" s="135">
        <f>SUMPRODUCT(SUMIFS('For Tally'!C:C, 'For Tally'!H:H, $A25, 'For Tally'!A:A, "&gt;=2025-05-01", 'For Tally'!A:A, "&lt;=2025-05-31", 'For Tally'!L:L, $B$5:$F$5))</f>
        <v>22012</v>
      </c>
      <c r="D25" s="135">
        <f>SUMPRODUCT(SUMIFS('For Tally'!C:C, 'For Tally'!H:H, $A25, 'For Tally'!A:A, "&gt;=2025-06-01", 'For Tally'!A:A, "&lt;=2025-06-30", 'For Tally'!L:L, $B$5:$F$5))</f>
        <v>15000</v>
      </c>
      <c r="E25" s="135">
        <f>SUMPRODUCT(SUMIFS('For Tally'!C:C, 'For Tally'!H:H, $A25, 'For Tally'!A:A, "&gt;=2025-07-01", 'For Tally'!A:A, "&lt;=2025-07-31", 'For Tally'!L:L, $B$5:$F$5))</f>
        <v>100102</v>
      </c>
      <c r="F25" s="135">
        <f>SUMPRODUCT(SUMIFS('For Tally'!C:C, 'For Tally'!H:H, $A25, 'For Tally'!A:A, "&gt;=2025-08-01", 'For Tally'!A:A, "&lt;=2025-08-31", 'For Tally'!L:L, $B$5:$F$5))</f>
        <v>10000</v>
      </c>
      <c r="G25" s="135">
        <f>SUMPRODUCT(SUMIFS('For Tally'!C:C, 'For Tally'!H:H, $A25, 'For Tally'!A:A, "&gt;=2025-09-01", 'For Tally'!A:A, "&lt;=2025-09-30", 'For Tally'!L:L, $B$5:$F$5))</f>
        <v>0</v>
      </c>
      <c r="H25" s="135">
        <f>SUMPRODUCT(SUMIFS('For Tally'!C:C, 'For Tally'!H:H, $A25, 'For Tally'!A:A, "&gt;=2025-10-01", 'For Tally'!A:A, "&lt;=2025-10-31", 'For Tally'!L:L, $B$5:$F$5))</f>
        <v>20000</v>
      </c>
      <c r="I25" s="135">
        <f>SUMPRODUCT(SUMIFS('For Tally'!C:C, 'For Tally'!H:H, $A25, 'For Tally'!A:A, "&gt;=2025-11-01", 'For Tally'!A:A, "&lt;=2025-11-30", 'For Tally'!L:L, $B$5:$F$5))</f>
        <v>0</v>
      </c>
      <c r="J25" s="135">
        <f>SUMPRODUCT(SUMIFS('For Tally'!C:C, 'For Tally'!H:H, $A25, 'For Tally'!A:A, "&gt;=2025-12-01", 'For Tally'!A:A, "&lt;=2025-12-31", 'For Tally'!L:L, $B$5:$F$5))</f>
        <v>5400</v>
      </c>
      <c r="K25" s="135">
        <f>SUMPRODUCT(SUMIFS('For Tally'!C:C, 'For Tally'!H:H, $A25, 'For Tally'!A:A, "&gt;=2026-01-01", 'For Tally'!A:A, "&lt;=2026-01-31", 'For Tally'!L:L, $B$5:$F$5))</f>
        <v>1100</v>
      </c>
      <c r="L25" s="135">
        <f>SUMPRODUCT(SUMIFS('For Tally'!C:C, 'For Tally'!H:H, $A25, 'For Tally'!A:A, "&gt;=2026-02-01", 'For Tally'!A:A, "&lt;=2026-02-28", 'For Tally'!L:L, $B$5:$F$5))</f>
        <v>10000</v>
      </c>
      <c r="M25" s="135">
        <f>SUMPRODUCT(SUMIFS('For Tally'!C:C, 'For Tally'!H:H, $A25, 'For Tally'!A:A, "&gt;=2026-03-01", 'For Tally'!A:A, "&lt;=2026-03-31", 'For Tally'!L:L, $B$5:$F$5))</f>
        <v>2000</v>
      </c>
      <c r="N25" s="135">
        <f>SUMPRODUCT(SUMIFS('For Tally'!C:C, 'For Tally'!H:H, $A25, 'For Tally'!A:A, "&gt;=2026-04-01", 'For Tally'!A:A, "&lt;=2026-04-30", 'For Tally'!L:L, $B$5:$F$5))</f>
        <v>0</v>
      </c>
      <c r="O25" s="135">
        <f t="shared" si="0"/>
        <v>197624</v>
      </c>
    </row>
    <row r="26" spans="1:15" x14ac:dyDescent="0.3">
      <c r="A26" s="135" t="s">
        <v>1705</v>
      </c>
      <c r="B26" s="135">
        <f>SUMPRODUCT(SUMIFS('For Tally'!C:C, 'For Tally'!H:H, $A26, 'For Tally'!A:A, "&gt;=2025-04-01", 'For Tally'!A:A, "&lt;=2025-04-30", 'For Tally'!L:L, $B$5:$F$5))</f>
        <v>5100</v>
      </c>
      <c r="C26" s="135">
        <f>SUMPRODUCT(SUMIFS('For Tally'!C:C, 'For Tally'!H:H, $A26, 'For Tally'!A:A, "&gt;=2025-05-01", 'For Tally'!A:A, "&lt;=2025-05-31", 'For Tally'!L:L, $B$5:$F$5))</f>
        <v>0</v>
      </c>
      <c r="D26" s="135">
        <f>SUMPRODUCT(SUMIFS('For Tally'!C:C, 'For Tally'!H:H, $A26, 'For Tally'!A:A, "&gt;=2025-06-01", 'For Tally'!A:A, "&lt;=2025-06-30", 'For Tally'!L:L, $B$5:$F$5))</f>
        <v>0</v>
      </c>
      <c r="E26" s="135">
        <f>SUMPRODUCT(SUMIFS('For Tally'!C:C, 'For Tally'!H:H, $A26, 'For Tally'!A:A, "&gt;=2025-07-01", 'For Tally'!A:A, "&lt;=2025-07-31", 'For Tally'!L:L, $B$5:$F$5))</f>
        <v>0</v>
      </c>
      <c r="F26" s="135">
        <f>SUMPRODUCT(SUMIFS('For Tally'!C:C, 'For Tally'!H:H, $A26, 'For Tally'!A:A, "&gt;=2025-08-01", 'For Tally'!A:A, "&lt;=2025-08-31", 'For Tally'!L:L, $B$5:$F$5))</f>
        <v>0</v>
      </c>
      <c r="G26" s="135">
        <f>SUMPRODUCT(SUMIFS('For Tally'!C:C, 'For Tally'!H:H, $A26, 'For Tally'!A:A, "&gt;=2025-09-01", 'For Tally'!A:A, "&lt;=2025-09-30", 'For Tally'!L:L, $B$5:$F$5))</f>
        <v>0</v>
      </c>
      <c r="H26" s="135">
        <f>SUMPRODUCT(SUMIFS('For Tally'!C:C, 'For Tally'!H:H, $A26, 'For Tally'!A:A, "&gt;=2025-10-01", 'For Tally'!A:A, "&lt;=2025-10-31", 'For Tally'!L:L, $B$5:$F$5))</f>
        <v>0</v>
      </c>
      <c r="I26" s="135">
        <f>SUMPRODUCT(SUMIFS('For Tally'!C:C, 'For Tally'!H:H, $A26, 'For Tally'!A:A, "&gt;=2025-11-01", 'For Tally'!A:A, "&lt;=2025-11-30", 'For Tally'!L:L, $B$5:$F$5))</f>
        <v>0</v>
      </c>
      <c r="J26" s="135">
        <f>SUMPRODUCT(SUMIFS('For Tally'!C:C, 'For Tally'!H:H, $A26, 'For Tally'!A:A, "&gt;=2025-12-01", 'For Tally'!A:A, "&lt;=2025-12-31", 'For Tally'!L:L, $B$5:$F$5))</f>
        <v>0</v>
      </c>
      <c r="K26" s="135">
        <f>SUMPRODUCT(SUMIFS('For Tally'!C:C, 'For Tally'!H:H, $A26, 'For Tally'!A:A, "&gt;=2026-01-01", 'For Tally'!A:A, "&lt;=2026-01-31", 'For Tally'!L:L, $B$5:$F$5))</f>
        <v>0</v>
      </c>
      <c r="L26" s="135">
        <f>SUMPRODUCT(SUMIFS('For Tally'!C:C, 'For Tally'!H:H, $A26, 'For Tally'!A:A, "&gt;=2026-02-01", 'For Tally'!A:A, "&lt;=2026-02-28", 'For Tally'!L:L, $B$5:$F$5))</f>
        <v>0</v>
      </c>
      <c r="M26" s="135">
        <f>SUMPRODUCT(SUMIFS('For Tally'!C:C, 'For Tally'!H:H, $A26, 'For Tally'!A:A, "&gt;=2026-03-01", 'For Tally'!A:A, "&lt;=2026-03-31", 'For Tally'!L:L, $B$5:$F$5))</f>
        <v>0</v>
      </c>
      <c r="N26" s="135">
        <f>SUMPRODUCT(SUMIFS('For Tally'!C:C, 'For Tally'!H:H, $A26, 'For Tally'!A:A, "&gt;=2026-04-01", 'For Tally'!A:A, "&lt;=2026-04-30", 'For Tally'!L:L, $B$5:$F$5))</f>
        <v>0</v>
      </c>
      <c r="O26" s="135">
        <f t="shared" si="0"/>
        <v>5100</v>
      </c>
    </row>
    <row r="27" spans="1:15" x14ac:dyDescent="0.3">
      <c r="A27" s="135" t="s">
        <v>91</v>
      </c>
      <c r="B27" s="135">
        <f>SUMPRODUCT(SUMIFS('For Tally'!C:C, 'For Tally'!H:H, $A27, 'For Tally'!A:A, "&gt;=2025-04-01", 'For Tally'!A:A, "&lt;=2025-04-30", 'For Tally'!L:L, $B$5:$F$5))</f>
        <v>1983</v>
      </c>
      <c r="C27" s="135">
        <f>SUMPRODUCT(SUMIFS('For Tally'!C:C, 'For Tally'!H:H, $A27, 'For Tally'!A:A, "&gt;=2025-05-01", 'For Tally'!A:A, "&lt;=2025-05-31", 'For Tally'!L:L, $B$5:$F$5))</f>
        <v>5274</v>
      </c>
      <c r="D27" s="135">
        <f>SUMPRODUCT(SUMIFS('For Tally'!C:C, 'For Tally'!H:H, $A27, 'For Tally'!A:A, "&gt;=2025-06-01", 'For Tally'!A:A, "&lt;=2025-06-30", 'For Tally'!L:L, $B$5:$F$5))</f>
        <v>4963.07</v>
      </c>
      <c r="E27" s="135">
        <f>SUMPRODUCT(SUMIFS('For Tally'!C:C, 'For Tally'!H:H, $A27, 'For Tally'!A:A, "&gt;=2025-07-01", 'For Tally'!A:A, "&lt;=2025-07-31", 'For Tally'!L:L, $B$5:$F$5))</f>
        <v>6480.75</v>
      </c>
      <c r="F27" s="135">
        <f>SUMPRODUCT(SUMIFS('For Tally'!C:C, 'For Tally'!H:H, $A27, 'For Tally'!A:A, "&gt;=2025-08-01", 'For Tally'!A:A, "&lt;=2025-08-31", 'For Tally'!L:L, $B$5:$F$5))</f>
        <v>5108</v>
      </c>
      <c r="G27" s="135">
        <f>SUMPRODUCT(SUMIFS('For Tally'!C:C, 'For Tally'!H:H, $A27, 'For Tally'!A:A, "&gt;=2025-09-01", 'For Tally'!A:A, "&lt;=2025-09-30", 'For Tally'!L:L, $B$5:$F$5))</f>
        <v>7303.5599999999995</v>
      </c>
      <c r="H27" s="135">
        <f>SUMPRODUCT(SUMIFS('For Tally'!C:C, 'For Tally'!H:H, $A27, 'For Tally'!A:A, "&gt;=2025-10-01", 'For Tally'!A:A, "&lt;=2025-10-31", 'For Tally'!L:L, $B$5:$F$5))</f>
        <v>4645.42</v>
      </c>
      <c r="I27" s="135">
        <f>SUMPRODUCT(SUMIFS('For Tally'!C:C, 'For Tally'!H:H, $A27, 'For Tally'!A:A, "&gt;=2025-11-01", 'For Tally'!A:A, "&lt;=2025-11-30", 'For Tally'!L:L, $B$5:$F$5))</f>
        <v>3434</v>
      </c>
      <c r="J27" s="135">
        <f>SUMPRODUCT(SUMIFS('For Tally'!C:C, 'For Tally'!H:H, $A27, 'For Tally'!A:A, "&gt;=2025-12-01", 'For Tally'!A:A, "&lt;=2025-12-31", 'For Tally'!L:L, $B$5:$F$5))</f>
        <v>13753.06</v>
      </c>
      <c r="K27" s="135">
        <f>SUMPRODUCT(SUMIFS('For Tally'!C:C, 'For Tally'!H:H, $A27, 'For Tally'!A:A, "&gt;=2026-01-01", 'For Tally'!A:A, "&lt;=2026-01-31", 'For Tally'!L:L, $B$5:$F$5))</f>
        <v>14131.560000000001</v>
      </c>
      <c r="L27" s="135">
        <f>SUMPRODUCT(SUMIFS('For Tally'!C:C, 'For Tally'!H:H, $A27, 'For Tally'!A:A, "&gt;=2026-02-01", 'For Tally'!A:A, "&lt;=2026-02-28", 'For Tally'!L:L, $B$5:$F$5))</f>
        <v>7537</v>
      </c>
      <c r="M27" s="135">
        <f>SUMPRODUCT(SUMIFS('For Tally'!C:C, 'For Tally'!H:H, $A27, 'For Tally'!A:A, "&gt;=2026-03-01", 'For Tally'!A:A, "&lt;=2026-03-31", 'For Tally'!L:L, $B$5:$F$5))</f>
        <v>23916.5</v>
      </c>
      <c r="N27" s="135">
        <f>SUMPRODUCT(SUMIFS('For Tally'!C:C, 'For Tally'!H:H, $A27, 'For Tally'!A:A, "&gt;=2026-04-01", 'For Tally'!A:A, "&lt;=2026-04-30", 'For Tally'!L:L, $B$5:$F$5))</f>
        <v>0</v>
      </c>
      <c r="O27" s="135">
        <f t="shared" si="0"/>
        <v>98529.919999999998</v>
      </c>
    </row>
    <row r="28" spans="1:15" x14ac:dyDescent="0.3">
      <c r="A28" s="96" t="s">
        <v>990</v>
      </c>
      <c r="B28" s="96">
        <f>SUMPRODUCT(SUMIFS('For Tally'!C:C, 'For Tally'!H:H, $A28, 'For Tally'!A:A, "&gt;=2025-04-01", 'For Tally'!A:A, "&lt;=2025-04-30", 'For Tally'!L:L, $B$5:$F$5))</f>
        <v>23000</v>
      </c>
      <c r="C28" s="96">
        <f>SUMPRODUCT(SUMIFS('For Tally'!C:C, 'For Tally'!H:H, $A28, 'For Tally'!A:A, "&gt;=2025-05-01", 'For Tally'!A:A, "&lt;=2025-05-31", 'For Tally'!L:L, $B$5:$F$5))</f>
        <v>23000</v>
      </c>
      <c r="D28" s="96">
        <f>SUMPRODUCT(SUMIFS('For Tally'!C:C, 'For Tally'!H:H, $A28, 'For Tally'!A:A, "&gt;=2025-06-01", 'For Tally'!A:A, "&lt;=2025-06-30", 'For Tally'!L:L, $B$5:$F$5))</f>
        <v>23000</v>
      </c>
      <c r="E28" s="96">
        <f>SUMPRODUCT(SUMIFS('For Tally'!C:C, 'For Tally'!H:H, $A28, 'For Tally'!A:A, "&gt;=2025-07-01", 'For Tally'!A:A, "&lt;=2025-07-31", 'For Tally'!L:L, $B$5:$F$5))</f>
        <v>23000</v>
      </c>
      <c r="F28" s="96">
        <f>SUMPRODUCT(SUMIFS('For Tally'!C:C, 'For Tally'!H:H, $A28, 'For Tally'!A:A, "&gt;=2025-08-01", 'For Tally'!A:A, "&lt;=2025-08-31", 'For Tally'!L:L, $B$5:$F$5))</f>
        <v>23000</v>
      </c>
      <c r="G28" s="96">
        <f>SUMPRODUCT(SUMIFS('For Tally'!C:C, 'For Tally'!H:H, $A28, 'For Tally'!A:A, "&gt;=2025-09-01", 'For Tally'!A:A, "&lt;=2025-09-30", 'For Tally'!L:L, $B$5:$F$5))</f>
        <v>23000</v>
      </c>
      <c r="H28" s="96">
        <f>SUMPRODUCT(SUMIFS('For Tally'!C:C, 'For Tally'!H:H, $A28, 'For Tally'!A:A, "&gt;=2025-10-01", 'For Tally'!A:A, "&lt;=2025-10-31", 'For Tally'!L:L, $B$5:$F$5))</f>
        <v>23000</v>
      </c>
      <c r="I28" s="96">
        <f>SUMPRODUCT(SUMIFS('For Tally'!C:C, 'For Tally'!H:H, $A28, 'For Tally'!A:A, "&gt;=2025-11-01", 'For Tally'!A:A, "&lt;=2025-11-30", 'For Tally'!L:L, $B$5:$F$5))</f>
        <v>23000</v>
      </c>
      <c r="J28" s="96">
        <f>SUMPRODUCT(SUMIFS('For Tally'!C:C, 'For Tally'!H:H, $A28, 'For Tally'!A:A, "&gt;=2025-12-01", 'For Tally'!A:A, "&lt;=2025-12-31", 'For Tally'!L:L, $B$5:$F$5))</f>
        <v>23000</v>
      </c>
      <c r="K28" s="96">
        <f>SUMPRODUCT(SUMIFS('For Tally'!C:C, 'For Tally'!H:H, $A28, 'For Tally'!A:A, "&gt;=2026-01-01", 'For Tally'!A:A, "&lt;=2026-01-31", 'For Tally'!L:L, $B$5:$F$5))</f>
        <v>0</v>
      </c>
      <c r="L28" s="96">
        <f>SUMPRODUCT(SUMIFS('For Tally'!C:C, 'For Tally'!H:H, $A28, 'For Tally'!A:A, "&gt;=2026-02-01", 'For Tally'!A:A, "&lt;=2026-02-28", 'For Tally'!L:L, $B$5:$F$5))</f>
        <v>26500</v>
      </c>
      <c r="M28" s="96">
        <f>SUMPRODUCT(SUMIFS('For Tally'!C:C, 'For Tally'!H:H, $A28, 'For Tally'!A:A, "&gt;=2026-03-01", 'For Tally'!A:A, "&lt;=2026-03-31", 'For Tally'!L:L, $B$5:$F$5))</f>
        <v>26500</v>
      </c>
      <c r="N28" s="96">
        <f>SUMPRODUCT(SUMIFS('For Tally'!C:C, 'For Tally'!H:H, $A28, 'For Tally'!A:A, "&gt;=2026-04-01", 'For Tally'!A:A, "&lt;=2026-04-30", 'For Tally'!L:L, $B$5:$F$5))</f>
        <v>0</v>
      </c>
      <c r="O28" s="96">
        <f t="shared" si="0"/>
        <v>260000</v>
      </c>
    </row>
    <row r="29" spans="1:15" x14ac:dyDescent="0.3">
      <c r="A29" s="135" t="s">
        <v>837</v>
      </c>
      <c r="B29" s="135">
        <f>SUMPRODUCT(SUMIFS('For Tally'!C:C, 'For Tally'!H:H, $A29, 'For Tally'!A:A, "&gt;=2025-04-01", 'For Tally'!A:A, "&lt;=2025-04-30", 'For Tally'!L:L, $B$5:$F$5))</f>
        <v>70002</v>
      </c>
      <c r="C29" s="135">
        <f>SUMPRODUCT(SUMIFS('For Tally'!C:C, 'For Tally'!H:H, $A29, 'For Tally'!A:A, "&gt;=2025-05-01", 'For Tally'!A:A, "&lt;=2025-05-31", 'For Tally'!L:L, $B$5:$F$5))</f>
        <v>1</v>
      </c>
      <c r="D29" s="135">
        <f>SUMPRODUCT(SUMIFS('For Tally'!C:C, 'For Tally'!H:H, $A29, 'For Tally'!A:A, "&gt;=2025-06-01", 'For Tally'!A:A, "&lt;=2025-06-30", 'For Tally'!L:L, $B$5:$F$5))</f>
        <v>0</v>
      </c>
      <c r="E29" s="135">
        <f>SUMPRODUCT(SUMIFS('For Tally'!C:C, 'For Tally'!H:H, $A29, 'For Tally'!A:A, "&gt;=2025-07-01", 'For Tally'!A:A, "&lt;=2025-07-31", 'For Tally'!L:L, $B$5:$F$5))</f>
        <v>0</v>
      </c>
      <c r="F29" s="135">
        <f>SUMPRODUCT(SUMIFS('For Tally'!C:C, 'For Tally'!H:H, $A29, 'For Tally'!A:A, "&gt;=2025-08-01", 'For Tally'!A:A, "&lt;=2025-08-31", 'For Tally'!L:L, $B$5:$F$5))</f>
        <v>0</v>
      </c>
      <c r="G29" s="135">
        <f>SUMPRODUCT(SUMIFS('For Tally'!C:C, 'For Tally'!H:H, $A29, 'For Tally'!A:A, "&gt;=2025-09-01", 'For Tally'!A:A, "&lt;=2025-09-30", 'For Tally'!L:L, $B$5:$F$5))</f>
        <v>65000</v>
      </c>
      <c r="H29" s="135">
        <f>SUMPRODUCT(SUMIFS('For Tally'!C:C, 'For Tally'!H:H, $A29, 'For Tally'!A:A, "&gt;=2025-10-01", 'For Tally'!A:A, "&lt;=2025-10-31", 'For Tally'!L:L, $B$5:$F$5))</f>
        <v>0</v>
      </c>
      <c r="I29" s="135">
        <f>SUMPRODUCT(SUMIFS('For Tally'!C:C, 'For Tally'!H:H, $A29, 'For Tally'!A:A, "&gt;=2025-11-01", 'For Tally'!A:A, "&lt;=2025-11-30", 'For Tally'!L:L, $B$5:$F$5))</f>
        <v>0</v>
      </c>
      <c r="J29" s="135">
        <f>SUMPRODUCT(SUMIFS('For Tally'!C:C, 'For Tally'!H:H, $A29, 'For Tally'!A:A, "&gt;=2025-12-01", 'For Tally'!A:A, "&lt;=2025-12-31", 'For Tally'!L:L, $B$5:$F$5))</f>
        <v>0</v>
      </c>
      <c r="K29" s="135">
        <f>SUMPRODUCT(SUMIFS('For Tally'!C:C, 'For Tally'!H:H, $A29, 'For Tally'!A:A, "&gt;=2026-01-01", 'For Tally'!A:A, "&lt;=2026-01-31", 'For Tally'!L:L, $B$5:$F$5))</f>
        <v>62217.71</v>
      </c>
      <c r="L29" s="135">
        <f>SUMPRODUCT(SUMIFS('For Tally'!C:C, 'For Tally'!H:H, $A29, 'For Tally'!A:A, "&gt;=2026-02-01", 'For Tally'!A:A, "&lt;=2026-02-28", 'For Tally'!L:L, $B$5:$F$5))</f>
        <v>6469.6</v>
      </c>
      <c r="M29" s="135">
        <f>SUMPRODUCT(SUMIFS('For Tally'!C:C, 'For Tally'!H:H, $A29, 'For Tally'!A:A, "&gt;=2026-03-01", 'For Tally'!A:A, "&lt;=2026-03-31", 'For Tally'!L:L, $B$5:$F$5))</f>
        <v>0</v>
      </c>
      <c r="N29" s="135">
        <f>SUMPRODUCT(SUMIFS('For Tally'!C:C, 'For Tally'!H:H, $A29, 'For Tally'!A:A, "&gt;=2026-04-01", 'For Tally'!A:A, "&lt;=2026-04-30", 'For Tally'!L:L, $B$5:$F$5))</f>
        <v>0</v>
      </c>
      <c r="O29" s="135">
        <f t="shared" si="0"/>
        <v>203690.31</v>
      </c>
    </row>
    <row r="30" spans="1:15" x14ac:dyDescent="0.3">
      <c r="A30" s="23" t="s">
        <v>2</v>
      </c>
      <c r="B30" s="23">
        <f>SUMPRODUCT(SUMIFS('For Tally'!C:C, 'For Tally'!H:H, $A30, 'For Tally'!A:A, "&gt;=2025-04-01", 'For Tally'!A:A, "&lt;=2025-04-30", 'For Tally'!L:L, $B$5:$F$5))</f>
        <v>22000</v>
      </c>
      <c r="C30" s="23">
        <f>SUMPRODUCT(SUMIFS('For Tally'!C:C, 'For Tally'!H:H, $A30, 'For Tally'!A:A, "&gt;=2025-05-01", 'For Tally'!A:A, "&lt;=2025-05-31", 'For Tally'!L:L, $B$5:$F$5))</f>
        <v>17000</v>
      </c>
      <c r="D30" s="23">
        <f>SUMPRODUCT(SUMIFS('For Tally'!C:C, 'For Tally'!H:H, $A30, 'For Tally'!A:A, "&gt;=2025-06-01", 'For Tally'!A:A, "&lt;=2025-06-30", 'For Tally'!L:L, $B$5:$F$5))</f>
        <v>10000</v>
      </c>
      <c r="E30" s="23">
        <f>SUMPRODUCT(SUMIFS('For Tally'!C:C, 'For Tally'!H:H, $A30, 'For Tally'!A:A, "&gt;=2025-07-01", 'For Tally'!A:A, "&lt;=2025-07-31", 'For Tally'!L:L, $B$5:$F$5))</f>
        <v>17000</v>
      </c>
      <c r="F30" s="23">
        <f>SUMPRODUCT(SUMIFS('For Tally'!C:C, 'For Tally'!H:H, $A30, 'For Tally'!A:A, "&gt;=2025-08-01", 'For Tally'!A:A, "&lt;=2025-08-31", 'For Tally'!L:L, $B$5:$F$5))</f>
        <v>12000</v>
      </c>
      <c r="G30" s="23">
        <f>SUMPRODUCT(SUMIFS('For Tally'!C:C, 'For Tally'!H:H, $A30, 'For Tally'!A:A, "&gt;=2025-09-01", 'For Tally'!A:A, "&lt;=2025-09-30", 'For Tally'!L:L, $B$5:$F$5))</f>
        <v>17000</v>
      </c>
      <c r="H30" s="23">
        <f>SUMPRODUCT(SUMIFS('For Tally'!C:C, 'For Tally'!H:H, $A30, 'For Tally'!A:A, "&gt;=2025-10-01", 'For Tally'!A:A, "&lt;=2025-10-31", 'For Tally'!L:L, $B$5:$F$5))</f>
        <v>17000</v>
      </c>
      <c r="I30" s="23">
        <f>SUMPRODUCT(SUMIFS('For Tally'!C:C, 'For Tally'!H:H, $A30, 'For Tally'!A:A, "&gt;=2025-11-01", 'For Tally'!A:A, "&lt;=2025-11-30", 'For Tally'!L:L, $B$5:$F$5))</f>
        <v>13050</v>
      </c>
      <c r="J30" s="23">
        <f>SUMPRODUCT(SUMIFS('For Tally'!C:C, 'For Tally'!H:H, $A30, 'For Tally'!A:A, "&gt;=2025-12-01", 'For Tally'!A:A, "&lt;=2025-12-31", 'For Tally'!L:L, $B$5:$F$5))</f>
        <v>23050</v>
      </c>
      <c r="K30" s="23">
        <f>SUMPRODUCT(SUMIFS('For Tally'!C:C, 'For Tally'!H:H, $A30, 'For Tally'!A:A, "&gt;=2026-01-01", 'For Tally'!A:A, "&lt;=2026-01-31", 'For Tally'!L:L, $B$5:$F$5))</f>
        <v>18050</v>
      </c>
      <c r="L30" s="23">
        <f>SUMPRODUCT(SUMIFS('For Tally'!C:C, 'For Tally'!H:H, $A30, 'For Tally'!A:A, "&gt;=2026-02-01", 'For Tally'!A:A, "&lt;=2026-02-28", 'For Tally'!L:L, $B$5:$F$5))</f>
        <v>10000</v>
      </c>
      <c r="M30" s="23">
        <f>SUMPRODUCT(SUMIFS('For Tally'!C:C, 'For Tally'!H:H, $A30, 'For Tally'!A:A, "&gt;=2026-03-01", 'For Tally'!A:A, "&lt;=2026-03-31", 'For Tally'!L:L, $B$5:$F$5))</f>
        <v>19257</v>
      </c>
      <c r="N30" s="23">
        <f>SUMPRODUCT(SUMIFS('For Tally'!C:C, 'For Tally'!H:H, $A30, 'For Tally'!A:A, "&gt;=2026-04-01", 'For Tally'!A:A, "&lt;=2026-04-30", 'For Tally'!L:L, $B$5:$F$5))</f>
        <v>0</v>
      </c>
      <c r="O30" s="23">
        <f t="shared" si="0"/>
        <v>195407</v>
      </c>
    </row>
    <row r="31" spans="1:15" x14ac:dyDescent="0.3">
      <c r="A31" s="112" t="s">
        <v>996</v>
      </c>
      <c r="B31" s="112">
        <f>SUMPRODUCT(SUMIFS('For Tally'!C:C, 'For Tally'!H:H, $A31, 'For Tally'!A:A, "&gt;=2025-04-01", 'For Tally'!A:A, "&lt;=2025-04-30", 'For Tally'!L:L, $B$5:$F$5))</f>
        <v>0</v>
      </c>
      <c r="C31" s="112">
        <f>SUMPRODUCT(SUMIFS('For Tally'!C:C, 'For Tally'!H:H, $A31, 'For Tally'!A:A, "&gt;=2025-05-01", 'For Tally'!A:A, "&lt;=2025-05-31", 'For Tally'!L:L, $B$5:$F$5))</f>
        <v>0</v>
      </c>
      <c r="D31" s="112">
        <f>SUMPRODUCT(SUMIFS('For Tally'!C:C, 'For Tally'!H:H, $A31, 'For Tally'!A:A, "&gt;=2025-06-01", 'For Tally'!A:A, "&lt;=2025-06-30", 'For Tally'!L:L, $B$5:$F$5))</f>
        <v>0</v>
      </c>
      <c r="E31" s="112">
        <f>SUMPRODUCT(SUMIFS('For Tally'!C:C, 'For Tally'!H:H, $A31, 'For Tally'!A:A, "&gt;=2025-07-01", 'For Tally'!A:A, "&lt;=2025-07-31", 'For Tally'!L:L, $B$5:$F$5))</f>
        <v>0</v>
      </c>
      <c r="F31" s="112">
        <f>SUMPRODUCT(SUMIFS('For Tally'!C:C, 'For Tally'!H:H, $A31, 'For Tally'!A:A, "&gt;=2025-08-01", 'For Tally'!A:A, "&lt;=2025-08-31", 'For Tally'!L:L, $B$5:$F$5))</f>
        <v>0</v>
      </c>
      <c r="G31" s="112">
        <f>SUMPRODUCT(SUMIFS('For Tally'!C:C, 'For Tally'!H:H, $A31, 'For Tally'!A:A, "&gt;=2025-09-01", 'For Tally'!A:A, "&lt;=2025-09-30", 'For Tally'!L:L, $B$5:$F$5))</f>
        <v>0</v>
      </c>
      <c r="H31" s="112">
        <f>SUMPRODUCT(SUMIFS('For Tally'!C:C, 'For Tally'!H:H, $A31, 'For Tally'!A:A, "&gt;=2025-10-01", 'For Tally'!A:A, "&lt;=2025-10-31", 'For Tally'!L:L, $B$5:$F$5))</f>
        <v>0</v>
      </c>
      <c r="I31" s="112">
        <f>SUMPRODUCT(SUMIFS('For Tally'!C:C, 'For Tally'!H:H, $A31, 'For Tally'!A:A, "&gt;=2025-11-01", 'For Tally'!A:A, "&lt;=2025-11-30", 'For Tally'!L:L, $B$5:$F$5))</f>
        <v>0</v>
      </c>
      <c r="J31" s="112">
        <f>SUMPRODUCT(SUMIFS('For Tally'!C:C, 'For Tally'!H:H, $A31, 'For Tally'!A:A, "&gt;=2025-12-01", 'For Tally'!A:A, "&lt;=2025-12-31", 'For Tally'!L:L, $B$5:$F$5))</f>
        <v>24000</v>
      </c>
      <c r="K31" s="112">
        <f>SUMPRODUCT(SUMIFS('For Tally'!C:C, 'For Tally'!H:H, $A31, 'For Tally'!A:A, "&gt;=2026-01-01", 'For Tally'!A:A, "&lt;=2026-01-31", 'For Tally'!L:L, $B$5:$F$5))</f>
        <v>76000</v>
      </c>
      <c r="L31" s="112">
        <f>SUMPRODUCT(SUMIFS('For Tally'!C:C, 'For Tally'!H:H, $A31, 'For Tally'!A:A, "&gt;=2026-02-01", 'For Tally'!A:A, "&lt;=2026-02-28", 'For Tally'!L:L, $B$5:$F$5))</f>
        <v>0</v>
      </c>
      <c r="M31" s="112">
        <f>SUMPRODUCT(SUMIFS('For Tally'!C:C, 'For Tally'!H:H, $A31, 'For Tally'!A:A, "&gt;=2026-03-01", 'For Tally'!A:A, "&lt;=2026-03-31", 'For Tally'!L:L, $B$5:$F$5))</f>
        <v>0</v>
      </c>
      <c r="N31" s="112">
        <f>SUMPRODUCT(SUMIFS('For Tally'!C:C, 'For Tally'!H:H, $A31, 'For Tally'!A:A, "&gt;=2026-04-01", 'For Tally'!A:A, "&lt;=2026-04-30", 'For Tally'!L:L, $B$5:$F$5))</f>
        <v>0</v>
      </c>
      <c r="O31" s="112">
        <f t="shared" si="0"/>
        <v>100000</v>
      </c>
    </row>
    <row r="32" spans="1:15" x14ac:dyDescent="0.3">
      <c r="A32" s="135" t="s">
        <v>112</v>
      </c>
      <c r="B32" s="135">
        <f>SUMPRODUCT(SUMIFS('For Tally'!C:C, 'For Tally'!H:H, $A32, 'For Tally'!A:A, "&gt;=2025-04-01", 'For Tally'!A:A, "&lt;=2025-04-30", 'For Tally'!L:L, $B$5:$F$5))</f>
        <v>856.5</v>
      </c>
      <c r="C32" s="135">
        <f>SUMPRODUCT(SUMIFS('For Tally'!C:C, 'For Tally'!H:H, $A32, 'For Tally'!A:A, "&gt;=2025-05-01", 'For Tally'!A:A, "&lt;=2025-05-31", 'For Tally'!L:L, $B$5:$F$5))</f>
        <v>700</v>
      </c>
      <c r="D32" s="135">
        <f>SUMPRODUCT(SUMIFS('For Tally'!C:C, 'For Tally'!H:H, $A32, 'For Tally'!A:A, "&gt;=2025-06-01", 'For Tally'!A:A, "&lt;=2025-06-30", 'For Tally'!L:L, $B$5:$F$5))</f>
        <v>1001</v>
      </c>
      <c r="E32" s="135">
        <f>SUMPRODUCT(SUMIFS('For Tally'!C:C, 'For Tally'!H:H, $A32, 'For Tally'!A:A, "&gt;=2025-07-01", 'For Tally'!A:A, "&lt;=2025-07-31", 'For Tally'!L:L, $B$5:$F$5))</f>
        <v>0</v>
      </c>
      <c r="F32" s="135">
        <f>SUMPRODUCT(SUMIFS('For Tally'!C:C, 'For Tally'!H:H, $A32, 'For Tally'!A:A, "&gt;=2025-08-01", 'For Tally'!A:A, "&lt;=2025-08-31", 'For Tally'!L:L, $B$5:$F$5))</f>
        <v>0</v>
      </c>
      <c r="G32" s="135">
        <f>SUMPRODUCT(SUMIFS('For Tally'!C:C, 'For Tally'!H:H, $A32, 'For Tally'!A:A, "&gt;=2025-09-01", 'For Tally'!A:A, "&lt;=2025-09-30", 'For Tally'!L:L, $B$5:$F$5))</f>
        <v>0</v>
      </c>
      <c r="H32" s="135">
        <f>SUMPRODUCT(SUMIFS('For Tally'!C:C, 'For Tally'!H:H, $A32, 'For Tally'!A:A, "&gt;=2025-10-01", 'For Tally'!A:A, "&lt;=2025-10-31", 'For Tally'!L:L, $B$5:$F$5))</f>
        <v>0</v>
      </c>
      <c r="I32" s="135">
        <f>SUMPRODUCT(SUMIFS('For Tally'!C:C, 'For Tally'!H:H, $A32, 'For Tally'!A:A, "&gt;=2025-11-01", 'For Tally'!A:A, "&lt;=2025-11-30", 'For Tally'!L:L, $B$5:$F$5))</f>
        <v>11011.56</v>
      </c>
      <c r="J32" s="135">
        <f>SUMPRODUCT(SUMIFS('For Tally'!C:C, 'For Tally'!H:H, $A32, 'For Tally'!A:A, "&gt;=2025-12-01", 'For Tally'!A:A, "&lt;=2025-12-31", 'For Tally'!L:L, $B$5:$F$5))</f>
        <v>2001</v>
      </c>
      <c r="K32" s="135">
        <f>SUMPRODUCT(SUMIFS('For Tally'!C:C, 'For Tally'!H:H, $A32, 'For Tally'!A:A, "&gt;=2026-01-01", 'For Tally'!A:A, "&lt;=2026-01-31", 'For Tally'!L:L, $B$5:$F$5))</f>
        <v>39</v>
      </c>
      <c r="L32" s="135">
        <f>SUMPRODUCT(SUMIFS('For Tally'!C:C, 'For Tally'!H:H, $A32, 'For Tally'!A:A, "&gt;=2026-02-01", 'For Tally'!A:A, "&lt;=2026-02-28", 'For Tally'!L:L, $B$5:$F$5))</f>
        <v>0</v>
      </c>
      <c r="M32" s="135">
        <f>SUMPRODUCT(SUMIFS('For Tally'!C:C, 'For Tally'!H:H, $A32, 'For Tally'!A:A, "&gt;=2026-03-01", 'For Tally'!A:A, "&lt;=2026-03-31", 'For Tally'!L:L, $B$5:$F$5))</f>
        <v>15409</v>
      </c>
      <c r="N32" s="135">
        <f>SUMPRODUCT(SUMIFS('For Tally'!C:C, 'For Tally'!H:H, $A32, 'For Tally'!A:A, "&gt;=2026-04-01", 'For Tally'!A:A, "&lt;=2026-04-30", 'For Tally'!L:L, $B$5:$F$5))</f>
        <v>0</v>
      </c>
      <c r="O32" s="135">
        <f t="shared" si="0"/>
        <v>31018.059999999998</v>
      </c>
    </row>
    <row r="33" spans="1:15" x14ac:dyDescent="0.3">
      <c r="A33" s="135" t="s">
        <v>1795</v>
      </c>
      <c r="B33" s="135">
        <f>SUMPRODUCT(SUMIFS('For Tally'!C:C, 'For Tally'!H:H, $A33, 'For Tally'!A:A, "&gt;=2025-04-01", 'For Tally'!A:A, "&lt;=2025-04-30", 'For Tally'!L:L, $B$5:$F$5))</f>
        <v>0</v>
      </c>
      <c r="C33" s="135">
        <f>SUMPRODUCT(SUMIFS('For Tally'!C:C, 'For Tally'!H:H, $A33, 'For Tally'!A:A, "&gt;=2025-05-01", 'For Tally'!A:A, "&lt;=2025-05-31", 'For Tally'!L:L, $B$5:$F$5))</f>
        <v>0</v>
      </c>
      <c r="D33" s="135">
        <f>SUMPRODUCT(SUMIFS('For Tally'!C:C, 'For Tally'!H:H, $A33, 'For Tally'!A:A, "&gt;=2025-06-01", 'For Tally'!A:A, "&lt;=2025-06-30", 'For Tally'!L:L, $B$5:$F$5))</f>
        <v>0</v>
      </c>
      <c r="E33" s="135">
        <f>SUMPRODUCT(SUMIFS('For Tally'!C:C, 'For Tally'!H:H, $A33, 'For Tally'!A:A, "&gt;=2025-07-01", 'For Tally'!A:A, "&lt;=2025-07-31", 'For Tally'!L:L, $B$5:$F$5))</f>
        <v>4</v>
      </c>
      <c r="F33" s="135">
        <f>SUMPRODUCT(SUMIFS('For Tally'!C:C, 'For Tally'!H:H, $A33, 'For Tally'!A:A, "&gt;=2025-08-01", 'For Tally'!A:A, "&lt;=2025-08-31", 'For Tally'!L:L, $B$5:$F$5))</f>
        <v>0</v>
      </c>
      <c r="G33" s="135">
        <f>SUMPRODUCT(SUMIFS('For Tally'!C:C, 'For Tally'!H:H, $A33, 'For Tally'!A:A, "&gt;=2025-09-01", 'For Tally'!A:A, "&lt;=2025-09-30", 'For Tally'!L:L, $B$5:$F$5))</f>
        <v>0</v>
      </c>
      <c r="H33" s="135">
        <f>SUMPRODUCT(SUMIFS('For Tally'!C:C, 'For Tally'!H:H, $A33, 'For Tally'!A:A, "&gt;=2025-10-01", 'For Tally'!A:A, "&lt;=2025-10-31", 'For Tally'!L:L, $B$5:$F$5))</f>
        <v>0</v>
      </c>
      <c r="I33" s="135">
        <f>SUMPRODUCT(SUMIFS('For Tally'!C:C, 'For Tally'!H:H, $A33, 'For Tally'!A:A, "&gt;=2025-11-01", 'For Tally'!A:A, "&lt;=2025-11-30", 'For Tally'!L:L, $B$5:$F$5))</f>
        <v>1</v>
      </c>
      <c r="J33" s="135">
        <f>SUMPRODUCT(SUMIFS('For Tally'!C:C, 'For Tally'!H:H, $A33, 'For Tally'!A:A, "&gt;=2025-12-01", 'For Tally'!A:A, "&lt;=2025-12-31", 'For Tally'!L:L, $B$5:$F$5))</f>
        <v>0</v>
      </c>
      <c r="K33" s="135">
        <f>SUMPRODUCT(SUMIFS('For Tally'!C:C, 'For Tally'!H:H, $A33, 'For Tally'!A:A, "&gt;=2026-01-01", 'For Tally'!A:A, "&lt;=2026-01-31", 'For Tally'!L:L, $B$5:$F$5))</f>
        <v>0</v>
      </c>
      <c r="L33" s="135">
        <f>SUMPRODUCT(SUMIFS('For Tally'!C:C, 'For Tally'!H:H, $A33, 'For Tally'!A:A, "&gt;=2026-02-01", 'For Tally'!A:A, "&lt;=2026-02-28", 'For Tally'!L:L, $B$5:$F$5))</f>
        <v>0</v>
      </c>
      <c r="M33" s="135">
        <f>SUMPRODUCT(SUMIFS('For Tally'!C:C, 'For Tally'!H:H, $A33, 'For Tally'!A:A, "&gt;=2026-03-01", 'For Tally'!A:A, "&lt;=2026-03-31", 'For Tally'!L:L, $B$5:$F$5))</f>
        <v>20</v>
      </c>
      <c r="N33" s="135">
        <f>SUMPRODUCT(SUMIFS('For Tally'!C:C, 'For Tally'!H:H, $A33, 'For Tally'!A:A, "&gt;=2026-04-01", 'For Tally'!A:A, "&lt;=2026-04-30", 'For Tally'!L:L, $B$5:$F$5))</f>
        <v>0</v>
      </c>
      <c r="O33" s="135">
        <f t="shared" si="0"/>
        <v>25</v>
      </c>
    </row>
    <row r="34" spans="1:15" x14ac:dyDescent="0.3">
      <c r="A34" s="135" t="s">
        <v>149</v>
      </c>
      <c r="B34" s="135">
        <f>SUMPRODUCT(SUMIFS('For Tally'!C:C, 'For Tally'!H:H, $A34, 'For Tally'!A:A, "&gt;=2025-04-01", 'For Tally'!A:A, "&lt;=2025-04-30", 'For Tally'!L:L, $B$5:$F$5))</f>
        <v>0</v>
      </c>
      <c r="C34" s="135">
        <f>SUMPRODUCT(SUMIFS('For Tally'!C:C, 'For Tally'!H:H, $A34, 'For Tally'!A:A, "&gt;=2025-05-01", 'For Tally'!A:A, "&lt;=2025-05-31", 'For Tally'!L:L, $B$5:$F$5))</f>
        <v>25000</v>
      </c>
      <c r="D34" s="135">
        <f>SUMPRODUCT(SUMIFS('For Tally'!C:C, 'For Tally'!H:H, $A34, 'For Tally'!A:A, "&gt;=2025-06-01", 'For Tally'!A:A, "&lt;=2025-06-30", 'For Tally'!L:L, $B$5:$F$5))</f>
        <v>0</v>
      </c>
      <c r="E34" s="135">
        <f>SUMPRODUCT(SUMIFS('For Tally'!C:C, 'For Tally'!H:H, $A34, 'For Tally'!A:A, "&gt;=2025-07-01", 'For Tally'!A:A, "&lt;=2025-07-31", 'For Tally'!L:L, $B$5:$F$5))</f>
        <v>10000</v>
      </c>
      <c r="F34" s="135">
        <f>SUMPRODUCT(SUMIFS('For Tally'!C:C, 'For Tally'!H:H, $A34, 'For Tally'!A:A, "&gt;=2025-08-01", 'For Tally'!A:A, "&lt;=2025-08-31", 'For Tally'!L:L, $B$5:$F$5))</f>
        <v>0</v>
      </c>
      <c r="G34" s="135">
        <f>SUMPRODUCT(SUMIFS('For Tally'!C:C, 'For Tally'!H:H, $A34, 'For Tally'!A:A, "&gt;=2025-09-01", 'For Tally'!A:A, "&lt;=2025-09-30", 'For Tally'!L:L, $B$5:$F$5))</f>
        <v>20000</v>
      </c>
      <c r="H34" s="135">
        <f>SUMPRODUCT(SUMIFS('For Tally'!C:C, 'For Tally'!H:H, $A34, 'For Tally'!A:A, "&gt;=2025-10-01", 'For Tally'!A:A, "&lt;=2025-10-31", 'For Tally'!L:L, $B$5:$F$5))</f>
        <v>0</v>
      </c>
      <c r="I34" s="135">
        <f>SUMPRODUCT(SUMIFS('For Tally'!C:C, 'For Tally'!H:H, $A34, 'For Tally'!A:A, "&gt;=2025-11-01", 'For Tally'!A:A, "&lt;=2025-11-30", 'For Tally'!L:L, $B$5:$F$5))</f>
        <v>0</v>
      </c>
      <c r="J34" s="135">
        <f>SUMPRODUCT(SUMIFS('For Tally'!C:C, 'For Tally'!H:H, $A34, 'For Tally'!A:A, "&gt;=2025-12-01", 'For Tally'!A:A, "&lt;=2025-12-31", 'For Tally'!L:L, $B$5:$F$5))</f>
        <v>0</v>
      </c>
      <c r="K34" s="135">
        <f>SUMPRODUCT(SUMIFS('For Tally'!C:C, 'For Tally'!H:H, $A34, 'For Tally'!A:A, "&gt;=2026-01-01", 'For Tally'!A:A, "&lt;=2026-01-31", 'For Tally'!L:L, $B$5:$F$5))</f>
        <v>0</v>
      </c>
      <c r="L34" s="135">
        <f>SUMPRODUCT(SUMIFS('For Tally'!C:C, 'For Tally'!H:H, $A34, 'For Tally'!A:A, "&gt;=2026-02-01", 'For Tally'!A:A, "&lt;=2026-02-28", 'For Tally'!L:L, $B$5:$F$5))</f>
        <v>0</v>
      </c>
      <c r="M34" s="135">
        <f>SUMPRODUCT(SUMIFS('For Tally'!C:C, 'For Tally'!H:H, $A34, 'For Tally'!A:A, "&gt;=2026-03-01", 'For Tally'!A:A, "&lt;=2026-03-31", 'For Tally'!L:L, $B$5:$F$5))</f>
        <v>0</v>
      </c>
      <c r="N34" s="135">
        <f>SUMPRODUCT(SUMIFS('For Tally'!C:C, 'For Tally'!H:H, $A34, 'For Tally'!A:A, "&gt;=2026-04-01", 'For Tally'!A:A, "&lt;=2026-04-30", 'For Tally'!L:L, $B$5:$F$5))</f>
        <v>0</v>
      </c>
      <c r="O34" s="135">
        <f t="shared" si="0"/>
        <v>55000</v>
      </c>
    </row>
    <row r="35" spans="1:15" x14ac:dyDescent="0.3">
      <c r="A35" s="135" t="s">
        <v>1363</v>
      </c>
      <c r="B35" s="135">
        <f>SUMPRODUCT(SUMIFS('For Tally'!C:C, 'For Tally'!H:H, $A35, 'For Tally'!A:A, "&gt;=2025-04-01", 'For Tally'!A:A, "&lt;=2025-04-30", 'For Tally'!L:L, $B$5:$F$5))</f>
        <v>0</v>
      </c>
      <c r="C35" s="135">
        <f>SUMPRODUCT(SUMIFS('For Tally'!C:C, 'For Tally'!H:H, $A35, 'For Tally'!A:A, "&gt;=2025-05-01", 'For Tally'!A:A, "&lt;=2025-05-31", 'For Tally'!L:L, $B$5:$F$5))</f>
        <v>0</v>
      </c>
      <c r="D35" s="135">
        <f>SUMPRODUCT(SUMIFS('For Tally'!C:C, 'For Tally'!H:H, $A35, 'For Tally'!A:A, "&gt;=2025-06-01", 'For Tally'!A:A, "&lt;=2025-06-30", 'For Tally'!L:L, $B$5:$F$5))</f>
        <v>0</v>
      </c>
      <c r="E35" s="135">
        <f>SUMPRODUCT(SUMIFS('For Tally'!C:C, 'For Tally'!H:H, $A35, 'For Tally'!A:A, "&gt;=2025-07-01", 'For Tally'!A:A, "&lt;=2025-07-31", 'For Tally'!L:L, $B$5:$F$5))</f>
        <v>0</v>
      </c>
      <c r="F35" s="135">
        <f>SUMPRODUCT(SUMIFS('For Tally'!C:C, 'For Tally'!H:H, $A35, 'For Tally'!A:A, "&gt;=2025-08-01", 'For Tally'!A:A, "&lt;=2025-08-31", 'For Tally'!L:L, $B$5:$F$5))</f>
        <v>0</v>
      </c>
      <c r="G35" s="135">
        <f>SUMPRODUCT(SUMIFS('For Tally'!C:C, 'For Tally'!H:H, $A35, 'For Tally'!A:A, "&gt;=2025-09-01", 'For Tally'!A:A, "&lt;=2025-09-30", 'For Tally'!L:L, $B$5:$F$5))</f>
        <v>0</v>
      </c>
      <c r="H35" s="135">
        <f>SUMPRODUCT(SUMIFS('For Tally'!C:C, 'For Tally'!H:H, $A35, 'For Tally'!A:A, "&gt;=2025-10-01", 'For Tally'!A:A, "&lt;=2025-10-31", 'For Tally'!L:L, $B$5:$F$5))</f>
        <v>0</v>
      </c>
      <c r="I35" s="135">
        <f>SUMPRODUCT(SUMIFS('For Tally'!C:C, 'For Tally'!H:H, $A35, 'For Tally'!A:A, "&gt;=2025-11-01", 'For Tally'!A:A, "&lt;=2025-11-30", 'For Tally'!L:L, $B$5:$F$5))</f>
        <v>0</v>
      </c>
      <c r="J35" s="135">
        <f>SUMPRODUCT(SUMIFS('For Tally'!C:C, 'For Tally'!H:H, $A35, 'For Tally'!A:A, "&gt;=2025-12-01", 'For Tally'!A:A, "&lt;=2025-12-31", 'For Tally'!L:L, $B$5:$F$5))</f>
        <v>35000</v>
      </c>
      <c r="K35" s="135">
        <f>SUMPRODUCT(SUMIFS('For Tally'!C:C, 'For Tally'!H:H, $A35, 'For Tally'!A:A, "&gt;=2026-01-01", 'For Tally'!A:A, "&lt;=2026-01-31", 'For Tally'!L:L, $B$5:$F$5))</f>
        <v>0</v>
      </c>
      <c r="L35" s="135">
        <f>SUMPRODUCT(SUMIFS('For Tally'!C:C, 'For Tally'!H:H, $A35, 'For Tally'!A:A, "&gt;=2026-02-01", 'For Tally'!A:A, "&lt;=2026-02-28", 'For Tally'!L:L, $B$5:$F$5))</f>
        <v>0</v>
      </c>
      <c r="M35" s="135">
        <f>SUMPRODUCT(SUMIFS('For Tally'!C:C, 'For Tally'!H:H, $A35, 'For Tally'!A:A, "&gt;=2026-03-01", 'For Tally'!A:A, "&lt;=2026-03-31", 'For Tally'!L:L, $B$5:$F$5))</f>
        <v>22000</v>
      </c>
      <c r="N35" s="135">
        <f>SUMPRODUCT(SUMIFS('For Tally'!C:C, 'For Tally'!H:H, $A35, 'For Tally'!A:A, "&gt;=2026-04-01", 'For Tally'!A:A, "&lt;=2026-04-30", 'For Tally'!L:L, $B$5:$F$5))</f>
        <v>0</v>
      </c>
      <c r="O35" s="135">
        <f t="shared" si="0"/>
        <v>57000</v>
      </c>
    </row>
    <row r="36" spans="1:15" x14ac:dyDescent="0.3">
      <c r="A36" s="135" t="s">
        <v>1046</v>
      </c>
      <c r="B36" s="135">
        <f>SUMPRODUCT(SUMIFS('For Tally'!C:C, 'For Tally'!H:H, $A36, 'For Tally'!A:A, "&gt;=2025-04-01", 'For Tally'!A:A, "&lt;=2025-04-30", 'For Tally'!L:L, $B$5:$F$5))</f>
        <v>0</v>
      </c>
      <c r="C36" s="135">
        <f>SUMPRODUCT(SUMIFS('For Tally'!C:C, 'For Tally'!H:H, $A36, 'For Tally'!A:A, "&gt;=2025-05-01", 'For Tally'!A:A, "&lt;=2025-05-31", 'For Tally'!L:L, $B$5:$F$5))</f>
        <v>0</v>
      </c>
      <c r="D36" s="135">
        <f>SUMPRODUCT(SUMIFS('For Tally'!C:C, 'For Tally'!H:H, $A36, 'For Tally'!A:A, "&gt;=2025-06-01", 'For Tally'!A:A, "&lt;=2025-06-30", 'For Tally'!L:L, $B$5:$F$5))</f>
        <v>0</v>
      </c>
      <c r="E36" s="135">
        <f>SUMPRODUCT(SUMIFS('For Tally'!C:C, 'For Tally'!H:H, $A36, 'For Tally'!A:A, "&gt;=2025-07-01", 'For Tally'!A:A, "&lt;=2025-07-31", 'For Tally'!L:L, $B$5:$F$5))</f>
        <v>0</v>
      </c>
      <c r="F36" s="135">
        <f>SUMPRODUCT(SUMIFS('For Tally'!C:C, 'For Tally'!H:H, $A36, 'For Tally'!A:A, "&gt;=2025-08-01", 'For Tally'!A:A, "&lt;=2025-08-31", 'For Tally'!L:L, $B$5:$F$5))</f>
        <v>0</v>
      </c>
      <c r="G36" s="135">
        <f>SUMPRODUCT(SUMIFS('For Tally'!C:C, 'For Tally'!H:H, $A36, 'For Tally'!A:A, "&gt;=2025-09-01", 'For Tally'!A:A, "&lt;=2025-09-30", 'For Tally'!L:L, $B$5:$F$5))</f>
        <v>0</v>
      </c>
      <c r="H36" s="135">
        <f>SUMPRODUCT(SUMIFS('For Tally'!C:C, 'For Tally'!H:H, $A36, 'For Tally'!A:A, "&gt;=2025-10-01", 'For Tally'!A:A, "&lt;=2025-10-31", 'For Tally'!L:L, $B$5:$F$5))</f>
        <v>0</v>
      </c>
      <c r="I36" s="135">
        <f>SUMPRODUCT(SUMIFS('For Tally'!C:C, 'For Tally'!H:H, $A36, 'For Tally'!A:A, "&gt;=2025-11-01", 'For Tally'!A:A, "&lt;=2025-11-30", 'For Tally'!L:L, $B$5:$F$5))</f>
        <v>0</v>
      </c>
      <c r="J36" s="135">
        <f>SUMPRODUCT(SUMIFS('For Tally'!C:C, 'For Tally'!H:H, $A36, 'For Tally'!A:A, "&gt;=2025-12-01", 'For Tally'!A:A, "&lt;=2025-12-31", 'For Tally'!L:L, $B$5:$F$5))</f>
        <v>0</v>
      </c>
      <c r="K36" s="135">
        <f>SUMPRODUCT(SUMIFS('For Tally'!C:C, 'For Tally'!H:H, $A36, 'For Tally'!A:A, "&gt;=2026-01-01", 'For Tally'!A:A, "&lt;=2026-01-31", 'For Tally'!L:L, $B$5:$F$5))</f>
        <v>39674</v>
      </c>
      <c r="L36" s="135">
        <f>SUMPRODUCT(SUMIFS('For Tally'!C:C, 'For Tally'!H:H, $A36, 'For Tally'!A:A, "&gt;=2026-02-01", 'For Tally'!A:A, "&lt;=2026-02-28", 'For Tally'!L:L, $B$5:$F$5))</f>
        <v>0</v>
      </c>
      <c r="M36" s="135">
        <f>SUMPRODUCT(SUMIFS('For Tally'!C:C, 'For Tally'!H:H, $A36, 'For Tally'!A:A, "&gt;=2026-03-01", 'For Tally'!A:A, "&lt;=2026-03-31", 'For Tally'!L:L, $B$5:$F$5))</f>
        <v>0</v>
      </c>
      <c r="N36" s="135">
        <f>SUMPRODUCT(SUMIFS('For Tally'!C:C, 'For Tally'!H:H, $A36, 'For Tally'!A:A, "&gt;=2026-04-01", 'For Tally'!A:A, "&lt;=2026-04-30", 'For Tally'!L:L, $B$5:$F$5))</f>
        <v>0</v>
      </c>
      <c r="O36" s="135">
        <f t="shared" si="0"/>
        <v>39674</v>
      </c>
    </row>
    <row r="37" spans="1:15" x14ac:dyDescent="0.3">
      <c r="A37" s="135" t="s">
        <v>1176</v>
      </c>
      <c r="B37" s="135">
        <f>SUMPRODUCT(SUMIFS('For Tally'!C:C, 'For Tally'!H:H, $A37, 'For Tally'!A:A, "&gt;=2025-04-01", 'For Tally'!A:A, "&lt;=2025-04-30", 'For Tally'!L:L, $B$5:$F$5))</f>
        <v>0</v>
      </c>
      <c r="C37" s="135">
        <f>SUMPRODUCT(SUMIFS('For Tally'!C:C, 'For Tally'!H:H, $A37, 'For Tally'!A:A, "&gt;=2025-05-01", 'For Tally'!A:A, "&lt;=2025-05-31", 'For Tally'!L:L, $B$5:$F$5))</f>
        <v>0</v>
      </c>
      <c r="D37" s="135">
        <f>SUMPRODUCT(SUMIFS('For Tally'!C:C, 'For Tally'!H:H, $A37, 'For Tally'!A:A, "&gt;=2025-06-01", 'For Tally'!A:A, "&lt;=2025-06-30", 'For Tally'!L:L, $B$5:$F$5))</f>
        <v>0</v>
      </c>
      <c r="E37" s="135">
        <f>SUMPRODUCT(SUMIFS('For Tally'!C:C, 'For Tally'!H:H, $A37, 'For Tally'!A:A, "&gt;=2025-07-01", 'For Tally'!A:A, "&lt;=2025-07-31", 'For Tally'!L:L, $B$5:$F$5))</f>
        <v>0</v>
      </c>
      <c r="F37" s="135">
        <f>SUMPRODUCT(SUMIFS('For Tally'!C:C, 'For Tally'!H:H, $A37, 'For Tally'!A:A, "&gt;=2025-08-01", 'For Tally'!A:A, "&lt;=2025-08-31", 'For Tally'!L:L, $B$5:$F$5))</f>
        <v>0</v>
      </c>
      <c r="G37" s="135">
        <f>SUMPRODUCT(SUMIFS('For Tally'!C:C, 'For Tally'!H:H, $A37, 'For Tally'!A:A, "&gt;=2025-09-01", 'For Tally'!A:A, "&lt;=2025-09-30", 'For Tally'!L:L, $B$5:$F$5))</f>
        <v>3090</v>
      </c>
      <c r="H37" s="135">
        <f>SUMPRODUCT(SUMIFS('For Tally'!C:C, 'For Tally'!H:H, $A37, 'For Tally'!A:A, "&gt;=2025-10-01", 'For Tally'!A:A, "&lt;=2025-10-31", 'For Tally'!L:L, $B$5:$F$5))</f>
        <v>0</v>
      </c>
      <c r="I37" s="135">
        <f>SUMPRODUCT(SUMIFS('For Tally'!C:C, 'For Tally'!H:H, $A37, 'For Tally'!A:A, "&gt;=2025-11-01", 'For Tally'!A:A, "&lt;=2025-11-30", 'For Tally'!L:L, $B$5:$F$5))</f>
        <v>3000</v>
      </c>
      <c r="J37" s="135">
        <f>SUMPRODUCT(SUMIFS('For Tally'!C:C, 'For Tally'!H:H, $A37, 'For Tally'!A:A, "&gt;=2025-12-01", 'For Tally'!A:A, "&lt;=2025-12-31", 'For Tally'!L:L, $B$5:$F$5))</f>
        <v>0</v>
      </c>
      <c r="K37" s="135">
        <f>SUMPRODUCT(SUMIFS('For Tally'!C:C, 'For Tally'!H:H, $A37, 'For Tally'!A:A, "&gt;=2026-01-01", 'For Tally'!A:A, "&lt;=2026-01-31", 'For Tally'!L:L, $B$5:$F$5))</f>
        <v>2330</v>
      </c>
      <c r="L37" s="135">
        <f>SUMPRODUCT(SUMIFS('For Tally'!C:C, 'For Tally'!H:H, $A37, 'For Tally'!A:A, "&gt;=2026-02-01", 'For Tally'!A:A, "&lt;=2026-02-28", 'For Tally'!L:L, $B$5:$F$5))</f>
        <v>0</v>
      </c>
      <c r="M37" s="135">
        <f>SUMPRODUCT(SUMIFS('For Tally'!C:C, 'For Tally'!H:H, $A37, 'For Tally'!A:A, "&gt;=2026-03-01", 'For Tally'!A:A, "&lt;=2026-03-31", 'For Tally'!L:L, $B$5:$F$5))</f>
        <v>0</v>
      </c>
      <c r="N37" s="135">
        <f>SUMPRODUCT(SUMIFS('For Tally'!C:C, 'For Tally'!H:H, $A37, 'For Tally'!A:A, "&gt;=2026-04-01", 'For Tally'!A:A, "&lt;=2026-04-30", 'For Tally'!L:L, $B$5:$F$5))</f>
        <v>0</v>
      </c>
      <c r="O37" s="135">
        <f t="shared" si="0"/>
        <v>8420</v>
      </c>
    </row>
    <row r="38" spans="1:15" x14ac:dyDescent="0.3">
      <c r="A38" s="135" t="s">
        <v>1014</v>
      </c>
      <c r="B38" s="135">
        <f>SUMPRODUCT(SUMIFS('For Tally'!C:C, 'For Tally'!H:H, $A38, 'For Tally'!A:A, "&gt;=2025-04-01", 'For Tally'!A:A, "&lt;=2025-04-30", 'For Tally'!L:L, $B$5:$F$5))</f>
        <v>9058.0499999999993</v>
      </c>
      <c r="C38" s="135">
        <f>SUMPRODUCT(SUMIFS('For Tally'!C:C, 'For Tally'!H:H, $A38, 'For Tally'!A:A, "&gt;=2025-05-01", 'For Tally'!A:A, "&lt;=2025-05-31", 'For Tally'!L:L, $B$5:$F$5))</f>
        <v>7067.55</v>
      </c>
      <c r="D38" s="135">
        <f>SUMPRODUCT(SUMIFS('For Tally'!C:C, 'For Tally'!H:H, $A38, 'For Tally'!A:A, "&gt;=2025-06-01", 'For Tally'!A:A, "&lt;=2025-06-30", 'For Tally'!L:L, $B$5:$F$5))</f>
        <v>3449</v>
      </c>
      <c r="E38" s="135">
        <f>SUMPRODUCT(SUMIFS('For Tally'!C:C, 'For Tally'!H:H, $A38, 'For Tally'!A:A, "&gt;=2025-07-01", 'For Tally'!A:A, "&lt;=2025-07-31", 'For Tally'!L:L, $B$5:$F$5))</f>
        <v>0</v>
      </c>
      <c r="F38" s="135">
        <f>SUMPRODUCT(SUMIFS('For Tally'!C:C, 'For Tally'!H:H, $A38, 'For Tally'!A:A, "&gt;=2025-08-01", 'For Tally'!A:A, "&lt;=2025-08-31", 'For Tally'!L:L, $B$5:$F$5))</f>
        <v>7236.65</v>
      </c>
      <c r="G38" s="135">
        <f>SUMPRODUCT(SUMIFS('For Tally'!C:C, 'For Tally'!H:H, $A38, 'For Tally'!A:A, "&gt;=2025-09-01", 'For Tally'!A:A, "&lt;=2025-09-30", 'For Tally'!L:L, $B$5:$F$5))</f>
        <v>4002.2</v>
      </c>
      <c r="H38" s="135">
        <f>SUMPRODUCT(SUMIFS('For Tally'!C:C, 'For Tally'!H:H, $A38, 'For Tally'!A:A, "&gt;=2025-10-01", 'For Tally'!A:A, "&lt;=2025-10-31", 'For Tally'!L:L, $B$5:$F$5))</f>
        <v>4485.4000000000005</v>
      </c>
      <c r="I38" s="135">
        <f>SUMPRODUCT(SUMIFS('For Tally'!C:C, 'For Tally'!H:H, $A38, 'For Tally'!A:A, "&gt;=2025-11-01", 'For Tally'!A:A, "&lt;=2025-11-30", 'For Tally'!L:L, $B$5:$F$5))</f>
        <v>5122.5</v>
      </c>
      <c r="J38" s="135">
        <f>SUMPRODUCT(SUMIFS('For Tally'!C:C, 'For Tally'!H:H, $A38, 'For Tally'!A:A, "&gt;=2025-12-01", 'For Tally'!A:A, "&lt;=2025-12-31", 'For Tally'!L:L, $B$5:$F$5))</f>
        <v>12649</v>
      </c>
      <c r="K38" s="135">
        <f>SUMPRODUCT(SUMIFS('For Tally'!C:C, 'For Tally'!H:H, $A38, 'For Tally'!A:A, "&gt;=2026-01-01", 'For Tally'!A:A, "&lt;=2026-01-31", 'For Tally'!L:L, $B$5:$F$5))</f>
        <v>13700.300000000001</v>
      </c>
      <c r="L38" s="135">
        <f>SUMPRODUCT(SUMIFS('For Tally'!C:C, 'For Tally'!H:H, $A38, 'For Tally'!A:A, "&gt;=2026-02-01", 'For Tally'!A:A, "&lt;=2026-02-28", 'For Tally'!L:L, $B$5:$F$5))</f>
        <v>137.25</v>
      </c>
      <c r="M38" s="135">
        <f>SUMPRODUCT(SUMIFS('For Tally'!C:C, 'For Tally'!H:H, $A38, 'For Tally'!A:A, "&gt;=2026-03-01", 'For Tally'!A:A, "&lt;=2026-03-31", 'For Tally'!L:L, $B$5:$F$5))</f>
        <v>4513.6000000000004</v>
      </c>
      <c r="N38" s="135">
        <f>SUMPRODUCT(SUMIFS('For Tally'!C:C, 'For Tally'!H:H, $A38, 'For Tally'!A:A, "&gt;=2026-04-01", 'For Tally'!A:A, "&lt;=2026-04-30", 'For Tally'!L:L, $B$5:$F$5))</f>
        <v>0</v>
      </c>
      <c r="O38" s="135">
        <f t="shared" si="0"/>
        <v>71421.5</v>
      </c>
    </row>
    <row r="39" spans="1:15" x14ac:dyDescent="0.3">
      <c r="A39" s="135" t="s">
        <v>1860</v>
      </c>
      <c r="B39" s="135">
        <f>SUMPRODUCT(SUMIFS('For Tally'!C:C, 'For Tally'!H:H, $A39, 'For Tally'!A:A, "&gt;=2025-04-01", 'For Tally'!A:A, "&lt;=2025-04-30", 'For Tally'!L:L, $B$5:$F$5))</f>
        <v>1500</v>
      </c>
      <c r="C39" s="135">
        <f>SUMPRODUCT(SUMIFS('For Tally'!C:C, 'For Tally'!H:H, $A39, 'For Tally'!A:A, "&gt;=2025-05-01", 'For Tally'!A:A, "&lt;=2025-05-31", 'For Tally'!L:L, $B$5:$F$5))</f>
        <v>0</v>
      </c>
      <c r="D39" s="135">
        <f>SUMPRODUCT(SUMIFS('For Tally'!C:C, 'For Tally'!H:H, $A39, 'For Tally'!A:A, "&gt;=2025-06-01", 'For Tally'!A:A, "&lt;=2025-06-30", 'For Tally'!L:L, $B$5:$F$5))</f>
        <v>0</v>
      </c>
      <c r="E39" s="135">
        <f>SUMPRODUCT(SUMIFS('For Tally'!C:C, 'For Tally'!H:H, $A39, 'For Tally'!A:A, "&gt;=2025-07-01", 'For Tally'!A:A, "&lt;=2025-07-31", 'For Tally'!L:L, $B$5:$F$5))</f>
        <v>0</v>
      </c>
      <c r="F39" s="135">
        <f>SUMPRODUCT(SUMIFS('For Tally'!C:C, 'For Tally'!H:H, $A39, 'For Tally'!A:A, "&gt;=2025-08-01", 'For Tally'!A:A, "&lt;=2025-08-31", 'For Tally'!L:L, $B$5:$F$5))</f>
        <v>0</v>
      </c>
      <c r="G39" s="135">
        <f>SUMPRODUCT(SUMIFS('For Tally'!C:C, 'For Tally'!H:H, $A39, 'For Tally'!A:A, "&gt;=2025-09-01", 'For Tally'!A:A, "&lt;=2025-09-30", 'For Tally'!L:L, $B$5:$F$5))</f>
        <v>0</v>
      </c>
      <c r="H39" s="135">
        <f>SUMPRODUCT(SUMIFS('For Tally'!C:C, 'For Tally'!H:H, $A39, 'For Tally'!A:A, "&gt;=2025-10-01", 'For Tally'!A:A, "&lt;=2025-10-31", 'For Tally'!L:L, $B$5:$F$5))</f>
        <v>0</v>
      </c>
      <c r="I39" s="135">
        <f>SUMPRODUCT(SUMIFS('For Tally'!C:C, 'For Tally'!H:H, $A39, 'For Tally'!A:A, "&gt;=2025-11-01", 'For Tally'!A:A, "&lt;=2025-11-30", 'For Tally'!L:L, $B$5:$F$5))</f>
        <v>0</v>
      </c>
      <c r="J39" s="135">
        <f>SUMPRODUCT(SUMIFS('For Tally'!C:C, 'For Tally'!H:H, $A39, 'For Tally'!A:A, "&gt;=2025-12-01", 'For Tally'!A:A, "&lt;=2025-12-31", 'For Tally'!L:L, $B$5:$F$5))</f>
        <v>0</v>
      </c>
      <c r="K39" s="135">
        <f>SUMPRODUCT(SUMIFS('For Tally'!C:C, 'For Tally'!H:H, $A39, 'For Tally'!A:A, "&gt;=2026-01-01", 'For Tally'!A:A, "&lt;=2026-01-31", 'For Tally'!L:L, $B$5:$F$5))</f>
        <v>0</v>
      </c>
      <c r="L39" s="135">
        <f>SUMPRODUCT(SUMIFS('For Tally'!C:C, 'For Tally'!H:H, $A39, 'For Tally'!A:A, "&gt;=2026-02-01", 'For Tally'!A:A, "&lt;=2026-02-28", 'For Tally'!L:L, $B$5:$F$5))</f>
        <v>0</v>
      </c>
      <c r="M39" s="135">
        <f>SUMPRODUCT(SUMIFS('For Tally'!C:C, 'For Tally'!H:H, $A39, 'For Tally'!A:A, "&gt;=2026-03-01", 'For Tally'!A:A, "&lt;=2026-03-31", 'For Tally'!L:L, $B$5:$F$5))</f>
        <v>0</v>
      </c>
      <c r="N39" s="135">
        <f>SUMPRODUCT(SUMIFS('For Tally'!C:C, 'For Tally'!H:H, $A39, 'For Tally'!A:A, "&gt;=2026-04-01", 'For Tally'!A:A, "&lt;=2026-04-30", 'For Tally'!L:L, $B$5:$F$5))</f>
        <v>0</v>
      </c>
      <c r="O39" s="135">
        <f t="shared" si="0"/>
        <v>1500</v>
      </c>
    </row>
    <row r="40" spans="1:15" x14ac:dyDescent="0.3">
      <c r="A40" s="135" t="s">
        <v>1735</v>
      </c>
      <c r="B40" s="135">
        <f>SUMPRODUCT(SUMIFS('For Tally'!C:C, 'For Tally'!H:H, $A40, 'For Tally'!A:A, "&gt;=2025-04-01", 'For Tally'!A:A, "&lt;=2025-04-30", 'For Tally'!L:L, $B$5:$F$5))</f>
        <v>0</v>
      </c>
      <c r="C40" s="135">
        <f>SUMPRODUCT(SUMIFS('For Tally'!C:C, 'For Tally'!H:H, $A40, 'For Tally'!A:A, "&gt;=2025-05-01", 'For Tally'!A:A, "&lt;=2025-05-31", 'For Tally'!L:L, $B$5:$F$5))</f>
        <v>40000</v>
      </c>
      <c r="D40" s="135">
        <f>SUMPRODUCT(SUMIFS('For Tally'!C:C, 'For Tally'!H:H, $A40, 'For Tally'!A:A, "&gt;=2025-06-01", 'For Tally'!A:A, "&lt;=2025-06-30", 'For Tally'!L:L, $B$5:$F$5))</f>
        <v>0</v>
      </c>
      <c r="E40" s="135">
        <f>SUMPRODUCT(SUMIFS('For Tally'!C:C, 'For Tally'!H:H, $A40, 'For Tally'!A:A, "&gt;=2025-07-01", 'For Tally'!A:A, "&lt;=2025-07-31", 'For Tally'!L:L, $B$5:$F$5))</f>
        <v>50000</v>
      </c>
      <c r="F40" s="135">
        <f>SUMPRODUCT(SUMIFS('For Tally'!C:C, 'For Tally'!H:H, $A40, 'For Tally'!A:A, "&gt;=2025-08-01", 'For Tally'!A:A, "&lt;=2025-08-31", 'For Tally'!L:L, $B$5:$F$5))</f>
        <v>47000</v>
      </c>
      <c r="G40" s="135">
        <f>SUMPRODUCT(SUMIFS('For Tally'!C:C, 'For Tally'!H:H, $A40, 'For Tally'!A:A, "&gt;=2025-09-01", 'For Tally'!A:A, "&lt;=2025-09-30", 'For Tally'!L:L, $B$5:$F$5))</f>
        <v>15000</v>
      </c>
      <c r="H40" s="135">
        <f>SUMPRODUCT(SUMIFS('For Tally'!C:C, 'For Tally'!H:H, $A40, 'For Tally'!A:A, "&gt;=2025-10-01", 'For Tally'!A:A, "&lt;=2025-10-31", 'For Tally'!L:L, $B$5:$F$5))</f>
        <v>0</v>
      </c>
      <c r="I40" s="135">
        <f>SUMPRODUCT(SUMIFS('For Tally'!C:C, 'For Tally'!H:H, $A40, 'For Tally'!A:A, "&gt;=2025-11-01", 'For Tally'!A:A, "&lt;=2025-11-30", 'For Tally'!L:L, $B$5:$F$5))</f>
        <v>0</v>
      </c>
      <c r="J40" s="135">
        <f>SUMPRODUCT(SUMIFS('For Tally'!C:C, 'For Tally'!H:H, $A40, 'For Tally'!A:A, "&gt;=2025-12-01", 'For Tally'!A:A, "&lt;=2025-12-31", 'For Tally'!L:L, $B$5:$F$5))</f>
        <v>0</v>
      </c>
      <c r="K40" s="135">
        <f>SUMPRODUCT(SUMIFS('For Tally'!C:C, 'For Tally'!H:H, $A40, 'For Tally'!A:A, "&gt;=2026-01-01", 'For Tally'!A:A, "&lt;=2026-01-31", 'For Tally'!L:L, $B$5:$F$5))</f>
        <v>23000</v>
      </c>
      <c r="L40" s="135">
        <f>SUMPRODUCT(SUMIFS('For Tally'!C:C, 'For Tally'!H:H, $A40, 'For Tally'!A:A, "&gt;=2026-02-01", 'For Tally'!A:A, "&lt;=2026-02-28", 'For Tally'!L:L, $B$5:$F$5))</f>
        <v>0</v>
      </c>
      <c r="M40" s="135">
        <f>SUMPRODUCT(SUMIFS('For Tally'!C:C, 'For Tally'!H:H, $A40, 'For Tally'!A:A, "&gt;=2026-03-01", 'For Tally'!A:A, "&lt;=2026-03-31", 'For Tally'!L:L, $B$5:$F$5))</f>
        <v>33000</v>
      </c>
      <c r="N40" s="135">
        <f>SUMPRODUCT(SUMIFS('For Tally'!C:C, 'For Tally'!H:H, $A40, 'For Tally'!A:A, "&gt;=2026-04-01", 'For Tally'!A:A, "&lt;=2026-04-30", 'For Tally'!L:L, $B$5:$F$5))</f>
        <v>0</v>
      </c>
      <c r="O40" s="135">
        <f t="shared" si="0"/>
        <v>208000</v>
      </c>
    </row>
    <row r="41" spans="1:15" x14ac:dyDescent="0.3">
      <c r="A41" s="176" t="s">
        <v>2524</v>
      </c>
      <c r="B41" s="176">
        <f t="shared" ref="B41:O41" si="1">SUM(B8:B40)</f>
        <v>267138.90000000002</v>
      </c>
      <c r="C41" s="176">
        <f t="shared" si="1"/>
        <v>425709.94</v>
      </c>
      <c r="D41" s="176">
        <f t="shared" si="1"/>
        <v>210901.48</v>
      </c>
      <c r="E41" s="176">
        <f t="shared" si="1"/>
        <v>402673.43999999994</v>
      </c>
      <c r="F41" s="176">
        <f t="shared" si="1"/>
        <v>308808.92999999993</v>
      </c>
      <c r="G41" s="176">
        <f t="shared" si="1"/>
        <v>497611.73</v>
      </c>
      <c r="H41" s="176">
        <f t="shared" si="1"/>
        <v>775044.20000000007</v>
      </c>
      <c r="I41" s="176">
        <f t="shared" si="1"/>
        <v>170473.52</v>
      </c>
      <c r="J41" s="176">
        <f t="shared" si="1"/>
        <v>233424.25</v>
      </c>
      <c r="K41" s="176">
        <f t="shared" si="1"/>
        <v>386136.31</v>
      </c>
      <c r="L41" s="176">
        <f t="shared" si="1"/>
        <v>123060.67000000001</v>
      </c>
      <c r="M41" s="176">
        <f t="shared" si="1"/>
        <v>316233.32999999996</v>
      </c>
      <c r="N41" s="176">
        <f t="shared" si="1"/>
        <v>0</v>
      </c>
      <c r="O41" s="176">
        <f t="shared" si="1"/>
        <v>4117216.6999999997</v>
      </c>
    </row>
    <row r="43" spans="1:15" x14ac:dyDescent="0.3">
      <c r="A43" s="177" t="s">
        <v>2525</v>
      </c>
      <c r="B43" s="177" t="s">
        <v>2511</v>
      </c>
      <c r="C43" s="177" t="s">
        <v>2512</v>
      </c>
      <c r="D43" s="177" t="s">
        <v>2513</v>
      </c>
      <c r="E43" s="177" t="s">
        <v>2514</v>
      </c>
      <c r="F43" s="177" t="s">
        <v>2515</v>
      </c>
      <c r="G43" s="177" t="s">
        <v>2516</v>
      </c>
      <c r="H43" s="177" t="s">
        <v>2517</v>
      </c>
      <c r="I43" s="177" t="s">
        <v>2518</v>
      </c>
      <c r="J43" s="177" t="s">
        <v>2519</v>
      </c>
      <c r="K43" s="177" t="s">
        <v>2520</v>
      </c>
      <c r="L43" s="177" t="s">
        <v>2521</v>
      </c>
      <c r="M43" s="177" t="s">
        <v>2522</v>
      </c>
      <c r="N43" s="177" t="s">
        <v>2523</v>
      </c>
      <c r="O43" s="177" t="s">
        <v>2495</v>
      </c>
    </row>
    <row r="44" spans="1:15" x14ac:dyDescent="0.3">
      <c r="A44" s="135" t="s">
        <v>1680</v>
      </c>
      <c r="B44" s="135">
        <f>SUMPRODUCT(SUMIFS('For Tally'!D:D, 'For Tally'!H:H, $A44, 'For Tally'!A:A, "&gt;=2025-04-01", 'For Tally'!A:A, "&lt;=2025-04-30", 'For Tally'!L:L, $B$5:$F$5))</f>
        <v>65002</v>
      </c>
      <c r="C44" s="135">
        <f>SUMPRODUCT(SUMIFS('For Tally'!D:D, 'For Tally'!H:H, $A44, 'For Tally'!A:A, "&gt;=2025-05-01", 'For Tally'!A:A, "&lt;=2025-05-31", 'For Tally'!L:L, $B$5:$F$5))</f>
        <v>72002</v>
      </c>
      <c r="D44" s="135">
        <f>SUMPRODUCT(SUMIFS('For Tally'!D:D, 'For Tally'!H:H, $A44, 'For Tally'!A:A, "&gt;=2025-06-01", 'For Tally'!A:A, "&lt;=2025-06-30", 'For Tally'!L:L, $B$5:$F$5))</f>
        <v>60000</v>
      </c>
      <c r="E44" s="135">
        <f>SUMPRODUCT(SUMIFS('For Tally'!D:D, 'For Tally'!H:H, $A44, 'For Tally'!A:A, "&gt;=2025-07-01", 'For Tally'!A:A, "&lt;=2025-07-31", 'For Tally'!L:L, $B$5:$F$5))</f>
        <v>22000</v>
      </c>
      <c r="F44" s="135">
        <f>SUMPRODUCT(SUMIFS('For Tally'!D:D, 'For Tally'!H:H, $A44, 'For Tally'!A:A, "&gt;=2025-08-01", 'For Tally'!A:A, "&lt;=2025-08-31", 'For Tally'!L:L, $B$5:$F$5))</f>
        <v>54000</v>
      </c>
      <c r="G44" s="135">
        <f>SUMPRODUCT(SUMIFS('For Tally'!D:D, 'For Tally'!H:H, $A44, 'For Tally'!A:A, "&gt;=2025-09-01", 'For Tally'!A:A, "&lt;=2025-09-30", 'For Tally'!L:L, $B$5:$F$5))</f>
        <v>65000</v>
      </c>
      <c r="H44" s="135">
        <f>SUMPRODUCT(SUMIFS('For Tally'!D:D, 'For Tally'!H:H, $A44, 'For Tally'!A:A, "&gt;=2025-10-01", 'For Tally'!A:A, "&lt;=2025-10-31", 'For Tally'!L:L, $B$5:$F$5))</f>
        <v>0</v>
      </c>
      <c r="I44" s="135">
        <f>SUMPRODUCT(SUMIFS('For Tally'!D:D, 'For Tally'!H:H, $A44, 'For Tally'!A:A, "&gt;=2025-11-01", 'For Tally'!A:A, "&lt;=2025-11-30", 'For Tally'!L:L, $B$5:$F$5))</f>
        <v>20000</v>
      </c>
      <c r="J44" s="135">
        <f>SUMPRODUCT(SUMIFS('For Tally'!D:D, 'For Tally'!H:H, $A44, 'For Tally'!A:A, "&gt;=2025-12-01", 'For Tally'!A:A, "&lt;=2025-12-31", 'For Tally'!L:L, $B$5:$F$5))</f>
        <v>8000</v>
      </c>
      <c r="K44" s="135">
        <f>SUMPRODUCT(SUMIFS('For Tally'!D:D, 'For Tally'!H:H, $A44, 'For Tally'!A:A, "&gt;=2026-01-01", 'For Tally'!A:A, "&lt;=2026-01-31", 'For Tally'!L:L, $B$5:$F$5))</f>
        <v>52194</v>
      </c>
      <c r="L44" s="135">
        <f>SUMPRODUCT(SUMIFS('For Tally'!D:D, 'For Tally'!H:H, $A44, 'For Tally'!A:A, "&gt;=2026-02-01", 'For Tally'!A:A, "&lt;=2026-02-28", 'For Tally'!L:L, $B$5:$F$5))</f>
        <v>15638.970000000001</v>
      </c>
      <c r="M44" s="135">
        <f>SUMPRODUCT(SUMIFS('For Tally'!D:D, 'For Tally'!H:H, $A44, 'For Tally'!A:A, "&gt;=2026-03-01", 'For Tally'!A:A, "&lt;=2026-03-31", 'For Tally'!L:L, $B$5:$F$5))</f>
        <v>15000</v>
      </c>
      <c r="N44" s="135">
        <f>SUMPRODUCT(SUMIFS('For Tally'!D:D, 'For Tally'!H:H, $A44, 'For Tally'!A:A, "&gt;=2026-04-01", 'For Tally'!A:A, "&lt;=2026-04-30", 'For Tally'!L:L, $B$5:$F$5))</f>
        <v>0</v>
      </c>
      <c r="O44" s="135">
        <f t="shared" ref="O44:O67" si="2">SUM(B44:N44)</f>
        <v>448836.97</v>
      </c>
    </row>
    <row r="45" spans="1:15" x14ac:dyDescent="0.3">
      <c r="A45" s="135" t="s">
        <v>157</v>
      </c>
      <c r="B45" s="135">
        <f>SUMPRODUCT(SUMIFS('For Tally'!D:D, 'For Tally'!H:H, $A45, 'For Tally'!A:A, "&gt;=2025-04-01", 'For Tally'!A:A, "&lt;=2025-04-30", 'For Tally'!L:L, $B$5:$F$5))</f>
        <v>0</v>
      </c>
      <c r="C45" s="135">
        <f>SUMPRODUCT(SUMIFS('For Tally'!D:D, 'For Tally'!H:H, $A45, 'For Tally'!A:A, "&gt;=2025-05-01", 'For Tally'!A:A, "&lt;=2025-05-31", 'For Tally'!L:L, $B$5:$F$5))</f>
        <v>100000</v>
      </c>
      <c r="D45" s="135">
        <f>SUMPRODUCT(SUMIFS('For Tally'!D:D, 'For Tally'!H:H, $A45, 'For Tally'!A:A, "&gt;=2025-06-01", 'For Tally'!A:A, "&lt;=2025-06-30", 'For Tally'!L:L, $B$5:$F$5))</f>
        <v>0</v>
      </c>
      <c r="E45" s="135">
        <f>SUMPRODUCT(SUMIFS('For Tally'!D:D, 'For Tally'!H:H, $A45, 'For Tally'!A:A, "&gt;=2025-07-01", 'For Tally'!A:A, "&lt;=2025-07-31", 'For Tally'!L:L, $B$5:$F$5))</f>
        <v>0</v>
      </c>
      <c r="F45" s="135">
        <f>SUMPRODUCT(SUMIFS('For Tally'!D:D, 'For Tally'!H:H, $A45, 'For Tally'!A:A, "&gt;=2025-08-01", 'For Tally'!A:A, "&lt;=2025-08-31", 'For Tally'!L:L, $B$5:$F$5))</f>
        <v>0</v>
      </c>
      <c r="G45" s="135">
        <f>SUMPRODUCT(SUMIFS('For Tally'!D:D, 'For Tally'!H:H, $A45, 'For Tally'!A:A, "&gt;=2025-09-01", 'For Tally'!A:A, "&lt;=2025-09-30", 'For Tally'!L:L, $B$5:$F$5))</f>
        <v>68000</v>
      </c>
      <c r="H45" s="135">
        <f>SUMPRODUCT(SUMIFS('For Tally'!D:D, 'For Tally'!H:H, $A45, 'For Tally'!A:A, "&gt;=2025-10-01", 'For Tally'!A:A, "&lt;=2025-10-31", 'For Tally'!L:L, $B$5:$F$5))</f>
        <v>140000</v>
      </c>
      <c r="I45" s="135">
        <f>SUMPRODUCT(SUMIFS('For Tally'!D:D, 'For Tally'!H:H, $A45, 'For Tally'!A:A, "&gt;=2025-11-01", 'For Tally'!A:A, "&lt;=2025-11-30", 'For Tally'!L:L, $B$5:$F$5))</f>
        <v>0</v>
      </c>
      <c r="J45" s="135">
        <f>SUMPRODUCT(SUMIFS('For Tally'!D:D, 'For Tally'!H:H, $A45, 'For Tally'!A:A, "&gt;=2025-12-01", 'For Tally'!A:A, "&lt;=2025-12-31", 'For Tally'!L:L, $B$5:$F$5))</f>
        <v>0</v>
      </c>
      <c r="K45" s="135">
        <f>SUMPRODUCT(SUMIFS('For Tally'!D:D, 'For Tally'!H:H, $A45, 'For Tally'!A:A, "&gt;=2026-01-01", 'For Tally'!A:A, "&lt;=2026-01-31", 'For Tally'!L:L, $B$5:$F$5))</f>
        <v>0</v>
      </c>
      <c r="L45" s="135">
        <f>SUMPRODUCT(SUMIFS('For Tally'!D:D, 'For Tally'!H:H, $A45, 'For Tally'!A:A, "&gt;=2026-02-01", 'For Tally'!A:A, "&lt;=2026-02-28", 'For Tally'!L:L, $B$5:$F$5))</f>
        <v>0</v>
      </c>
      <c r="M45" s="135">
        <f>SUMPRODUCT(SUMIFS('For Tally'!D:D, 'For Tally'!H:H, $A45, 'For Tally'!A:A, "&gt;=2026-03-01", 'For Tally'!A:A, "&lt;=2026-03-31", 'For Tally'!L:L, $B$5:$F$5))</f>
        <v>85000</v>
      </c>
      <c r="N45" s="135">
        <f>SUMPRODUCT(SUMIFS('For Tally'!D:D, 'For Tally'!H:H, $A45, 'For Tally'!A:A, "&gt;=2026-04-01", 'For Tally'!A:A, "&lt;=2026-04-30", 'For Tally'!L:L, $B$5:$F$5))</f>
        <v>0</v>
      </c>
      <c r="O45" s="135">
        <f t="shared" si="2"/>
        <v>393000</v>
      </c>
    </row>
    <row r="46" spans="1:15" x14ac:dyDescent="0.3">
      <c r="A46" s="135" t="s">
        <v>63</v>
      </c>
      <c r="B46" s="135">
        <f>SUMPRODUCT(SUMIFS('For Tally'!D:D, 'For Tally'!H:H, $A46, 'For Tally'!A:A, "&gt;=2025-04-01", 'For Tally'!A:A, "&lt;=2025-04-30", 'For Tally'!L:L, $B$5:$F$5))</f>
        <v>1880</v>
      </c>
      <c r="C46" s="135">
        <f>SUMPRODUCT(SUMIFS('For Tally'!D:D, 'For Tally'!H:H, $A46, 'For Tally'!A:A, "&gt;=2025-05-01", 'For Tally'!A:A, "&lt;=2025-05-31", 'For Tally'!L:L, $B$5:$F$5))</f>
        <v>1880</v>
      </c>
      <c r="D46" s="135">
        <f>SUMPRODUCT(SUMIFS('For Tally'!D:D, 'For Tally'!H:H, $A46, 'For Tally'!A:A, "&gt;=2025-06-01", 'For Tally'!A:A, "&lt;=2025-06-30", 'For Tally'!L:L, $B$5:$F$5))</f>
        <v>1880</v>
      </c>
      <c r="E46" s="135">
        <f>SUMPRODUCT(SUMIFS('For Tally'!D:D, 'For Tally'!H:H, $A46, 'For Tally'!A:A, "&gt;=2025-07-01", 'For Tally'!A:A, "&lt;=2025-07-31", 'For Tally'!L:L, $B$5:$F$5))</f>
        <v>1880</v>
      </c>
      <c r="F46" s="135">
        <f>SUMPRODUCT(SUMIFS('For Tally'!D:D, 'For Tally'!H:H, $A46, 'For Tally'!A:A, "&gt;=2025-08-01", 'For Tally'!A:A, "&lt;=2025-08-31", 'For Tally'!L:L, $B$5:$F$5))</f>
        <v>1880</v>
      </c>
      <c r="G46" s="135">
        <f>SUMPRODUCT(SUMIFS('For Tally'!D:D, 'For Tally'!H:H, $A46, 'For Tally'!A:A, "&gt;=2025-09-01", 'For Tally'!A:A, "&lt;=2025-09-30", 'For Tally'!L:L, $B$5:$F$5))</f>
        <v>1880</v>
      </c>
      <c r="H46" s="135">
        <f>SUMPRODUCT(SUMIFS('For Tally'!D:D, 'For Tally'!H:H, $A46, 'For Tally'!A:A, "&gt;=2025-10-01", 'For Tally'!A:A, "&lt;=2025-10-31", 'For Tally'!L:L, $B$5:$F$5))</f>
        <v>1880</v>
      </c>
      <c r="I46" s="135">
        <f>SUMPRODUCT(SUMIFS('For Tally'!D:D, 'For Tally'!H:H, $A46, 'For Tally'!A:A, "&gt;=2025-11-01", 'For Tally'!A:A, "&lt;=2025-11-30", 'For Tally'!L:L, $B$5:$F$5))</f>
        <v>1880</v>
      </c>
      <c r="J46" s="135">
        <f>SUMPRODUCT(SUMIFS('For Tally'!D:D, 'For Tally'!H:H, $A46, 'For Tally'!A:A, "&gt;=2025-12-01", 'For Tally'!A:A, "&lt;=2025-12-31", 'For Tally'!L:L, $B$5:$F$5))</f>
        <v>1880</v>
      </c>
      <c r="K46" s="135">
        <f>SUMPRODUCT(SUMIFS('For Tally'!D:D, 'For Tally'!H:H, $A46, 'For Tally'!A:A, "&gt;=2026-01-01", 'For Tally'!A:A, "&lt;=2026-01-31", 'For Tally'!L:L, $B$5:$F$5))</f>
        <v>1880</v>
      </c>
      <c r="L46" s="135">
        <f>SUMPRODUCT(SUMIFS('For Tally'!D:D, 'For Tally'!H:H, $A46, 'For Tally'!A:A, "&gt;=2026-02-01", 'For Tally'!A:A, "&lt;=2026-02-28", 'For Tally'!L:L, $B$5:$F$5))</f>
        <v>1880</v>
      </c>
      <c r="M46" s="135">
        <f>SUMPRODUCT(SUMIFS('For Tally'!D:D, 'For Tally'!H:H, $A46, 'For Tally'!A:A, "&gt;=2026-03-01", 'For Tally'!A:A, "&lt;=2026-03-31", 'For Tally'!L:L, $B$5:$F$5))</f>
        <v>1880</v>
      </c>
      <c r="N46" s="135">
        <f>SUMPRODUCT(SUMIFS('For Tally'!D:D, 'For Tally'!H:H, $A46, 'For Tally'!A:A, "&gt;=2026-04-01", 'For Tally'!A:A, "&lt;=2026-04-30", 'For Tally'!L:L, $B$5:$F$5))</f>
        <v>0</v>
      </c>
      <c r="O46" s="135">
        <f t="shared" si="2"/>
        <v>22560</v>
      </c>
    </row>
    <row r="47" spans="1:15" x14ac:dyDescent="0.3">
      <c r="A47" s="135" t="s">
        <v>181</v>
      </c>
      <c r="B47" s="135">
        <f>SUMPRODUCT(SUMIFS('For Tally'!D:D, 'For Tally'!H:H, $A47, 'For Tally'!A:A, "&gt;=2025-04-01", 'For Tally'!A:A, "&lt;=2025-04-30", 'For Tally'!L:L, $B$5:$F$5))</f>
        <v>0</v>
      </c>
      <c r="C47" s="135">
        <f>SUMPRODUCT(SUMIFS('For Tally'!D:D, 'For Tally'!H:H, $A47, 'For Tally'!A:A, "&gt;=2025-05-01", 'For Tally'!A:A, "&lt;=2025-05-31", 'For Tally'!L:L, $B$5:$F$5))</f>
        <v>0</v>
      </c>
      <c r="D47" s="135">
        <f>SUMPRODUCT(SUMIFS('For Tally'!D:D, 'For Tally'!H:H, $A47, 'For Tally'!A:A, "&gt;=2025-06-01", 'For Tally'!A:A, "&lt;=2025-06-30", 'For Tally'!L:L, $B$5:$F$5))</f>
        <v>10000</v>
      </c>
      <c r="E47" s="135">
        <f>SUMPRODUCT(SUMIFS('For Tally'!D:D, 'For Tally'!H:H, $A47, 'For Tally'!A:A, "&gt;=2025-07-01", 'For Tally'!A:A, "&lt;=2025-07-31", 'For Tally'!L:L, $B$5:$F$5))</f>
        <v>0</v>
      </c>
      <c r="F47" s="135">
        <f>SUMPRODUCT(SUMIFS('For Tally'!D:D, 'For Tally'!H:H, $A47, 'For Tally'!A:A, "&gt;=2025-08-01", 'For Tally'!A:A, "&lt;=2025-08-31", 'For Tally'!L:L, $B$5:$F$5))</f>
        <v>0</v>
      </c>
      <c r="G47" s="135">
        <f>SUMPRODUCT(SUMIFS('For Tally'!D:D, 'For Tally'!H:H, $A47, 'For Tally'!A:A, "&gt;=2025-09-01", 'For Tally'!A:A, "&lt;=2025-09-30", 'For Tally'!L:L, $B$5:$F$5))</f>
        <v>10</v>
      </c>
      <c r="H47" s="135">
        <f>SUMPRODUCT(SUMIFS('For Tally'!D:D, 'For Tally'!H:H, $A47, 'For Tally'!A:A, "&gt;=2025-10-01", 'For Tally'!A:A, "&lt;=2025-10-31", 'For Tally'!L:L, $B$5:$F$5))</f>
        <v>0</v>
      </c>
      <c r="I47" s="135">
        <f>SUMPRODUCT(SUMIFS('For Tally'!D:D, 'For Tally'!H:H, $A47, 'For Tally'!A:A, "&gt;=2025-11-01", 'For Tally'!A:A, "&lt;=2025-11-30", 'For Tally'!L:L, $B$5:$F$5))</f>
        <v>0</v>
      </c>
      <c r="J47" s="135">
        <f>SUMPRODUCT(SUMIFS('For Tally'!D:D, 'For Tally'!H:H, $A47, 'For Tally'!A:A, "&gt;=2025-12-01", 'For Tally'!A:A, "&lt;=2025-12-31", 'For Tally'!L:L, $B$5:$F$5))</f>
        <v>10000</v>
      </c>
      <c r="K47" s="135">
        <f>SUMPRODUCT(SUMIFS('For Tally'!D:D, 'For Tally'!H:H, $A47, 'For Tally'!A:A, "&gt;=2026-01-01", 'For Tally'!A:A, "&lt;=2026-01-31", 'For Tally'!L:L, $B$5:$F$5))</f>
        <v>0</v>
      </c>
      <c r="L47" s="135">
        <f>SUMPRODUCT(SUMIFS('For Tally'!D:D, 'For Tally'!H:H, $A47, 'For Tally'!A:A, "&gt;=2026-02-01", 'For Tally'!A:A, "&lt;=2026-02-28", 'For Tally'!L:L, $B$5:$F$5))</f>
        <v>101</v>
      </c>
      <c r="M47" s="135">
        <f>SUMPRODUCT(SUMIFS('For Tally'!D:D, 'For Tally'!H:H, $A47, 'For Tally'!A:A, "&gt;=2026-03-01", 'For Tally'!A:A, "&lt;=2026-03-31", 'For Tally'!L:L, $B$5:$F$5))</f>
        <v>0</v>
      </c>
      <c r="N47" s="135">
        <f>SUMPRODUCT(SUMIFS('For Tally'!D:D, 'For Tally'!H:H, $A47, 'For Tally'!A:A, "&gt;=2026-04-01", 'For Tally'!A:A, "&lt;=2026-04-30", 'For Tally'!L:L, $B$5:$F$5))</f>
        <v>0</v>
      </c>
      <c r="O47" s="135">
        <f t="shared" si="2"/>
        <v>20111</v>
      </c>
    </row>
    <row r="48" spans="1:15" x14ac:dyDescent="0.3">
      <c r="A48" s="56" t="s">
        <v>22</v>
      </c>
      <c r="B48" s="56">
        <f>SUMPRODUCT(SUMIFS('For Tally'!D:D, 'For Tally'!H:H, $A48, 'For Tally'!A:A, "&gt;=2025-04-01", 'For Tally'!A:A, "&lt;=2025-04-30", 'For Tally'!L:L, $B$5:$F$5))</f>
        <v>0</v>
      </c>
      <c r="C48" s="56">
        <f>SUMPRODUCT(SUMIFS('For Tally'!D:D, 'For Tally'!H:H, $A48, 'For Tally'!A:A, "&gt;=2025-05-01", 'For Tally'!A:A, "&lt;=2025-05-31", 'For Tally'!L:L, $B$5:$F$5))</f>
        <v>1</v>
      </c>
      <c r="D48" s="56">
        <f>SUMPRODUCT(SUMIFS('For Tally'!D:D, 'For Tally'!H:H, $A48, 'For Tally'!A:A, "&gt;=2025-06-01", 'For Tally'!A:A, "&lt;=2025-06-30", 'For Tally'!L:L, $B$5:$F$5))</f>
        <v>82</v>
      </c>
      <c r="E48" s="56">
        <f>SUMPRODUCT(SUMIFS('For Tally'!D:D, 'For Tally'!H:H, $A48, 'For Tally'!A:A, "&gt;=2025-07-01", 'For Tally'!A:A, "&lt;=2025-07-31", 'For Tally'!L:L, $B$5:$F$5))</f>
        <v>1014</v>
      </c>
      <c r="F48" s="56">
        <f>SUMPRODUCT(SUMIFS('For Tally'!D:D, 'For Tally'!H:H, $A48, 'For Tally'!A:A, "&gt;=2025-08-01", 'For Tally'!A:A, "&lt;=2025-08-31", 'For Tally'!L:L, $B$5:$F$5))</f>
        <v>1</v>
      </c>
      <c r="G48" s="56">
        <f>SUMPRODUCT(SUMIFS('For Tally'!D:D, 'For Tally'!H:H, $A48, 'For Tally'!A:A, "&gt;=2025-09-01", 'For Tally'!A:A, "&lt;=2025-09-30", 'For Tally'!L:L, $B$5:$F$5))</f>
        <v>135</v>
      </c>
      <c r="H48" s="56">
        <f>SUMPRODUCT(SUMIFS('For Tally'!D:D, 'For Tally'!H:H, $A48, 'For Tally'!A:A, "&gt;=2025-10-01", 'For Tally'!A:A, "&lt;=2025-10-31", 'For Tally'!L:L, $B$5:$F$5))</f>
        <v>802</v>
      </c>
      <c r="I48" s="56">
        <f>SUMPRODUCT(SUMIFS('For Tally'!D:D, 'For Tally'!H:H, $A48, 'For Tally'!A:A, "&gt;=2025-11-01", 'For Tally'!A:A, "&lt;=2025-11-30", 'For Tally'!L:L, $B$5:$F$5))</f>
        <v>0</v>
      </c>
      <c r="J48" s="56">
        <f>SUMPRODUCT(SUMIFS('For Tally'!D:D, 'For Tally'!H:H, $A48, 'For Tally'!A:A, "&gt;=2025-12-01", 'For Tally'!A:A, "&lt;=2025-12-31", 'For Tally'!L:L, $B$5:$F$5))</f>
        <v>60</v>
      </c>
      <c r="K48" s="56">
        <f>SUMPRODUCT(SUMIFS('For Tally'!D:D, 'For Tally'!H:H, $A48, 'For Tally'!A:A, "&gt;=2026-01-01", 'For Tally'!A:A, "&lt;=2026-01-31", 'For Tally'!L:L, $B$5:$F$5))</f>
        <v>729</v>
      </c>
      <c r="L48" s="56">
        <f>SUMPRODUCT(SUMIFS('For Tally'!D:D, 'For Tally'!H:H, $A48, 'For Tally'!A:A, "&gt;=2026-02-01", 'For Tally'!A:A, "&lt;=2026-02-28", 'For Tally'!L:L, $B$5:$F$5))</f>
        <v>0</v>
      </c>
      <c r="M48" s="56">
        <f>SUMPRODUCT(SUMIFS('For Tally'!D:D, 'For Tally'!H:H, $A48, 'For Tally'!A:A, "&gt;=2026-03-01", 'For Tally'!A:A, "&lt;=2026-03-31", 'For Tally'!L:L, $B$5:$F$5))</f>
        <v>339</v>
      </c>
      <c r="N48" s="56">
        <f>SUMPRODUCT(SUMIFS('For Tally'!D:D, 'For Tally'!H:H, $A48, 'For Tally'!A:A, "&gt;=2026-04-01", 'For Tally'!A:A, "&lt;=2026-04-30", 'For Tally'!L:L, $B$5:$F$5))</f>
        <v>227</v>
      </c>
      <c r="O48" s="56">
        <f t="shared" si="2"/>
        <v>3390</v>
      </c>
    </row>
    <row r="49" spans="1:15" x14ac:dyDescent="0.3">
      <c r="A49" s="135" t="s">
        <v>2048</v>
      </c>
      <c r="B49" s="135">
        <f>SUMPRODUCT(SUMIFS('For Tally'!D:D, 'For Tally'!H:H, $A49, 'For Tally'!A:A, "&gt;=2025-04-01", 'For Tally'!A:A, "&lt;=2025-04-30", 'For Tally'!L:L, $B$5:$F$5))</f>
        <v>0</v>
      </c>
      <c r="C49" s="135">
        <f>SUMPRODUCT(SUMIFS('For Tally'!D:D, 'For Tally'!H:H, $A49, 'For Tally'!A:A, "&gt;=2025-05-01", 'For Tally'!A:A, "&lt;=2025-05-31", 'For Tally'!L:L, $B$5:$F$5))</f>
        <v>0</v>
      </c>
      <c r="D49" s="135">
        <f>SUMPRODUCT(SUMIFS('For Tally'!D:D, 'For Tally'!H:H, $A49, 'For Tally'!A:A, "&gt;=2025-06-01", 'For Tally'!A:A, "&lt;=2025-06-30", 'For Tally'!L:L, $B$5:$F$5))</f>
        <v>122.22</v>
      </c>
      <c r="E49" s="135">
        <f>SUMPRODUCT(SUMIFS('For Tally'!D:D, 'For Tally'!H:H, $A49, 'For Tally'!A:A, "&gt;=2025-07-01", 'For Tally'!A:A, "&lt;=2025-07-31", 'For Tally'!L:L, $B$5:$F$5))</f>
        <v>0</v>
      </c>
      <c r="F49" s="135">
        <f>SUMPRODUCT(SUMIFS('For Tally'!D:D, 'For Tally'!H:H, $A49, 'For Tally'!A:A, "&gt;=2025-08-01", 'For Tally'!A:A, "&lt;=2025-08-31", 'For Tally'!L:L, $B$5:$F$5))</f>
        <v>0</v>
      </c>
      <c r="G49" s="135">
        <f>SUMPRODUCT(SUMIFS('For Tally'!D:D, 'For Tally'!H:H, $A49, 'For Tally'!A:A, "&gt;=2025-09-01", 'For Tally'!A:A, "&lt;=2025-09-30", 'For Tally'!L:L, $B$5:$F$5))</f>
        <v>0</v>
      </c>
      <c r="H49" s="135">
        <f>SUMPRODUCT(SUMIFS('For Tally'!D:D, 'For Tally'!H:H, $A49, 'For Tally'!A:A, "&gt;=2025-10-01", 'For Tally'!A:A, "&lt;=2025-10-31", 'For Tally'!L:L, $B$5:$F$5))</f>
        <v>0</v>
      </c>
      <c r="I49" s="135">
        <f>SUMPRODUCT(SUMIFS('For Tally'!D:D, 'For Tally'!H:H, $A49, 'For Tally'!A:A, "&gt;=2025-11-01", 'For Tally'!A:A, "&lt;=2025-11-30", 'For Tally'!L:L, $B$5:$F$5))</f>
        <v>0</v>
      </c>
      <c r="J49" s="135">
        <f>SUMPRODUCT(SUMIFS('For Tally'!D:D, 'For Tally'!H:H, $A49, 'For Tally'!A:A, "&gt;=2025-12-01", 'For Tally'!A:A, "&lt;=2025-12-31", 'For Tally'!L:L, $B$5:$F$5))</f>
        <v>122.22</v>
      </c>
      <c r="K49" s="135">
        <f>SUMPRODUCT(SUMIFS('For Tally'!D:D, 'For Tally'!H:H, $A49, 'For Tally'!A:A, "&gt;=2026-01-01", 'For Tally'!A:A, "&lt;=2026-01-31", 'For Tally'!L:L, $B$5:$F$5))</f>
        <v>0</v>
      </c>
      <c r="L49" s="135">
        <f>SUMPRODUCT(SUMIFS('For Tally'!D:D, 'For Tally'!H:H, $A49, 'For Tally'!A:A, "&gt;=2026-02-01", 'For Tally'!A:A, "&lt;=2026-02-28", 'For Tally'!L:L, $B$5:$F$5))</f>
        <v>0</v>
      </c>
      <c r="M49" s="135">
        <f>SUMPRODUCT(SUMIFS('For Tally'!D:D, 'For Tally'!H:H, $A49, 'For Tally'!A:A, "&gt;=2026-03-01", 'For Tally'!A:A, "&lt;=2026-03-31", 'For Tally'!L:L, $B$5:$F$5))</f>
        <v>0</v>
      </c>
      <c r="N49" s="135">
        <f>SUMPRODUCT(SUMIFS('For Tally'!D:D, 'For Tally'!H:H, $A49, 'For Tally'!A:A, "&gt;=2026-04-01", 'For Tally'!A:A, "&lt;=2026-04-30", 'For Tally'!L:L, $B$5:$F$5))</f>
        <v>0</v>
      </c>
      <c r="O49" s="135">
        <f t="shared" si="2"/>
        <v>244.44</v>
      </c>
    </row>
    <row r="50" spans="1:15" x14ac:dyDescent="0.3">
      <c r="A50" s="50" t="s">
        <v>17</v>
      </c>
      <c r="B50" s="50">
        <f>SUMPRODUCT(SUMIFS('For Tally'!D:D, 'For Tally'!H:H, $A50, 'For Tally'!A:A, "&gt;=2025-04-01", 'For Tally'!A:A, "&lt;=2025-04-30", 'For Tally'!L:L, $B$5:$F$5))</f>
        <v>0</v>
      </c>
      <c r="C50" s="50">
        <f>SUMPRODUCT(SUMIFS('For Tally'!D:D, 'For Tally'!H:H, $A50, 'For Tally'!A:A, "&gt;=2025-05-01", 'For Tally'!A:A, "&lt;=2025-05-31", 'For Tally'!L:L, $B$5:$F$5))</f>
        <v>2965.5</v>
      </c>
      <c r="D50" s="50">
        <f>SUMPRODUCT(SUMIFS('For Tally'!D:D, 'For Tally'!H:H, $A50, 'For Tally'!A:A, "&gt;=2025-06-01", 'For Tally'!A:A, "&lt;=2025-06-30", 'For Tally'!L:L, $B$5:$F$5))</f>
        <v>1665</v>
      </c>
      <c r="E50" s="50">
        <f>SUMPRODUCT(SUMIFS('For Tally'!D:D, 'For Tally'!H:H, $A50, 'For Tally'!A:A, "&gt;=2025-07-01", 'For Tally'!A:A, "&lt;=2025-07-31", 'For Tally'!L:L, $B$5:$F$5))</f>
        <v>3588</v>
      </c>
      <c r="F50" s="50">
        <f>SUMPRODUCT(SUMIFS('For Tally'!D:D, 'For Tally'!H:H, $A50, 'For Tally'!A:A, "&gt;=2025-08-01", 'For Tally'!A:A, "&lt;=2025-08-31", 'For Tally'!L:L, $B$5:$F$5))</f>
        <v>11816</v>
      </c>
      <c r="G50" s="50">
        <f>SUMPRODUCT(SUMIFS('For Tally'!D:D, 'For Tally'!H:H, $A50, 'For Tally'!A:A, "&gt;=2025-09-01", 'For Tally'!A:A, "&lt;=2025-09-30", 'For Tally'!L:L, $B$5:$F$5))</f>
        <v>1724</v>
      </c>
      <c r="H50" s="50">
        <f>SUMPRODUCT(SUMIFS('For Tally'!D:D, 'For Tally'!H:H, $A50, 'For Tally'!A:A, "&gt;=2025-10-01", 'For Tally'!A:A, "&lt;=2025-10-31", 'For Tally'!L:L, $B$5:$F$5))</f>
        <v>775.5</v>
      </c>
      <c r="I50" s="50">
        <f>SUMPRODUCT(SUMIFS('For Tally'!D:D, 'For Tally'!H:H, $A50, 'For Tally'!A:A, "&gt;=2025-11-01", 'For Tally'!A:A, "&lt;=2025-11-30", 'For Tally'!L:L, $B$5:$F$5))</f>
        <v>2139</v>
      </c>
      <c r="J50" s="50">
        <f>SUMPRODUCT(SUMIFS('For Tally'!D:D, 'For Tally'!H:H, $A50, 'For Tally'!A:A, "&gt;=2025-12-01", 'For Tally'!A:A, "&lt;=2025-12-31", 'For Tally'!L:L, $B$5:$F$5))</f>
        <v>700</v>
      </c>
      <c r="K50" s="50">
        <f>SUMPRODUCT(SUMIFS('For Tally'!D:D, 'For Tally'!H:H, $A50, 'For Tally'!A:A, "&gt;=2026-01-01", 'For Tally'!A:A, "&lt;=2026-01-31", 'For Tally'!L:L, $B$5:$F$5))</f>
        <v>0</v>
      </c>
      <c r="L50" s="50">
        <f>SUMPRODUCT(SUMIFS('For Tally'!D:D, 'For Tally'!H:H, $A50, 'For Tally'!A:A, "&gt;=2026-02-01", 'For Tally'!A:A, "&lt;=2026-02-28", 'For Tally'!L:L, $B$5:$F$5))</f>
        <v>3855.75</v>
      </c>
      <c r="M50" s="50">
        <f>SUMPRODUCT(SUMIFS('For Tally'!D:D, 'For Tally'!H:H, $A50, 'For Tally'!A:A, "&gt;=2026-03-01", 'For Tally'!A:A, "&lt;=2026-03-31", 'For Tally'!L:L, $B$5:$F$5))</f>
        <v>0</v>
      </c>
      <c r="N50" s="50">
        <f>SUMPRODUCT(SUMIFS('For Tally'!D:D, 'For Tally'!H:H, $A50, 'For Tally'!A:A, "&gt;=2026-04-01", 'For Tally'!A:A, "&lt;=2026-04-30", 'For Tally'!L:L, $B$5:$F$5))</f>
        <v>0</v>
      </c>
      <c r="O50" s="50">
        <f t="shared" si="2"/>
        <v>29228.75</v>
      </c>
    </row>
    <row r="51" spans="1:15" x14ac:dyDescent="0.3">
      <c r="A51" s="135" t="s">
        <v>1779</v>
      </c>
      <c r="B51" s="135">
        <f>SUMPRODUCT(SUMIFS('For Tally'!D:D, 'For Tally'!H:H, $A51, 'For Tally'!A:A, "&gt;=2025-04-01", 'For Tally'!A:A, "&lt;=2025-04-30", 'For Tally'!L:L, $B$5:$F$5))</f>
        <v>0</v>
      </c>
      <c r="C51" s="135">
        <f>SUMPRODUCT(SUMIFS('For Tally'!D:D, 'For Tally'!H:H, $A51, 'For Tally'!A:A, "&gt;=2025-05-01", 'For Tally'!A:A, "&lt;=2025-05-31", 'For Tally'!L:L, $B$5:$F$5))</f>
        <v>0</v>
      </c>
      <c r="D51" s="135">
        <f>SUMPRODUCT(SUMIFS('For Tally'!D:D, 'For Tally'!H:H, $A51, 'For Tally'!A:A, "&gt;=2025-06-01", 'For Tally'!A:A, "&lt;=2025-06-30", 'For Tally'!L:L, $B$5:$F$5))</f>
        <v>0</v>
      </c>
      <c r="E51" s="135">
        <f>SUMPRODUCT(SUMIFS('For Tally'!D:D, 'For Tally'!H:H, $A51, 'For Tally'!A:A, "&gt;=2025-07-01", 'For Tally'!A:A, "&lt;=2025-07-31", 'For Tally'!L:L, $B$5:$F$5))</f>
        <v>0</v>
      </c>
      <c r="F51" s="135">
        <f>SUMPRODUCT(SUMIFS('For Tally'!D:D, 'For Tally'!H:H, $A51, 'For Tally'!A:A, "&gt;=2025-08-01", 'For Tally'!A:A, "&lt;=2025-08-31", 'For Tally'!L:L, $B$5:$F$5))</f>
        <v>0</v>
      </c>
      <c r="G51" s="135">
        <f>SUMPRODUCT(SUMIFS('For Tally'!D:D, 'For Tally'!H:H, $A51, 'For Tally'!A:A, "&gt;=2025-09-01", 'For Tally'!A:A, "&lt;=2025-09-30", 'For Tally'!L:L, $B$5:$F$5))</f>
        <v>0</v>
      </c>
      <c r="H51" s="135">
        <f>SUMPRODUCT(SUMIFS('For Tally'!D:D, 'For Tally'!H:H, $A51, 'For Tally'!A:A, "&gt;=2025-10-01", 'For Tally'!A:A, "&lt;=2025-10-31", 'For Tally'!L:L, $B$5:$F$5))</f>
        <v>0</v>
      </c>
      <c r="I51" s="135">
        <f>SUMPRODUCT(SUMIFS('For Tally'!D:D, 'For Tally'!H:H, $A51, 'For Tally'!A:A, "&gt;=2025-11-01", 'For Tally'!A:A, "&lt;=2025-11-30", 'For Tally'!L:L, $B$5:$F$5))</f>
        <v>0</v>
      </c>
      <c r="J51" s="135">
        <f>SUMPRODUCT(SUMIFS('For Tally'!D:D, 'For Tally'!H:H, $A51, 'For Tally'!A:A, "&gt;=2025-12-01", 'For Tally'!A:A, "&lt;=2025-12-31", 'For Tally'!L:L, $B$5:$F$5))</f>
        <v>0</v>
      </c>
      <c r="K51" s="135">
        <f>SUMPRODUCT(SUMIFS('For Tally'!D:D, 'For Tally'!H:H, $A51, 'For Tally'!A:A, "&gt;=2026-01-01", 'For Tally'!A:A, "&lt;=2026-01-31", 'For Tally'!L:L, $B$5:$F$5))</f>
        <v>50000</v>
      </c>
      <c r="L51" s="135">
        <f>SUMPRODUCT(SUMIFS('For Tally'!D:D, 'For Tally'!H:H, $A51, 'For Tally'!A:A, "&gt;=2026-02-01", 'For Tally'!A:A, "&lt;=2026-02-28", 'For Tally'!L:L, $B$5:$F$5))</f>
        <v>0</v>
      </c>
      <c r="M51" s="135">
        <f>SUMPRODUCT(SUMIFS('For Tally'!D:D, 'For Tally'!H:H, $A51, 'For Tally'!A:A, "&gt;=2026-03-01", 'For Tally'!A:A, "&lt;=2026-03-31", 'For Tally'!L:L, $B$5:$F$5))</f>
        <v>0</v>
      </c>
      <c r="N51" s="135">
        <f>SUMPRODUCT(SUMIFS('For Tally'!D:D, 'For Tally'!H:H, $A51, 'For Tally'!A:A, "&gt;=2026-04-01", 'For Tally'!A:A, "&lt;=2026-04-30", 'For Tally'!L:L, $B$5:$F$5))</f>
        <v>0</v>
      </c>
      <c r="O51" s="135">
        <f t="shared" si="2"/>
        <v>50000</v>
      </c>
    </row>
    <row r="52" spans="1:15" x14ac:dyDescent="0.3">
      <c r="A52" s="135" t="s">
        <v>49</v>
      </c>
      <c r="B52" s="135">
        <f>SUMPRODUCT(SUMIFS('For Tally'!D:D, 'For Tally'!H:H, $A52, 'For Tally'!A:A, "&gt;=2025-04-01", 'For Tally'!A:A, "&lt;=2025-04-30", 'For Tally'!L:L, $B$5:$F$5))</f>
        <v>87932.74</v>
      </c>
      <c r="C52" s="135">
        <f>SUMPRODUCT(SUMIFS('For Tally'!D:D, 'For Tally'!H:H, $A52, 'For Tally'!A:A, "&gt;=2025-05-01", 'For Tally'!A:A, "&lt;=2025-05-31", 'For Tally'!L:L, $B$5:$F$5))</f>
        <v>82757.23000000001</v>
      </c>
      <c r="D52" s="135">
        <f>SUMPRODUCT(SUMIFS('For Tally'!D:D, 'For Tally'!H:H, $A52, 'For Tally'!A:A, "&gt;=2025-06-01", 'For Tally'!A:A, "&lt;=2025-06-30", 'For Tally'!L:L, $B$5:$F$5))</f>
        <v>37520.350000000006</v>
      </c>
      <c r="E52" s="135">
        <f>SUMPRODUCT(SUMIFS('For Tally'!D:D, 'For Tally'!H:H, $A52, 'For Tally'!A:A, "&gt;=2025-07-01", 'For Tally'!A:A, "&lt;=2025-07-31", 'For Tally'!L:L, $B$5:$F$5))</f>
        <v>159477.27000000002</v>
      </c>
      <c r="F52" s="135">
        <f>SUMPRODUCT(SUMIFS('For Tally'!D:D, 'For Tally'!H:H, $A52, 'For Tally'!A:A, "&gt;=2025-08-01", 'For Tally'!A:A, "&lt;=2025-08-31", 'For Tally'!L:L, $B$5:$F$5))</f>
        <v>85938.309999999983</v>
      </c>
      <c r="G52" s="135">
        <f>SUMPRODUCT(SUMIFS('For Tally'!D:D, 'For Tally'!H:H, $A52, 'For Tally'!A:A, "&gt;=2025-09-01", 'For Tally'!A:A, "&lt;=2025-09-30", 'For Tally'!L:L, $B$5:$F$5))</f>
        <v>192874.52</v>
      </c>
      <c r="H52" s="135">
        <f>SUMPRODUCT(SUMIFS('For Tally'!D:D, 'For Tally'!H:H, $A52, 'For Tally'!A:A, "&gt;=2025-10-01", 'For Tally'!A:A, "&lt;=2025-10-31", 'For Tally'!L:L, $B$5:$F$5))</f>
        <v>362397.17</v>
      </c>
      <c r="I52" s="135">
        <f>SUMPRODUCT(SUMIFS('For Tally'!D:D, 'For Tally'!H:H, $A52, 'For Tally'!A:A, "&gt;=2025-11-01", 'For Tally'!A:A, "&lt;=2025-11-30", 'For Tally'!L:L, $B$5:$F$5))</f>
        <v>74885.069999999992</v>
      </c>
      <c r="J52" s="135">
        <f>SUMPRODUCT(SUMIFS('For Tally'!D:D, 'For Tally'!H:H, $A52, 'For Tally'!A:A, "&gt;=2025-12-01", 'For Tally'!A:A, "&lt;=2025-12-31", 'For Tally'!L:L, $B$5:$F$5))</f>
        <v>19456.500000000004</v>
      </c>
      <c r="K52" s="135">
        <f>SUMPRODUCT(SUMIFS('For Tally'!D:D, 'For Tally'!H:H, $A52, 'For Tally'!A:A, "&gt;=2026-01-01", 'For Tally'!A:A, "&lt;=2026-01-31", 'For Tally'!L:L, $B$5:$F$5))</f>
        <v>45617.56</v>
      </c>
      <c r="L52" s="135">
        <f>SUMPRODUCT(SUMIFS('For Tally'!D:D, 'For Tally'!H:H, $A52, 'For Tally'!A:A, "&gt;=2026-02-01", 'For Tally'!A:A, "&lt;=2026-02-28", 'For Tally'!L:L, $B$5:$F$5))</f>
        <v>20104.850000000002</v>
      </c>
      <c r="M52" s="135">
        <f>SUMPRODUCT(SUMIFS('For Tally'!D:D, 'For Tally'!H:H, $A52, 'For Tally'!A:A, "&gt;=2026-03-01", 'For Tally'!A:A, "&lt;=2026-03-31", 'For Tally'!L:L, $B$5:$F$5))</f>
        <v>35539.61</v>
      </c>
      <c r="N52" s="135">
        <f>SUMPRODUCT(SUMIFS('For Tally'!D:D, 'For Tally'!H:H, $A52, 'For Tally'!A:A, "&gt;=2026-04-01", 'For Tally'!A:A, "&lt;=2026-04-30", 'For Tally'!L:L, $B$5:$F$5))</f>
        <v>0</v>
      </c>
      <c r="O52" s="135">
        <f t="shared" si="2"/>
        <v>1204501.1800000004</v>
      </c>
    </row>
    <row r="53" spans="1:15" x14ac:dyDescent="0.3">
      <c r="A53" s="135" t="s">
        <v>1732</v>
      </c>
      <c r="B53" s="135">
        <f>SUMPRODUCT(SUMIFS('For Tally'!D:D, 'For Tally'!H:H, $A53, 'For Tally'!A:A, "&gt;=2025-04-01", 'For Tally'!A:A, "&lt;=2025-04-30", 'For Tally'!L:L, $B$5:$F$5))</f>
        <v>0</v>
      </c>
      <c r="C53" s="135">
        <f>SUMPRODUCT(SUMIFS('For Tally'!D:D, 'For Tally'!H:H, $A53, 'For Tally'!A:A, "&gt;=2025-05-01", 'For Tally'!A:A, "&lt;=2025-05-31", 'For Tally'!L:L, $B$5:$F$5))</f>
        <v>0</v>
      </c>
      <c r="D53" s="135">
        <f>SUMPRODUCT(SUMIFS('For Tally'!D:D, 'For Tally'!H:H, $A53, 'For Tally'!A:A, "&gt;=2025-06-01", 'For Tally'!A:A, "&lt;=2025-06-30", 'For Tally'!L:L, $B$5:$F$5))</f>
        <v>0</v>
      </c>
      <c r="E53" s="135">
        <f>SUMPRODUCT(SUMIFS('For Tally'!D:D, 'For Tally'!H:H, $A53, 'For Tally'!A:A, "&gt;=2025-07-01", 'For Tally'!A:A, "&lt;=2025-07-31", 'For Tally'!L:L, $B$5:$F$5))</f>
        <v>0</v>
      </c>
      <c r="F53" s="135">
        <f>SUMPRODUCT(SUMIFS('For Tally'!D:D, 'For Tally'!H:H, $A53, 'For Tally'!A:A, "&gt;=2025-08-01", 'For Tally'!A:A, "&lt;=2025-08-31", 'For Tally'!L:L, $B$5:$F$5))</f>
        <v>0</v>
      </c>
      <c r="G53" s="135">
        <f>SUMPRODUCT(SUMIFS('For Tally'!D:D, 'For Tally'!H:H, $A53, 'For Tally'!A:A, "&gt;=2025-09-01", 'For Tally'!A:A, "&lt;=2025-09-30", 'For Tally'!L:L, $B$5:$F$5))</f>
        <v>7220</v>
      </c>
      <c r="H53" s="135">
        <f>SUMPRODUCT(SUMIFS('For Tally'!D:D, 'For Tally'!H:H, $A53, 'For Tally'!A:A, "&gt;=2025-10-01", 'For Tally'!A:A, "&lt;=2025-10-31", 'For Tally'!L:L, $B$5:$F$5))</f>
        <v>0</v>
      </c>
      <c r="I53" s="135">
        <f>SUMPRODUCT(SUMIFS('For Tally'!D:D, 'For Tally'!H:H, $A53, 'For Tally'!A:A, "&gt;=2025-11-01", 'For Tally'!A:A, "&lt;=2025-11-30", 'For Tally'!L:L, $B$5:$F$5))</f>
        <v>0</v>
      </c>
      <c r="J53" s="135">
        <f>SUMPRODUCT(SUMIFS('For Tally'!D:D, 'For Tally'!H:H, $A53, 'For Tally'!A:A, "&gt;=2025-12-01", 'For Tally'!A:A, "&lt;=2025-12-31", 'For Tally'!L:L, $B$5:$F$5))</f>
        <v>0</v>
      </c>
      <c r="K53" s="135">
        <f>SUMPRODUCT(SUMIFS('For Tally'!D:D, 'For Tally'!H:H, $A53, 'For Tally'!A:A, "&gt;=2026-01-01", 'For Tally'!A:A, "&lt;=2026-01-31", 'For Tally'!L:L, $B$5:$F$5))</f>
        <v>0</v>
      </c>
      <c r="L53" s="135">
        <f>SUMPRODUCT(SUMIFS('For Tally'!D:D, 'For Tally'!H:H, $A53, 'For Tally'!A:A, "&gt;=2026-02-01", 'For Tally'!A:A, "&lt;=2026-02-28", 'For Tally'!L:L, $B$5:$F$5))</f>
        <v>0</v>
      </c>
      <c r="M53" s="135">
        <f>SUMPRODUCT(SUMIFS('For Tally'!D:D, 'For Tally'!H:H, $A53, 'For Tally'!A:A, "&gt;=2026-03-01", 'For Tally'!A:A, "&lt;=2026-03-31", 'For Tally'!L:L, $B$5:$F$5))</f>
        <v>0</v>
      </c>
      <c r="N53" s="135">
        <f>SUMPRODUCT(SUMIFS('For Tally'!D:D, 'For Tally'!H:H, $A53, 'For Tally'!A:A, "&gt;=2026-04-01", 'For Tally'!A:A, "&lt;=2026-04-30", 'For Tally'!L:L, $B$5:$F$5))</f>
        <v>0</v>
      </c>
      <c r="O53" s="135">
        <f t="shared" si="2"/>
        <v>7220</v>
      </c>
    </row>
    <row r="54" spans="1:15" x14ac:dyDescent="0.3">
      <c r="A54" s="135" t="s">
        <v>1019</v>
      </c>
      <c r="B54" s="135">
        <f>SUMPRODUCT(SUMIFS('For Tally'!D:D, 'For Tally'!H:H, $A54, 'For Tally'!A:A, "&gt;=2025-04-01", 'For Tally'!A:A, "&lt;=2025-04-30", 'For Tally'!L:L, $B$5:$F$5))</f>
        <v>5000</v>
      </c>
      <c r="C54" s="135">
        <f>SUMPRODUCT(SUMIFS('For Tally'!D:D, 'For Tally'!H:H, $A54, 'For Tally'!A:A, "&gt;=2025-05-01", 'For Tally'!A:A, "&lt;=2025-05-31", 'For Tally'!L:L, $B$5:$F$5))</f>
        <v>0</v>
      </c>
      <c r="D54" s="135">
        <f>SUMPRODUCT(SUMIFS('For Tally'!D:D, 'For Tally'!H:H, $A54, 'For Tally'!A:A, "&gt;=2025-06-01", 'For Tally'!A:A, "&lt;=2025-06-30", 'For Tally'!L:L, $B$5:$F$5))</f>
        <v>0</v>
      </c>
      <c r="E54" s="135">
        <f>SUMPRODUCT(SUMIFS('For Tally'!D:D, 'For Tally'!H:H, $A54, 'For Tally'!A:A, "&gt;=2025-07-01", 'For Tally'!A:A, "&lt;=2025-07-31", 'For Tally'!L:L, $B$5:$F$5))</f>
        <v>0</v>
      </c>
      <c r="F54" s="135">
        <f>SUMPRODUCT(SUMIFS('For Tally'!D:D, 'For Tally'!H:H, $A54, 'For Tally'!A:A, "&gt;=2025-08-01", 'For Tally'!A:A, "&lt;=2025-08-31", 'For Tally'!L:L, $B$5:$F$5))</f>
        <v>0</v>
      </c>
      <c r="G54" s="135">
        <f>SUMPRODUCT(SUMIFS('For Tally'!D:D, 'For Tally'!H:H, $A54, 'For Tally'!A:A, "&gt;=2025-09-01", 'For Tally'!A:A, "&lt;=2025-09-30", 'For Tally'!L:L, $B$5:$F$5))</f>
        <v>0</v>
      </c>
      <c r="H54" s="135">
        <f>SUMPRODUCT(SUMIFS('For Tally'!D:D, 'For Tally'!H:H, $A54, 'For Tally'!A:A, "&gt;=2025-10-01", 'For Tally'!A:A, "&lt;=2025-10-31", 'For Tally'!L:L, $B$5:$F$5))</f>
        <v>0</v>
      </c>
      <c r="I54" s="135">
        <f>SUMPRODUCT(SUMIFS('For Tally'!D:D, 'For Tally'!H:H, $A54, 'For Tally'!A:A, "&gt;=2025-11-01", 'For Tally'!A:A, "&lt;=2025-11-30", 'For Tally'!L:L, $B$5:$F$5))</f>
        <v>0</v>
      </c>
      <c r="J54" s="135">
        <f>SUMPRODUCT(SUMIFS('For Tally'!D:D, 'For Tally'!H:H, $A54, 'For Tally'!A:A, "&gt;=2025-12-01", 'For Tally'!A:A, "&lt;=2025-12-31", 'For Tally'!L:L, $B$5:$F$5))</f>
        <v>0</v>
      </c>
      <c r="K54" s="135">
        <f>SUMPRODUCT(SUMIFS('For Tally'!D:D, 'For Tally'!H:H, $A54, 'For Tally'!A:A, "&gt;=2026-01-01", 'For Tally'!A:A, "&lt;=2026-01-31", 'For Tally'!L:L, $B$5:$F$5))</f>
        <v>12217.71</v>
      </c>
      <c r="L54" s="135">
        <f>SUMPRODUCT(SUMIFS('For Tally'!D:D, 'For Tally'!H:H, $A54, 'For Tally'!A:A, "&gt;=2026-02-01", 'For Tally'!A:A, "&lt;=2026-02-28", 'For Tally'!L:L, $B$5:$F$5))</f>
        <v>0</v>
      </c>
      <c r="M54" s="135">
        <f>SUMPRODUCT(SUMIFS('For Tally'!D:D, 'For Tally'!H:H, $A54, 'For Tally'!A:A, "&gt;=2026-03-01", 'For Tally'!A:A, "&lt;=2026-03-31", 'For Tally'!L:L, $B$5:$F$5))</f>
        <v>0</v>
      </c>
      <c r="N54" s="135">
        <f>SUMPRODUCT(SUMIFS('For Tally'!D:D, 'For Tally'!H:H, $A54, 'For Tally'!A:A, "&gt;=2026-04-01", 'For Tally'!A:A, "&lt;=2026-04-30", 'For Tally'!L:L, $B$5:$F$5))</f>
        <v>0</v>
      </c>
      <c r="O54" s="135">
        <f t="shared" si="2"/>
        <v>17217.71</v>
      </c>
    </row>
    <row r="55" spans="1:15" x14ac:dyDescent="0.3">
      <c r="A55" s="135" t="s">
        <v>1031</v>
      </c>
      <c r="B55" s="135">
        <f>SUMPRODUCT(SUMIFS('For Tally'!D:D, 'For Tally'!H:H, $A55, 'For Tally'!A:A, "&gt;=2025-04-01", 'For Tally'!A:A, "&lt;=2025-04-30", 'For Tally'!L:L, $B$5:$F$5))</f>
        <v>10</v>
      </c>
      <c r="C55" s="135">
        <f>SUMPRODUCT(SUMIFS('For Tally'!D:D, 'For Tally'!H:H, $A55, 'For Tally'!A:A, "&gt;=2025-05-01", 'For Tally'!A:A, "&lt;=2025-05-31", 'For Tally'!L:L, $B$5:$F$5))</f>
        <v>2012</v>
      </c>
      <c r="D55" s="135">
        <f>SUMPRODUCT(SUMIFS('For Tally'!D:D, 'For Tally'!H:H, $A55, 'For Tally'!A:A, "&gt;=2025-06-01", 'For Tally'!A:A, "&lt;=2025-06-30", 'For Tally'!L:L, $B$5:$F$5))</f>
        <v>0</v>
      </c>
      <c r="E55" s="135">
        <f>SUMPRODUCT(SUMIFS('For Tally'!D:D, 'For Tally'!H:H, $A55, 'For Tally'!A:A, "&gt;=2025-07-01", 'For Tally'!A:A, "&lt;=2025-07-31", 'For Tally'!L:L, $B$5:$F$5))</f>
        <v>70000</v>
      </c>
      <c r="F55" s="135">
        <f>SUMPRODUCT(SUMIFS('For Tally'!D:D, 'For Tally'!H:H, $A55, 'For Tally'!A:A, "&gt;=2025-08-01", 'For Tally'!A:A, "&lt;=2025-08-31", 'For Tally'!L:L, $B$5:$F$5))</f>
        <v>0</v>
      </c>
      <c r="G55" s="135">
        <f>SUMPRODUCT(SUMIFS('For Tally'!D:D, 'For Tally'!H:H, $A55, 'For Tally'!A:A, "&gt;=2025-09-01", 'For Tally'!A:A, "&lt;=2025-09-30", 'For Tally'!L:L, $B$5:$F$5))</f>
        <v>0</v>
      </c>
      <c r="H55" s="135">
        <f>SUMPRODUCT(SUMIFS('For Tally'!D:D, 'For Tally'!H:H, $A55, 'For Tally'!A:A, "&gt;=2025-10-01", 'For Tally'!A:A, "&lt;=2025-10-31", 'For Tally'!L:L, $B$5:$F$5))</f>
        <v>2501</v>
      </c>
      <c r="I55" s="135">
        <f>SUMPRODUCT(SUMIFS('For Tally'!D:D, 'For Tally'!H:H, $A55, 'For Tally'!A:A, "&gt;=2025-11-01", 'For Tally'!A:A, "&lt;=2025-11-30", 'For Tally'!L:L, $B$5:$F$5))</f>
        <v>700</v>
      </c>
      <c r="J55" s="135">
        <f>SUMPRODUCT(SUMIFS('For Tally'!D:D, 'For Tally'!H:H, $A55, 'For Tally'!A:A, "&gt;=2025-12-01", 'For Tally'!A:A, "&lt;=2025-12-31", 'For Tally'!L:L, $B$5:$F$5))</f>
        <v>5350</v>
      </c>
      <c r="K55" s="135">
        <f>SUMPRODUCT(SUMIFS('For Tally'!D:D, 'For Tally'!H:H, $A55, 'For Tally'!A:A, "&gt;=2026-01-01", 'For Tally'!A:A, "&lt;=2026-01-31", 'For Tally'!L:L, $B$5:$F$5))</f>
        <v>12000</v>
      </c>
      <c r="L55" s="135">
        <f>SUMPRODUCT(SUMIFS('For Tally'!D:D, 'For Tally'!H:H, $A55, 'For Tally'!A:A, "&gt;=2026-02-01", 'For Tally'!A:A, "&lt;=2026-02-28", 'For Tally'!L:L, $B$5:$F$5))</f>
        <v>0</v>
      </c>
      <c r="M55" s="135">
        <f>SUMPRODUCT(SUMIFS('For Tally'!D:D, 'For Tally'!H:H, $A55, 'For Tally'!A:A, "&gt;=2026-03-01", 'For Tally'!A:A, "&lt;=2026-03-31", 'For Tally'!L:L, $B$5:$F$5))</f>
        <v>1000</v>
      </c>
      <c r="N55" s="135">
        <f>SUMPRODUCT(SUMIFS('For Tally'!D:D, 'For Tally'!H:H, $A55, 'For Tally'!A:A, "&gt;=2026-04-01", 'For Tally'!A:A, "&lt;=2026-04-30", 'For Tally'!L:L, $B$5:$F$5))</f>
        <v>0</v>
      </c>
      <c r="O55" s="135">
        <f t="shared" si="2"/>
        <v>93573</v>
      </c>
    </row>
    <row r="56" spans="1:15" x14ac:dyDescent="0.3">
      <c r="A56" s="133" t="s">
        <v>1658</v>
      </c>
      <c r="B56" s="133">
        <f>SUMPRODUCT(SUMIFS('For Tally'!D:D, 'For Tally'!H:H, $A56, 'For Tally'!A:A, "&gt;=2025-04-01", 'For Tally'!A:A, "&lt;=2025-04-30", 'For Tally'!L:L, $B$5:$F$5))</f>
        <v>345.74</v>
      </c>
      <c r="C56" s="133">
        <f>SUMPRODUCT(SUMIFS('For Tally'!D:D, 'For Tally'!H:H, $A56, 'For Tally'!A:A, "&gt;=2025-05-01", 'For Tally'!A:A, "&lt;=2025-05-31", 'For Tally'!L:L, $B$5:$F$5))</f>
        <v>0</v>
      </c>
      <c r="D56" s="133">
        <f>SUMPRODUCT(SUMIFS('For Tally'!D:D, 'For Tally'!H:H, $A56, 'For Tally'!A:A, "&gt;=2025-06-01", 'For Tally'!A:A, "&lt;=2025-06-30", 'For Tally'!L:L, $B$5:$F$5))</f>
        <v>57.36</v>
      </c>
      <c r="E56" s="133">
        <f>SUMPRODUCT(SUMIFS('For Tally'!D:D, 'For Tally'!H:H, $A56, 'For Tally'!A:A, "&gt;=2025-07-01", 'For Tally'!A:A, "&lt;=2025-07-31", 'For Tally'!L:L, $B$5:$F$5))</f>
        <v>79.34</v>
      </c>
      <c r="F56" s="133">
        <f>SUMPRODUCT(SUMIFS('For Tally'!D:D, 'For Tally'!H:H, $A56, 'For Tally'!A:A, "&gt;=2025-08-01", 'For Tally'!A:A, "&lt;=2025-08-31", 'For Tally'!L:L, $B$5:$F$5))</f>
        <v>82.79</v>
      </c>
      <c r="G56" s="133">
        <f>SUMPRODUCT(SUMIFS('For Tally'!D:D, 'For Tally'!H:H, $A56, 'For Tally'!A:A, "&gt;=2025-09-01", 'For Tally'!A:A, "&lt;=2025-09-30", 'For Tally'!L:L, $B$5:$F$5))</f>
        <v>67</v>
      </c>
      <c r="H56" s="133">
        <f>SUMPRODUCT(SUMIFS('For Tally'!D:D, 'For Tally'!H:H, $A56, 'For Tally'!A:A, "&gt;=2025-10-01", 'For Tally'!A:A, "&lt;=2025-10-31", 'For Tally'!L:L, $B$5:$F$5))</f>
        <v>59.42</v>
      </c>
      <c r="I56" s="133">
        <f>SUMPRODUCT(SUMIFS('For Tally'!D:D, 'For Tally'!H:H, $A56, 'For Tally'!A:A, "&gt;=2025-11-01", 'For Tally'!A:A, "&lt;=2025-11-30", 'For Tally'!L:L, $B$5:$F$5))</f>
        <v>0</v>
      </c>
      <c r="J56" s="133">
        <f>SUMPRODUCT(SUMIFS('For Tally'!D:D, 'For Tally'!H:H, $A56, 'For Tally'!A:A, "&gt;=2025-12-01", 'For Tally'!A:A, "&lt;=2025-12-31", 'For Tally'!L:L, $B$5:$F$5))</f>
        <v>17320.330000000002</v>
      </c>
      <c r="K56" s="133">
        <f>SUMPRODUCT(SUMIFS('For Tally'!D:D, 'For Tally'!H:H, $A56, 'For Tally'!A:A, "&gt;=2026-01-01", 'For Tally'!A:A, "&lt;=2026-01-31", 'For Tally'!L:L, $B$5:$F$5))</f>
        <v>100.03</v>
      </c>
      <c r="L56" s="133">
        <f>SUMPRODUCT(SUMIFS('For Tally'!D:D, 'For Tally'!H:H, $A56, 'For Tally'!A:A, "&gt;=2026-02-01", 'For Tally'!A:A, "&lt;=2026-02-28", 'For Tally'!L:L, $B$5:$F$5))</f>
        <v>1498.61</v>
      </c>
      <c r="M56" s="133">
        <f>SUMPRODUCT(SUMIFS('For Tally'!D:D, 'For Tally'!H:H, $A56, 'For Tally'!A:A, "&gt;=2026-03-01", 'For Tally'!A:A, "&lt;=2026-03-31", 'For Tally'!L:L, $B$5:$F$5))</f>
        <v>9192.73</v>
      </c>
      <c r="N56" s="133">
        <f>SUMPRODUCT(SUMIFS('For Tally'!D:D, 'For Tally'!H:H, $A56, 'For Tally'!A:A, "&gt;=2026-04-01", 'For Tally'!A:A, "&lt;=2026-04-30", 'For Tally'!L:L, $B$5:$F$5))</f>
        <v>0</v>
      </c>
      <c r="O56" s="133">
        <f t="shared" si="2"/>
        <v>28803.350000000002</v>
      </c>
    </row>
    <row r="57" spans="1:15" x14ac:dyDescent="0.3">
      <c r="A57" s="135" t="s">
        <v>606</v>
      </c>
      <c r="B57" s="135">
        <f>SUMPRODUCT(SUMIFS('For Tally'!D:D, 'For Tally'!H:H, $A57, 'For Tally'!A:A, "&gt;=2025-04-01", 'For Tally'!A:A, "&lt;=2025-04-30", 'For Tally'!L:L, $B$5:$F$5))</f>
        <v>7405.51</v>
      </c>
      <c r="C57" s="135">
        <f>SUMPRODUCT(SUMIFS('For Tally'!D:D, 'For Tally'!H:H, $A57, 'For Tally'!A:A, "&gt;=2025-05-01", 'For Tally'!A:A, "&lt;=2025-05-31", 'For Tally'!L:L, $B$5:$F$5))</f>
        <v>501</v>
      </c>
      <c r="D57" s="135">
        <f>SUMPRODUCT(SUMIFS('For Tally'!D:D, 'For Tally'!H:H, $A57, 'For Tally'!A:A, "&gt;=2025-06-01", 'For Tally'!A:A, "&lt;=2025-06-30", 'For Tally'!L:L, $B$5:$F$5))</f>
        <v>501</v>
      </c>
      <c r="E57" s="135">
        <f>SUMPRODUCT(SUMIFS('For Tally'!D:D, 'For Tally'!H:H, $A57, 'For Tally'!A:A, "&gt;=2025-07-01", 'For Tally'!A:A, "&lt;=2025-07-31", 'For Tally'!L:L, $B$5:$F$5))</f>
        <v>501</v>
      </c>
      <c r="F57" s="135">
        <f>SUMPRODUCT(SUMIFS('For Tally'!D:D, 'For Tally'!H:H, $A57, 'For Tally'!A:A, "&gt;=2025-08-01", 'For Tally'!A:A, "&lt;=2025-08-31", 'For Tally'!L:L, $B$5:$F$5))</f>
        <v>501</v>
      </c>
      <c r="G57" s="135">
        <f>SUMPRODUCT(SUMIFS('For Tally'!D:D, 'For Tally'!H:H, $A57, 'For Tally'!A:A, "&gt;=2025-09-01", 'For Tally'!A:A, "&lt;=2025-09-30", 'For Tally'!L:L, $B$5:$F$5))</f>
        <v>501</v>
      </c>
      <c r="H57" s="135">
        <f>SUMPRODUCT(SUMIFS('For Tally'!D:D, 'For Tally'!H:H, $A57, 'For Tally'!A:A, "&gt;=2025-10-01", 'For Tally'!A:A, "&lt;=2025-10-31", 'For Tally'!L:L, $B$5:$F$5))</f>
        <v>116357.64</v>
      </c>
      <c r="I57" s="135">
        <f>SUMPRODUCT(SUMIFS('For Tally'!D:D, 'For Tally'!H:H, $A57, 'For Tally'!A:A, "&gt;=2025-11-01", 'For Tally'!A:A, "&lt;=2025-11-30", 'For Tally'!L:L, $B$5:$F$5))</f>
        <v>501</v>
      </c>
      <c r="J57" s="135">
        <f>SUMPRODUCT(SUMIFS('For Tally'!D:D, 'For Tally'!H:H, $A57, 'For Tally'!A:A, "&gt;=2025-12-01", 'For Tally'!A:A, "&lt;=2025-12-31", 'For Tally'!L:L, $B$5:$F$5))</f>
        <v>501</v>
      </c>
      <c r="K57" s="135">
        <f>SUMPRODUCT(SUMIFS('For Tally'!D:D, 'For Tally'!H:H, $A57, 'For Tally'!A:A, "&gt;=2026-01-01", 'For Tally'!A:A, "&lt;=2026-01-31", 'For Tally'!L:L, $B$5:$F$5))</f>
        <v>501</v>
      </c>
      <c r="L57" s="135">
        <f>SUMPRODUCT(SUMIFS('For Tally'!D:D, 'For Tally'!H:H, $A57, 'For Tally'!A:A, "&gt;=2026-02-01", 'For Tally'!A:A, "&lt;=2026-02-28", 'For Tally'!L:L, $B$5:$F$5))</f>
        <v>477.82</v>
      </c>
      <c r="M57" s="135">
        <f>SUMPRODUCT(SUMIFS('For Tally'!D:D, 'For Tally'!H:H, $A57, 'For Tally'!A:A, "&gt;=2026-03-01", 'For Tally'!A:A, "&lt;=2026-03-31", 'For Tally'!L:L, $B$5:$F$5))</f>
        <v>0</v>
      </c>
      <c r="N57" s="135">
        <f>SUMPRODUCT(SUMIFS('For Tally'!D:D, 'For Tally'!H:H, $A57, 'For Tally'!A:A, "&gt;=2026-04-01", 'For Tally'!A:A, "&lt;=2026-04-30", 'For Tally'!L:L, $B$5:$F$5))</f>
        <v>0</v>
      </c>
      <c r="O57" s="135">
        <f t="shared" si="2"/>
        <v>128248.97</v>
      </c>
    </row>
    <row r="58" spans="1:15" x14ac:dyDescent="0.3">
      <c r="A58" s="135" t="s">
        <v>91</v>
      </c>
      <c r="B58" s="135">
        <f>SUMPRODUCT(SUMIFS('For Tally'!D:D, 'For Tally'!H:H, $A58, 'For Tally'!A:A, "&gt;=2025-04-01", 'For Tally'!A:A, "&lt;=2025-04-30", 'For Tally'!L:L, $B$5:$F$5))</f>
        <v>2758</v>
      </c>
      <c r="C58" s="135">
        <f>SUMPRODUCT(SUMIFS('For Tally'!D:D, 'For Tally'!H:H, $A58, 'For Tally'!A:A, "&gt;=2025-05-01", 'For Tally'!A:A, "&lt;=2025-05-31", 'For Tally'!L:L, $B$5:$F$5))</f>
        <v>10693.279999999999</v>
      </c>
      <c r="D58" s="135">
        <f>SUMPRODUCT(SUMIFS('For Tally'!D:D, 'For Tally'!H:H, $A58, 'For Tally'!A:A, "&gt;=2025-06-01", 'For Tally'!A:A, "&lt;=2025-06-30", 'For Tally'!L:L, $B$5:$F$5))</f>
        <v>28</v>
      </c>
      <c r="E58" s="135">
        <f>SUMPRODUCT(SUMIFS('For Tally'!D:D, 'For Tally'!H:H, $A58, 'For Tally'!A:A, "&gt;=2025-07-01", 'For Tally'!A:A, "&lt;=2025-07-31", 'For Tally'!L:L, $B$5:$F$5))</f>
        <v>4</v>
      </c>
      <c r="F58" s="135">
        <f>SUMPRODUCT(SUMIFS('For Tally'!D:D, 'For Tally'!H:H, $A58, 'For Tally'!A:A, "&gt;=2025-08-01", 'For Tally'!A:A, "&lt;=2025-08-31", 'For Tally'!L:L, $B$5:$F$5))</f>
        <v>30370</v>
      </c>
      <c r="G58" s="135">
        <f>SUMPRODUCT(SUMIFS('For Tally'!D:D, 'For Tally'!H:H, $A58, 'For Tally'!A:A, "&gt;=2025-09-01", 'For Tally'!A:A, "&lt;=2025-09-30", 'For Tally'!L:L, $B$5:$F$5))</f>
        <v>14559.99</v>
      </c>
      <c r="H58" s="135">
        <f>SUMPRODUCT(SUMIFS('For Tally'!D:D, 'For Tally'!H:H, $A58, 'For Tally'!A:A, "&gt;=2025-10-01", 'For Tally'!A:A, "&lt;=2025-10-31", 'For Tally'!L:L, $B$5:$F$5))</f>
        <v>0</v>
      </c>
      <c r="I58" s="135">
        <f>SUMPRODUCT(SUMIFS('For Tally'!D:D, 'For Tally'!H:H, $A58, 'For Tally'!A:A, "&gt;=2025-11-01", 'For Tally'!A:A, "&lt;=2025-11-30", 'For Tally'!L:L, $B$5:$F$5))</f>
        <v>1</v>
      </c>
      <c r="J58" s="135">
        <f>SUMPRODUCT(SUMIFS('For Tally'!D:D, 'For Tally'!H:H, $A58, 'For Tally'!A:A, "&gt;=2025-12-01", 'For Tally'!A:A, "&lt;=2025-12-31", 'For Tally'!L:L, $B$5:$F$5))</f>
        <v>1001</v>
      </c>
      <c r="K58" s="135">
        <f>SUMPRODUCT(SUMIFS('For Tally'!D:D, 'For Tally'!H:H, $A58, 'For Tally'!A:A, "&gt;=2026-01-01", 'For Tally'!A:A, "&lt;=2026-01-31", 'For Tally'!L:L, $B$5:$F$5))</f>
        <v>1418</v>
      </c>
      <c r="L58" s="135">
        <f>SUMPRODUCT(SUMIFS('For Tally'!D:D, 'For Tally'!H:H, $A58, 'For Tally'!A:A, "&gt;=2026-02-01", 'For Tally'!A:A, "&lt;=2026-02-28", 'For Tally'!L:L, $B$5:$F$5))</f>
        <v>2700</v>
      </c>
      <c r="M58" s="135">
        <f>SUMPRODUCT(SUMIFS('For Tally'!D:D, 'For Tally'!H:H, $A58, 'For Tally'!A:A, "&gt;=2026-03-01", 'For Tally'!A:A, "&lt;=2026-03-31", 'For Tally'!L:L, $B$5:$F$5))</f>
        <v>2130</v>
      </c>
      <c r="N58" s="135">
        <f>SUMPRODUCT(SUMIFS('For Tally'!D:D, 'For Tally'!H:H, $A58, 'For Tally'!A:A, "&gt;=2026-04-01", 'For Tally'!A:A, "&lt;=2026-04-30", 'For Tally'!L:L, $B$5:$F$5))</f>
        <v>0</v>
      </c>
      <c r="O58" s="135">
        <f t="shared" si="2"/>
        <v>65663.26999999999</v>
      </c>
    </row>
    <row r="59" spans="1:15" x14ac:dyDescent="0.3">
      <c r="A59" s="135" t="s">
        <v>837</v>
      </c>
      <c r="B59" s="135">
        <f>SUMPRODUCT(SUMIFS('For Tally'!D:D, 'For Tally'!H:H, $A59, 'For Tally'!A:A, "&gt;=2025-04-01", 'For Tally'!A:A, "&lt;=2025-04-30", 'For Tally'!L:L, $B$5:$F$5))</f>
        <v>0</v>
      </c>
      <c r="C59" s="135">
        <f>SUMPRODUCT(SUMIFS('For Tally'!D:D, 'For Tally'!H:H, $A59, 'For Tally'!A:A, "&gt;=2025-05-01", 'For Tally'!A:A, "&lt;=2025-05-31", 'For Tally'!L:L, $B$5:$F$5))</f>
        <v>0</v>
      </c>
      <c r="D59" s="135">
        <f>SUMPRODUCT(SUMIFS('For Tally'!D:D, 'For Tally'!H:H, $A59, 'For Tally'!A:A, "&gt;=2025-06-01", 'For Tally'!A:A, "&lt;=2025-06-30", 'For Tally'!L:L, $B$5:$F$5))</f>
        <v>0</v>
      </c>
      <c r="E59" s="135">
        <f>SUMPRODUCT(SUMIFS('For Tally'!D:D, 'For Tally'!H:H, $A59, 'For Tally'!A:A, "&gt;=2025-07-01", 'For Tally'!A:A, "&lt;=2025-07-31", 'For Tally'!L:L, $B$5:$F$5))</f>
        <v>0</v>
      </c>
      <c r="F59" s="135">
        <f>SUMPRODUCT(SUMIFS('For Tally'!D:D, 'For Tally'!H:H, $A59, 'For Tally'!A:A, "&gt;=2025-08-01", 'For Tally'!A:A, "&lt;=2025-08-31", 'For Tally'!L:L, $B$5:$F$5))</f>
        <v>0</v>
      </c>
      <c r="G59" s="135">
        <f>SUMPRODUCT(SUMIFS('For Tally'!D:D, 'For Tally'!H:H, $A59, 'For Tally'!A:A, "&gt;=2025-09-01", 'For Tally'!A:A, "&lt;=2025-09-30", 'For Tally'!L:L, $B$5:$F$5))</f>
        <v>30000</v>
      </c>
      <c r="H59" s="135">
        <f>SUMPRODUCT(SUMIFS('For Tally'!D:D, 'For Tally'!H:H, $A59, 'For Tally'!A:A, "&gt;=2025-10-01", 'For Tally'!A:A, "&lt;=2025-10-31", 'For Tally'!L:L, $B$5:$F$5))</f>
        <v>7000</v>
      </c>
      <c r="I59" s="135">
        <f>SUMPRODUCT(SUMIFS('For Tally'!D:D, 'For Tally'!H:H, $A59, 'For Tally'!A:A, "&gt;=2025-11-01", 'For Tally'!A:A, "&lt;=2025-11-30", 'For Tally'!L:L, $B$5:$F$5))</f>
        <v>0</v>
      </c>
      <c r="J59" s="135">
        <f>SUMPRODUCT(SUMIFS('For Tally'!D:D, 'For Tally'!H:H, $A59, 'For Tally'!A:A, "&gt;=2025-12-01", 'For Tally'!A:A, "&lt;=2025-12-31", 'For Tally'!L:L, $B$5:$F$5))</f>
        <v>9000</v>
      </c>
      <c r="K59" s="135">
        <f>SUMPRODUCT(SUMIFS('For Tally'!D:D, 'For Tally'!H:H, $A59, 'For Tally'!A:A, "&gt;=2026-01-01", 'For Tally'!A:A, "&lt;=2026-01-31", 'For Tally'!L:L, $B$5:$F$5))</f>
        <v>4000</v>
      </c>
      <c r="L59" s="135">
        <f>SUMPRODUCT(SUMIFS('For Tally'!D:D, 'For Tally'!H:H, $A59, 'For Tally'!A:A, "&gt;=2026-02-01", 'For Tally'!A:A, "&lt;=2026-02-28", 'For Tally'!L:L, $B$5:$F$5))</f>
        <v>1000</v>
      </c>
      <c r="M59" s="135">
        <f>SUMPRODUCT(SUMIFS('For Tally'!D:D, 'For Tally'!H:H, $A59, 'For Tally'!A:A, "&gt;=2026-03-01", 'For Tally'!A:A, "&lt;=2026-03-31", 'For Tally'!L:L, $B$5:$F$5))</f>
        <v>0</v>
      </c>
      <c r="N59" s="135">
        <f>SUMPRODUCT(SUMIFS('For Tally'!D:D, 'For Tally'!H:H, $A59, 'For Tally'!A:A, "&gt;=2026-04-01", 'For Tally'!A:A, "&lt;=2026-04-30", 'For Tally'!L:L, $B$5:$F$5))</f>
        <v>0</v>
      </c>
      <c r="O59" s="135">
        <f t="shared" si="2"/>
        <v>51000</v>
      </c>
    </row>
    <row r="60" spans="1:15" x14ac:dyDescent="0.3">
      <c r="A60" s="135" t="s">
        <v>2224</v>
      </c>
      <c r="B60" s="135">
        <f>SUMPRODUCT(SUMIFS('For Tally'!D:D, 'For Tally'!H:H, $A60, 'For Tally'!A:A, "&gt;=2025-04-01", 'For Tally'!A:A, "&lt;=2025-04-30", 'For Tally'!L:L, $B$5:$F$5))</f>
        <v>0</v>
      </c>
      <c r="C60" s="135">
        <f>SUMPRODUCT(SUMIFS('For Tally'!D:D, 'For Tally'!H:H, $A60, 'For Tally'!A:A, "&gt;=2025-05-01", 'For Tally'!A:A, "&lt;=2025-05-31", 'For Tally'!L:L, $B$5:$F$5))</f>
        <v>0</v>
      </c>
      <c r="D60" s="135">
        <f>SUMPRODUCT(SUMIFS('For Tally'!D:D, 'For Tally'!H:H, $A60, 'For Tally'!A:A, "&gt;=2025-06-01", 'For Tally'!A:A, "&lt;=2025-06-30", 'For Tally'!L:L, $B$5:$F$5))</f>
        <v>0</v>
      </c>
      <c r="E60" s="135">
        <f>SUMPRODUCT(SUMIFS('For Tally'!D:D, 'For Tally'!H:H, $A60, 'For Tally'!A:A, "&gt;=2025-07-01", 'For Tally'!A:A, "&lt;=2025-07-31", 'For Tally'!L:L, $B$5:$F$5))</f>
        <v>0</v>
      </c>
      <c r="F60" s="135">
        <f>SUMPRODUCT(SUMIFS('For Tally'!D:D, 'For Tally'!H:H, $A60, 'For Tally'!A:A, "&gt;=2025-08-01", 'For Tally'!A:A, "&lt;=2025-08-31", 'For Tally'!L:L, $B$5:$F$5))</f>
        <v>241</v>
      </c>
      <c r="G60" s="135">
        <f>SUMPRODUCT(SUMIFS('For Tally'!D:D, 'For Tally'!H:H, $A60, 'For Tally'!A:A, "&gt;=2025-09-01", 'For Tally'!A:A, "&lt;=2025-09-30", 'For Tally'!L:L, $B$5:$F$5))</f>
        <v>0</v>
      </c>
      <c r="H60" s="135">
        <f>SUMPRODUCT(SUMIFS('For Tally'!D:D, 'For Tally'!H:H, $A60, 'For Tally'!A:A, "&gt;=2025-10-01", 'For Tally'!A:A, "&lt;=2025-10-31", 'For Tally'!L:L, $B$5:$F$5))</f>
        <v>0</v>
      </c>
      <c r="I60" s="135">
        <f>SUMPRODUCT(SUMIFS('For Tally'!D:D, 'For Tally'!H:H, $A60, 'For Tally'!A:A, "&gt;=2025-11-01", 'For Tally'!A:A, "&lt;=2025-11-30", 'For Tally'!L:L, $B$5:$F$5))</f>
        <v>0</v>
      </c>
      <c r="J60" s="135">
        <f>SUMPRODUCT(SUMIFS('For Tally'!D:D, 'For Tally'!H:H, $A60, 'For Tally'!A:A, "&gt;=2025-12-01", 'For Tally'!A:A, "&lt;=2025-12-31", 'For Tally'!L:L, $B$5:$F$5))</f>
        <v>0</v>
      </c>
      <c r="K60" s="135">
        <f>SUMPRODUCT(SUMIFS('For Tally'!D:D, 'For Tally'!H:H, $A60, 'For Tally'!A:A, "&gt;=2026-01-01", 'For Tally'!A:A, "&lt;=2026-01-31", 'For Tally'!L:L, $B$5:$F$5))</f>
        <v>0</v>
      </c>
      <c r="L60" s="135">
        <f>SUMPRODUCT(SUMIFS('For Tally'!D:D, 'For Tally'!H:H, $A60, 'For Tally'!A:A, "&gt;=2026-02-01", 'For Tally'!A:A, "&lt;=2026-02-28", 'For Tally'!L:L, $B$5:$F$5))</f>
        <v>0</v>
      </c>
      <c r="M60" s="135">
        <f>SUMPRODUCT(SUMIFS('For Tally'!D:D, 'For Tally'!H:H, $A60, 'For Tally'!A:A, "&gt;=2026-03-01", 'For Tally'!A:A, "&lt;=2026-03-31", 'For Tally'!L:L, $B$5:$F$5))</f>
        <v>0</v>
      </c>
      <c r="N60" s="135">
        <f>SUMPRODUCT(SUMIFS('For Tally'!D:D, 'For Tally'!H:H, $A60, 'For Tally'!A:A, "&gt;=2026-04-01", 'For Tally'!A:A, "&lt;=2026-04-30", 'For Tally'!L:L, $B$5:$F$5))</f>
        <v>0</v>
      </c>
      <c r="O60" s="135">
        <f t="shared" si="2"/>
        <v>241</v>
      </c>
    </row>
    <row r="61" spans="1:15" x14ac:dyDescent="0.3">
      <c r="A61" s="79" t="s">
        <v>972</v>
      </c>
      <c r="B61" s="79">
        <f>SUMPRODUCT(SUMIFS('For Tally'!D:D, 'For Tally'!H:H, $A61, 'For Tally'!A:A, "&gt;=2025-04-01", 'For Tally'!A:A, "&lt;=2025-04-30", 'For Tally'!L:L, $B$5:$F$5))</f>
        <v>157953</v>
      </c>
      <c r="C61" s="79">
        <f>SUMPRODUCT(SUMIFS('For Tally'!D:D, 'For Tally'!H:H, $A61, 'For Tally'!A:A, "&gt;=2025-05-01", 'For Tally'!A:A, "&lt;=2025-05-31", 'For Tally'!L:L, $B$5:$F$5))</f>
        <v>98850</v>
      </c>
      <c r="D61" s="79">
        <f>SUMPRODUCT(SUMIFS('For Tally'!D:D, 'For Tally'!H:H, $A61, 'For Tally'!A:A, "&gt;=2025-06-01", 'For Tally'!A:A, "&lt;=2025-06-30", 'For Tally'!L:L, $B$5:$F$5))</f>
        <v>102548</v>
      </c>
      <c r="E61" s="79">
        <f>SUMPRODUCT(SUMIFS('For Tally'!D:D, 'For Tally'!H:H, $A61, 'For Tally'!A:A, "&gt;=2025-07-01", 'For Tally'!A:A, "&lt;=2025-07-31", 'For Tally'!L:L, $B$5:$F$5))</f>
        <v>98850</v>
      </c>
      <c r="F61" s="79">
        <f>SUMPRODUCT(SUMIFS('For Tally'!D:D, 'For Tally'!H:H, $A61, 'For Tally'!A:A, "&gt;=2025-08-01", 'For Tally'!A:A, "&lt;=2025-08-31", 'For Tally'!L:L, $B$5:$F$5))</f>
        <v>99850</v>
      </c>
      <c r="G61" s="79">
        <f>SUMPRODUCT(SUMIFS('For Tally'!D:D, 'For Tally'!H:H, $A61, 'For Tally'!A:A, "&gt;=2025-09-01", 'For Tally'!A:A, "&lt;=2025-09-30", 'For Tally'!L:L, $B$5:$F$5))</f>
        <v>114240</v>
      </c>
      <c r="H61" s="79">
        <f>SUMPRODUCT(SUMIFS('For Tally'!D:D, 'For Tally'!H:H, $A61, 'For Tally'!A:A, "&gt;=2025-10-01", 'For Tally'!A:A, "&lt;=2025-10-31", 'For Tally'!L:L, $B$5:$F$5))</f>
        <v>98705</v>
      </c>
      <c r="I61" s="79">
        <f>SUMPRODUCT(SUMIFS('For Tally'!D:D, 'For Tally'!H:H, $A61, 'For Tally'!A:A, "&gt;=2025-11-01", 'For Tally'!A:A, "&lt;=2025-11-30", 'For Tally'!L:L, $B$5:$F$5))</f>
        <v>98705</v>
      </c>
      <c r="J61" s="79">
        <f>SUMPRODUCT(SUMIFS('For Tally'!D:D, 'For Tally'!H:H, $A61, 'For Tally'!A:A, "&gt;=2025-12-01", 'For Tally'!A:A, "&lt;=2025-12-31", 'For Tally'!L:L, $B$5:$F$5))</f>
        <v>108048</v>
      </c>
      <c r="K61" s="79">
        <f>SUMPRODUCT(SUMIFS('For Tally'!D:D, 'For Tally'!H:H, $A61, 'For Tally'!A:A, "&gt;=2026-01-01", 'For Tally'!A:A, "&lt;=2026-01-31", 'For Tally'!L:L, $B$5:$F$5))</f>
        <v>96180</v>
      </c>
      <c r="L61" s="79">
        <f>SUMPRODUCT(SUMIFS('For Tally'!D:D, 'For Tally'!H:H, $A61, 'For Tally'!A:A, "&gt;=2026-02-01", 'For Tally'!A:A, "&lt;=2026-02-28", 'For Tally'!L:L, $B$5:$F$5))</f>
        <v>96231</v>
      </c>
      <c r="M61" s="79">
        <f>SUMPRODUCT(SUMIFS('For Tally'!D:D, 'For Tally'!H:H, $A61, 'For Tally'!A:A, "&gt;=2026-03-01", 'For Tally'!A:A, "&lt;=2026-03-31", 'For Tally'!L:L, $B$5:$F$5))</f>
        <v>101580</v>
      </c>
      <c r="N61" s="79">
        <f>SUMPRODUCT(SUMIFS('For Tally'!D:D, 'For Tally'!H:H, $A61, 'For Tally'!A:A, "&gt;=2026-04-01", 'For Tally'!A:A, "&lt;=2026-04-30", 'For Tally'!L:L, $B$5:$F$5))</f>
        <v>0</v>
      </c>
      <c r="O61" s="79">
        <f t="shared" si="2"/>
        <v>1271740</v>
      </c>
    </row>
    <row r="62" spans="1:15" x14ac:dyDescent="0.3">
      <c r="A62" s="112" t="s">
        <v>996</v>
      </c>
      <c r="B62" s="112">
        <f>SUMPRODUCT(SUMIFS('For Tally'!D:D, 'For Tally'!H:H, $A62, 'For Tally'!A:A, "&gt;=2025-04-01", 'For Tally'!A:A, "&lt;=2025-04-30", 'For Tally'!L:L, $B$5:$F$5))</f>
        <v>0</v>
      </c>
      <c r="C62" s="112">
        <f>SUMPRODUCT(SUMIFS('For Tally'!D:D, 'For Tally'!H:H, $A62, 'For Tally'!A:A, "&gt;=2025-05-01", 'For Tally'!A:A, "&lt;=2025-05-31", 'For Tally'!L:L, $B$5:$F$5))</f>
        <v>0</v>
      </c>
      <c r="D62" s="112">
        <f>SUMPRODUCT(SUMIFS('For Tally'!D:D, 'For Tally'!H:H, $A62, 'For Tally'!A:A, "&gt;=2025-06-01", 'For Tally'!A:A, "&lt;=2025-06-30", 'For Tally'!L:L, $B$5:$F$5))</f>
        <v>0</v>
      </c>
      <c r="E62" s="112">
        <f>SUMPRODUCT(SUMIFS('For Tally'!D:D, 'For Tally'!H:H, $A62, 'For Tally'!A:A, "&gt;=2025-07-01", 'For Tally'!A:A, "&lt;=2025-07-31", 'For Tally'!L:L, $B$5:$F$5))</f>
        <v>0</v>
      </c>
      <c r="F62" s="112">
        <f>SUMPRODUCT(SUMIFS('For Tally'!D:D, 'For Tally'!H:H, $A62, 'For Tally'!A:A, "&gt;=2025-08-01", 'For Tally'!A:A, "&lt;=2025-08-31", 'For Tally'!L:L, $B$5:$F$5))</f>
        <v>0</v>
      </c>
      <c r="G62" s="112">
        <f>SUMPRODUCT(SUMIFS('For Tally'!D:D, 'For Tally'!H:H, $A62, 'For Tally'!A:A, "&gt;=2025-09-01", 'For Tally'!A:A, "&lt;=2025-09-30", 'For Tally'!L:L, $B$5:$F$5))</f>
        <v>0</v>
      </c>
      <c r="H62" s="112">
        <f>SUMPRODUCT(SUMIFS('For Tally'!D:D, 'For Tally'!H:H, $A62, 'For Tally'!A:A, "&gt;=2025-10-01", 'For Tally'!A:A, "&lt;=2025-10-31", 'For Tally'!L:L, $B$5:$F$5))</f>
        <v>0</v>
      </c>
      <c r="I62" s="112">
        <f>SUMPRODUCT(SUMIFS('For Tally'!D:D, 'For Tally'!H:H, $A62, 'For Tally'!A:A, "&gt;=2025-11-01", 'For Tally'!A:A, "&lt;=2025-11-30", 'For Tally'!L:L, $B$5:$F$5))</f>
        <v>0</v>
      </c>
      <c r="J62" s="112">
        <f>SUMPRODUCT(SUMIFS('For Tally'!D:D, 'For Tally'!H:H, $A62, 'For Tally'!A:A, "&gt;=2025-12-01", 'For Tally'!A:A, "&lt;=2025-12-31", 'For Tally'!L:L, $B$5:$F$5))</f>
        <v>0</v>
      </c>
      <c r="K62" s="112">
        <f>SUMPRODUCT(SUMIFS('For Tally'!D:D, 'For Tally'!H:H, $A62, 'For Tally'!A:A, "&gt;=2026-01-01", 'For Tally'!A:A, "&lt;=2026-01-31", 'For Tally'!L:L, $B$5:$F$5))</f>
        <v>34000</v>
      </c>
      <c r="L62" s="112">
        <f>SUMPRODUCT(SUMIFS('For Tally'!D:D, 'For Tally'!H:H, $A62, 'For Tally'!A:A, "&gt;=2026-02-01", 'For Tally'!A:A, "&lt;=2026-02-28", 'For Tally'!L:L, $B$5:$F$5))</f>
        <v>0</v>
      </c>
      <c r="M62" s="112">
        <f>SUMPRODUCT(SUMIFS('For Tally'!D:D, 'For Tally'!H:H, $A62, 'For Tally'!A:A, "&gt;=2026-03-01", 'For Tally'!A:A, "&lt;=2026-03-31", 'For Tally'!L:L, $B$5:$F$5))</f>
        <v>0</v>
      </c>
      <c r="N62" s="112">
        <f>SUMPRODUCT(SUMIFS('For Tally'!D:D, 'For Tally'!H:H, $A62, 'For Tally'!A:A, "&gt;=2026-04-01", 'For Tally'!A:A, "&lt;=2026-04-30", 'For Tally'!L:L, $B$5:$F$5))</f>
        <v>0</v>
      </c>
      <c r="O62" s="112">
        <f t="shared" si="2"/>
        <v>34000</v>
      </c>
    </row>
    <row r="63" spans="1:15" x14ac:dyDescent="0.3">
      <c r="A63" s="135" t="s">
        <v>112</v>
      </c>
      <c r="B63" s="135">
        <f>SUMPRODUCT(SUMIFS('For Tally'!D:D, 'For Tally'!H:H, $A63, 'For Tally'!A:A, "&gt;=2025-04-01", 'For Tally'!A:A, "&lt;=2025-04-30", 'For Tally'!L:L, $B$5:$F$5))</f>
        <v>0</v>
      </c>
      <c r="C63" s="135">
        <f>SUMPRODUCT(SUMIFS('For Tally'!D:D, 'For Tally'!H:H, $A63, 'For Tally'!A:A, "&gt;=2025-05-01", 'For Tally'!A:A, "&lt;=2025-05-31", 'For Tally'!L:L, $B$5:$F$5))</f>
        <v>9220</v>
      </c>
      <c r="D63" s="135">
        <f>SUMPRODUCT(SUMIFS('For Tally'!D:D, 'For Tally'!H:H, $A63, 'For Tally'!A:A, "&gt;=2025-06-01", 'For Tally'!A:A, "&lt;=2025-06-30", 'For Tally'!L:L, $B$5:$F$5))</f>
        <v>0</v>
      </c>
      <c r="E63" s="135">
        <f>SUMPRODUCT(SUMIFS('For Tally'!D:D, 'For Tally'!H:H, $A63, 'For Tally'!A:A, "&gt;=2025-07-01", 'For Tally'!A:A, "&lt;=2025-07-31", 'For Tally'!L:L, $B$5:$F$5))</f>
        <v>0</v>
      </c>
      <c r="F63" s="135">
        <f>SUMPRODUCT(SUMIFS('For Tally'!D:D, 'For Tally'!H:H, $A63, 'For Tally'!A:A, "&gt;=2025-08-01", 'For Tally'!A:A, "&lt;=2025-08-31", 'For Tally'!L:L, $B$5:$F$5))</f>
        <v>0</v>
      </c>
      <c r="G63" s="135">
        <f>SUMPRODUCT(SUMIFS('For Tally'!D:D, 'For Tally'!H:H, $A63, 'For Tally'!A:A, "&gt;=2025-09-01", 'For Tally'!A:A, "&lt;=2025-09-30", 'For Tally'!L:L, $B$5:$F$5))</f>
        <v>0</v>
      </c>
      <c r="H63" s="135">
        <f>SUMPRODUCT(SUMIFS('For Tally'!D:D, 'For Tally'!H:H, $A63, 'For Tally'!A:A, "&gt;=2025-10-01", 'For Tally'!A:A, "&lt;=2025-10-31", 'For Tally'!L:L, $B$5:$F$5))</f>
        <v>0</v>
      </c>
      <c r="I63" s="135">
        <f>SUMPRODUCT(SUMIFS('For Tally'!D:D, 'For Tally'!H:H, $A63, 'For Tally'!A:A, "&gt;=2025-11-01", 'For Tally'!A:A, "&lt;=2025-11-30", 'For Tally'!L:L, $B$5:$F$5))</f>
        <v>0</v>
      </c>
      <c r="J63" s="135">
        <f>SUMPRODUCT(SUMIFS('For Tally'!D:D, 'For Tally'!H:H, $A63, 'For Tally'!A:A, "&gt;=2025-12-01", 'For Tally'!A:A, "&lt;=2025-12-31", 'For Tally'!L:L, $B$5:$F$5))</f>
        <v>0</v>
      </c>
      <c r="K63" s="135">
        <f>SUMPRODUCT(SUMIFS('For Tally'!D:D, 'For Tally'!H:H, $A63, 'For Tally'!A:A, "&gt;=2026-01-01", 'For Tally'!A:A, "&lt;=2026-01-31", 'For Tally'!L:L, $B$5:$F$5))</f>
        <v>0</v>
      </c>
      <c r="L63" s="135">
        <f>SUMPRODUCT(SUMIFS('For Tally'!D:D, 'For Tally'!H:H, $A63, 'For Tally'!A:A, "&gt;=2026-02-01", 'For Tally'!A:A, "&lt;=2026-02-28", 'For Tally'!L:L, $B$5:$F$5))</f>
        <v>0</v>
      </c>
      <c r="M63" s="135">
        <f>SUMPRODUCT(SUMIFS('For Tally'!D:D, 'For Tally'!H:H, $A63, 'For Tally'!A:A, "&gt;=2026-03-01", 'For Tally'!A:A, "&lt;=2026-03-31", 'For Tally'!L:L, $B$5:$F$5))</f>
        <v>0</v>
      </c>
      <c r="N63" s="135">
        <f>SUMPRODUCT(SUMIFS('For Tally'!D:D, 'For Tally'!H:H, $A63, 'For Tally'!A:A, "&gt;=2026-04-01", 'For Tally'!A:A, "&lt;=2026-04-30", 'For Tally'!L:L, $B$5:$F$5))</f>
        <v>0</v>
      </c>
      <c r="O63" s="135">
        <f t="shared" si="2"/>
        <v>9220</v>
      </c>
    </row>
    <row r="64" spans="1:15" x14ac:dyDescent="0.3">
      <c r="A64" s="135" t="s">
        <v>149</v>
      </c>
      <c r="B64" s="135">
        <f>SUMPRODUCT(SUMIFS('For Tally'!D:D, 'For Tally'!H:H, $A64, 'For Tally'!A:A, "&gt;=2025-04-01", 'For Tally'!A:A, "&lt;=2025-04-30", 'For Tally'!L:L, $B$5:$F$5))</f>
        <v>0</v>
      </c>
      <c r="C64" s="135">
        <f>SUMPRODUCT(SUMIFS('For Tally'!D:D, 'For Tally'!H:H, $A64, 'For Tally'!A:A, "&gt;=2025-05-01", 'For Tally'!A:A, "&lt;=2025-05-31", 'For Tally'!L:L, $B$5:$F$5))</f>
        <v>50000</v>
      </c>
      <c r="D64" s="135">
        <f>SUMPRODUCT(SUMIFS('For Tally'!D:D, 'For Tally'!H:H, $A64, 'For Tally'!A:A, "&gt;=2025-06-01", 'For Tally'!A:A, "&lt;=2025-06-30", 'For Tally'!L:L, $B$5:$F$5))</f>
        <v>25000</v>
      </c>
      <c r="E64" s="135">
        <f>SUMPRODUCT(SUMIFS('For Tally'!D:D, 'For Tally'!H:H, $A64, 'For Tally'!A:A, "&gt;=2025-07-01", 'For Tally'!A:A, "&lt;=2025-07-31", 'For Tally'!L:L, $B$5:$F$5))</f>
        <v>0</v>
      </c>
      <c r="F64" s="135">
        <f>SUMPRODUCT(SUMIFS('For Tally'!D:D, 'For Tally'!H:H, $A64, 'For Tally'!A:A, "&gt;=2025-08-01", 'For Tally'!A:A, "&lt;=2025-08-31", 'For Tally'!L:L, $B$5:$F$5))</f>
        <v>0</v>
      </c>
      <c r="G64" s="135">
        <f>SUMPRODUCT(SUMIFS('For Tally'!D:D, 'For Tally'!H:H, $A64, 'For Tally'!A:A, "&gt;=2025-09-01", 'For Tally'!A:A, "&lt;=2025-09-30", 'For Tally'!L:L, $B$5:$F$5))</f>
        <v>0</v>
      </c>
      <c r="H64" s="135">
        <f>SUMPRODUCT(SUMIFS('For Tally'!D:D, 'For Tally'!H:H, $A64, 'For Tally'!A:A, "&gt;=2025-10-01", 'For Tally'!A:A, "&lt;=2025-10-31", 'For Tally'!L:L, $B$5:$F$5))</f>
        <v>0</v>
      </c>
      <c r="I64" s="135">
        <f>SUMPRODUCT(SUMIFS('For Tally'!D:D, 'For Tally'!H:H, $A64, 'For Tally'!A:A, "&gt;=2025-11-01", 'For Tally'!A:A, "&lt;=2025-11-30", 'For Tally'!L:L, $B$5:$F$5))</f>
        <v>0</v>
      </c>
      <c r="J64" s="135">
        <f>SUMPRODUCT(SUMIFS('For Tally'!D:D, 'For Tally'!H:H, $A64, 'For Tally'!A:A, "&gt;=2025-12-01", 'For Tally'!A:A, "&lt;=2025-12-31", 'For Tally'!L:L, $B$5:$F$5))</f>
        <v>0</v>
      </c>
      <c r="K64" s="135">
        <f>SUMPRODUCT(SUMIFS('For Tally'!D:D, 'For Tally'!H:H, $A64, 'For Tally'!A:A, "&gt;=2026-01-01", 'For Tally'!A:A, "&lt;=2026-01-31", 'For Tally'!L:L, $B$5:$F$5))</f>
        <v>75000</v>
      </c>
      <c r="L64" s="135">
        <f>SUMPRODUCT(SUMIFS('For Tally'!D:D, 'For Tally'!H:H, $A64, 'For Tally'!A:A, "&gt;=2026-02-01", 'For Tally'!A:A, "&lt;=2026-02-28", 'For Tally'!L:L, $B$5:$F$5))</f>
        <v>0</v>
      </c>
      <c r="M64" s="135">
        <f>SUMPRODUCT(SUMIFS('For Tally'!D:D, 'For Tally'!H:H, $A64, 'For Tally'!A:A, "&gt;=2026-03-01", 'For Tally'!A:A, "&lt;=2026-03-31", 'For Tally'!L:L, $B$5:$F$5))</f>
        <v>0</v>
      </c>
      <c r="N64" s="135">
        <f>SUMPRODUCT(SUMIFS('For Tally'!D:D, 'For Tally'!H:H, $A64, 'For Tally'!A:A, "&gt;=2026-04-01", 'For Tally'!A:A, "&lt;=2026-04-30", 'For Tally'!L:L, $B$5:$F$5))</f>
        <v>0</v>
      </c>
      <c r="O64" s="135">
        <f t="shared" si="2"/>
        <v>150000</v>
      </c>
    </row>
    <row r="65" spans="1:15" x14ac:dyDescent="0.3">
      <c r="A65" s="135" t="s">
        <v>1046</v>
      </c>
      <c r="B65" s="135">
        <f>SUMPRODUCT(SUMIFS('For Tally'!D:D, 'For Tally'!H:H, $A65, 'For Tally'!A:A, "&gt;=2025-04-01", 'For Tally'!A:A, "&lt;=2025-04-30", 'For Tally'!L:L, $B$5:$F$5))</f>
        <v>0</v>
      </c>
      <c r="C65" s="135">
        <f>SUMPRODUCT(SUMIFS('For Tally'!D:D, 'For Tally'!H:H, $A65, 'For Tally'!A:A, "&gt;=2025-05-01", 'For Tally'!A:A, "&lt;=2025-05-31", 'For Tally'!L:L, $B$5:$F$5))</f>
        <v>0</v>
      </c>
      <c r="D65" s="135">
        <f>SUMPRODUCT(SUMIFS('For Tally'!D:D, 'For Tally'!H:H, $A65, 'For Tally'!A:A, "&gt;=2025-06-01", 'For Tally'!A:A, "&lt;=2025-06-30", 'For Tally'!L:L, $B$5:$F$5))</f>
        <v>2</v>
      </c>
      <c r="E65" s="135">
        <f>SUMPRODUCT(SUMIFS('For Tally'!D:D, 'For Tally'!H:H, $A65, 'For Tally'!A:A, "&gt;=2025-07-01", 'For Tally'!A:A, "&lt;=2025-07-31", 'For Tally'!L:L, $B$5:$F$5))</f>
        <v>147.07999999999998</v>
      </c>
      <c r="F65" s="135">
        <f>SUMPRODUCT(SUMIFS('For Tally'!D:D, 'For Tally'!H:H, $A65, 'For Tally'!A:A, "&gt;=2025-08-01", 'For Tally'!A:A, "&lt;=2025-08-31", 'For Tally'!L:L, $B$5:$F$5))</f>
        <v>0</v>
      </c>
      <c r="G65" s="135">
        <f>SUMPRODUCT(SUMIFS('For Tally'!D:D, 'For Tally'!H:H, $A65, 'For Tally'!A:A, "&gt;=2025-09-01", 'For Tally'!A:A, "&lt;=2025-09-30", 'For Tally'!L:L, $B$5:$F$5))</f>
        <v>0</v>
      </c>
      <c r="H65" s="135">
        <f>SUMPRODUCT(SUMIFS('For Tally'!D:D, 'For Tally'!H:H, $A65, 'For Tally'!A:A, "&gt;=2025-10-01", 'For Tally'!A:A, "&lt;=2025-10-31", 'For Tally'!L:L, $B$5:$F$5))</f>
        <v>0</v>
      </c>
      <c r="I65" s="135">
        <f>SUMPRODUCT(SUMIFS('For Tally'!D:D, 'For Tally'!H:H, $A65, 'For Tally'!A:A, "&gt;=2025-11-01", 'For Tally'!A:A, "&lt;=2025-11-30", 'For Tally'!L:L, $B$5:$F$5))</f>
        <v>0</v>
      </c>
      <c r="J65" s="135">
        <f>SUMPRODUCT(SUMIFS('For Tally'!D:D, 'For Tally'!H:H, $A65, 'For Tally'!A:A, "&gt;=2025-12-01", 'For Tally'!A:A, "&lt;=2025-12-31", 'For Tally'!L:L, $B$5:$F$5))</f>
        <v>0</v>
      </c>
      <c r="K65" s="135">
        <f>SUMPRODUCT(SUMIFS('For Tally'!D:D, 'For Tally'!H:H, $A65, 'For Tally'!A:A, "&gt;=2026-01-01", 'For Tally'!A:A, "&lt;=2026-01-31", 'For Tally'!L:L, $B$5:$F$5))</f>
        <v>0</v>
      </c>
      <c r="L65" s="135">
        <f>SUMPRODUCT(SUMIFS('For Tally'!D:D, 'For Tally'!H:H, $A65, 'For Tally'!A:A, "&gt;=2026-02-01", 'For Tally'!A:A, "&lt;=2026-02-28", 'For Tally'!L:L, $B$5:$F$5))</f>
        <v>0</v>
      </c>
      <c r="M65" s="135">
        <f>SUMPRODUCT(SUMIFS('For Tally'!D:D, 'For Tally'!H:H, $A65, 'For Tally'!A:A, "&gt;=2026-03-01", 'For Tally'!A:A, "&lt;=2026-03-31", 'For Tally'!L:L, $B$5:$F$5))</f>
        <v>0</v>
      </c>
      <c r="N65" s="135">
        <f>SUMPRODUCT(SUMIFS('For Tally'!D:D, 'For Tally'!H:H, $A65, 'For Tally'!A:A, "&gt;=2026-04-01", 'For Tally'!A:A, "&lt;=2026-04-30", 'For Tally'!L:L, $B$5:$F$5))</f>
        <v>0</v>
      </c>
      <c r="O65" s="135">
        <f t="shared" si="2"/>
        <v>149.07999999999998</v>
      </c>
    </row>
    <row r="66" spans="1:15" x14ac:dyDescent="0.3">
      <c r="A66" s="135" t="s">
        <v>1014</v>
      </c>
      <c r="B66" s="135">
        <f>SUMPRODUCT(SUMIFS('For Tally'!D:D, 'For Tally'!H:H, $A66, 'For Tally'!A:A, "&gt;=2025-04-01", 'For Tally'!A:A, "&lt;=2025-04-30", 'For Tally'!L:L, $B$5:$F$5))</f>
        <v>0</v>
      </c>
      <c r="C66" s="135">
        <f>SUMPRODUCT(SUMIFS('For Tally'!D:D, 'For Tally'!H:H, $A66, 'For Tally'!A:A, "&gt;=2025-05-01", 'For Tally'!A:A, "&lt;=2025-05-31", 'For Tally'!L:L, $B$5:$F$5))</f>
        <v>2610</v>
      </c>
      <c r="D66" s="135">
        <f>SUMPRODUCT(SUMIFS('For Tally'!D:D, 'For Tally'!H:H, $A66, 'For Tally'!A:A, "&gt;=2025-06-01", 'For Tally'!A:A, "&lt;=2025-06-30", 'For Tally'!L:L, $B$5:$F$5))</f>
        <v>1470.72</v>
      </c>
      <c r="E66" s="135">
        <f>SUMPRODUCT(SUMIFS('For Tally'!D:D, 'For Tally'!H:H, $A66, 'For Tally'!A:A, "&gt;=2025-07-01", 'For Tally'!A:A, "&lt;=2025-07-31", 'For Tally'!L:L, $B$5:$F$5))</f>
        <v>0</v>
      </c>
      <c r="F66" s="135">
        <f>SUMPRODUCT(SUMIFS('For Tally'!D:D, 'For Tally'!H:H, $A66, 'For Tally'!A:A, "&gt;=2025-08-01", 'For Tally'!A:A, "&lt;=2025-08-31", 'For Tally'!L:L, $B$5:$F$5))</f>
        <v>2460</v>
      </c>
      <c r="G66" s="135">
        <f>SUMPRODUCT(SUMIFS('For Tally'!D:D, 'For Tally'!H:H, $A66, 'For Tally'!A:A, "&gt;=2025-09-01", 'For Tally'!A:A, "&lt;=2025-09-30", 'For Tally'!L:L, $B$5:$F$5))</f>
        <v>0</v>
      </c>
      <c r="H66" s="135">
        <f>SUMPRODUCT(SUMIFS('For Tally'!D:D, 'For Tally'!H:H, $A66, 'For Tally'!A:A, "&gt;=2025-10-01", 'For Tally'!A:A, "&lt;=2025-10-31", 'For Tally'!L:L, $B$5:$F$5))</f>
        <v>2430</v>
      </c>
      <c r="I66" s="135">
        <f>SUMPRODUCT(SUMIFS('For Tally'!D:D, 'For Tally'!H:H, $A66, 'For Tally'!A:A, "&gt;=2025-11-01", 'For Tally'!A:A, "&lt;=2025-11-30", 'For Tally'!L:L, $B$5:$F$5))</f>
        <v>0</v>
      </c>
      <c r="J66" s="135">
        <f>SUMPRODUCT(SUMIFS('For Tally'!D:D, 'For Tally'!H:H, $A66, 'For Tally'!A:A, "&gt;=2025-12-01", 'For Tally'!A:A, "&lt;=2025-12-31", 'For Tally'!L:L, $B$5:$F$5))</f>
        <v>12086.659999999998</v>
      </c>
      <c r="K66" s="135">
        <f>SUMPRODUCT(SUMIFS('For Tally'!D:D, 'For Tally'!H:H, $A66, 'For Tally'!A:A, "&gt;=2026-01-01", 'For Tally'!A:A, "&lt;=2026-01-31", 'For Tally'!L:L, $B$5:$F$5))</f>
        <v>1000</v>
      </c>
      <c r="L66" s="135">
        <f>SUMPRODUCT(SUMIFS('For Tally'!D:D, 'For Tally'!H:H, $A66, 'For Tally'!A:A, "&gt;=2026-02-01", 'For Tally'!A:A, "&lt;=2026-02-28", 'For Tally'!L:L, $B$5:$F$5))</f>
        <v>0</v>
      </c>
      <c r="M66" s="135">
        <f>SUMPRODUCT(SUMIFS('For Tally'!D:D, 'For Tally'!H:H, $A66, 'For Tally'!A:A, "&gt;=2026-03-01", 'For Tally'!A:A, "&lt;=2026-03-31", 'For Tally'!L:L, $B$5:$F$5))</f>
        <v>0</v>
      </c>
      <c r="N66" s="135">
        <f>SUMPRODUCT(SUMIFS('For Tally'!D:D, 'For Tally'!H:H, $A66, 'For Tally'!A:A, "&gt;=2026-04-01", 'For Tally'!A:A, "&lt;=2026-04-30", 'For Tally'!L:L, $B$5:$F$5))</f>
        <v>0</v>
      </c>
      <c r="O66" s="135">
        <f t="shared" si="2"/>
        <v>22057.379999999997</v>
      </c>
    </row>
    <row r="67" spans="1:15" x14ac:dyDescent="0.3">
      <c r="A67" s="135" t="s">
        <v>1735</v>
      </c>
      <c r="B67" s="135">
        <f>SUMPRODUCT(SUMIFS('For Tally'!D:D, 'For Tally'!H:H, $A67, 'For Tally'!A:A, "&gt;=2025-04-01", 'For Tally'!A:A, "&lt;=2025-04-30", 'For Tally'!L:L, $B$5:$F$5))</f>
        <v>4213.71</v>
      </c>
      <c r="C67" s="135">
        <f>SUMPRODUCT(SUMIFS('For Tally'!D:D, 'For Tally'!H:H, $A67, 'For Tally'!A:A, "&gt;=2025-05-01", 'For Tally'!A:A, "&lt;=2025-05-31", 'For Tally'!L:L, $B$5:$F$5))</f>
        <v>0</v>
      </c>
      <c r="D67" s="135">
        <f>SUMPRODUCT(SUMIFS('For Tally'!D:D, 'For Tally'!H:H, $A67, 'For Tally'!A:A, "&gt;=2025-06-01", 'For Tally'!A:A, "&lt;=2025-06-30", 'For Tally'!L:L, $B$5:$F$5))</f>
        <v>0</v>
      </c>
      <c r="E67" s="135">
        <f>SUMPRODUCT(SUMIFS('For Tally'!D:D, 'For Tally'!H:H, $A67, 'For Tally'!A:A, "&gt;=2025-07-01", 'For Tally'!A:A, "&lt;=2025-07-31", 'For Tally'!L:L, $B$5:$F$5))</f>
        <v>0</v>
      </c>
      <c r="F67" s="135">
        <f>SUMPRODUCT(SUMIFS('For Tally'!D:D, 'For Tally'!H:H, $A67, 'For Tally'!A:A, "&gt;=2025-08-01", 'For Tally'!A:A, "&lt;=2025-08-31", 'For Tally'!L:L, $B$5:$F$5))</f>
        <v>0</v>
      </c>
      <c r="G67" s="135">
        <f>SUMPRODUCT(SUMIFS('For Tally'!D:D, 'For Tally'!H:H, $A67, 'For Tally'!A:A, "&gt;=2025-09-01", 'For Tally'!A:A, "&lt;=2025-09-30", 'For Tally'!L:L, $B$5:$F$5))</f>
        <v>0</v>
      </c>
      <c r="H67" s="135">
        <f>SUMPRODUCT(SUMIFS('For Tally'!D:D, 'For Tally'!H:H, $A67, 'For Tally'!A:A, "&gt;=2025-10-01", 'For Tally'!A:A, "&lt;=2025-10-31", 'For Tally'!L:L, $B$5:$F$5))</f>
        <v>5974.19</v>
      </c>
      <c r="I67" s="135">
        <f>SUMPRODUCT(SUMIFS('For Tally'!D:D, 'For Tally'!H:H, $A67, 'For Tally'!A:A, "&gt;=2025-11-01", 'For Tally'!A:A, "&lt;=2025-11-30", 'For Tally'!L:L, $B$5:$F$5))</f>
        <v>0</v>
      </c>
      <c r="J67" s="135">
        <f>SUMPRODUCT(SUMIFS('For Tally'!D:D, 'For Tally'!H:H, $A67, 'For Tally'!A:A, "&gt;=2025-12-01", 'For Tally'!A:A, "&lt;=2025-12-31", 'For Tally'!L:L, $B$5:$F$5))</f>
        <v>0</v>
      </c>
      <c r="K67" s="135">
        <f>SUMPRODUCT(SUMIFS('For Tally'!D:D, 'For Tally'!H:H, $A67, 'For Tally'!A:A, "&gt;=2026-01-01", 'For Tally'!A:A, "&lt;=2026-01-31", 'For Tally'!L:L, $B$5:$F$5))</f>
        <v>25783.1</v>
      </c>
      <c r="L67" s="135">
        <f>SUMPRODUCT(SUMIFS('For Tally'!D:D, 'For Tally'!H:H, $A67, 'For Tally'!A:A, "&gt;=2026-02-01", 'For Tally'!A:A, "&lt;=2026-02-28", 'For Tally'!L:L, $B$5:$F$5))</f>
        <v>0</v>
      </c>
      <c r="M67" s="135">
        <f>SUMPRODUCT(SUMIFS('For Tally'!D:D, 'For Tally'!H:H, $A67, 'For Tally'!A:A, "&gt;=2026-03-01", 'For Tally'!A:A, "&lt;=2026-03-31", 'For Tally'!L:L, $B$5:$F$5))</f>
        <v>0</v>
      </c>
      <c r="N67" s="135">
        <f>SUMPRODUCT(SUMIFS('For Tally'!D:D, 'For Tally'!H:H, $A67, 'For Tally'!A:A, "&gt;=2026-04-01", 'For Tally'!A:A, "&lt;=2026-04-30", 'For Tally'!L:L, $B$5:$F$5))</f>
        <v>0</v>
      </c>
      <c r="O67" s="135">
        <f t="shared" si="2"/>
        <v>35971</v>
      </c>
    </row>
    <row r="68" spans="1:15" x14ac:dyDescent="0.3">
      <c r="A68" s="178" t="s">
        <v>2524</v>
      </c>
      <c r="B68" s="178">
        <f t="shared" ref="B68:O68" si="3">SUM(B44:B67)</f>
        <v>332500.7</v>
      </c>
      <c r="C68" s="178">
        <f t="shared" si="3"/>
        <v>433492.01</v>
      </c>
      <c r="D68" s="178">
        <f t="shared" si="3"/>
        <v>240876.65</v>
      </c>
      <c r="E68" s="178">
        <f t="shared" si="3"/>
        <v>357540.69</v>
      </c>
      <c r="F68" s="178">
        <f t="shared" si="3"/>
        <v>287140.09999999998</v>
      </c>
      <c r="G68" s="178">
        <f t="shared" si="3"/>
        <v>496211.51</v>
      </c>
      <c r="H68" s="178">
        <f t="shared" si="3"/>
        <v>738881.91999999993</v>
      </c>
      <c r="I68" s="178">
        <f t="shared" si="3"/>
        <v>198811.07</v>
      </c>
      <c r="J68" s="178">
        <f t="shared" si="3"/>
        <v>193525.71</v>
      </c>
      <c r="K68" s="178">
        <f t="shared" si="3"/>
        <v>412620.39999999997</v>
      </c>
      <c r="L68" s="178">
        <f t="shared" si="3"/>
        <v>143488</v>
      </c>
      <c r="M68" s="178">
        <f t="shared" si="3"/>
        <v>251661.34</v>
      </c>
      <c r="N68" s="178">
        <f t="shared" si="3"/>
        <v>227</v>
      </c>
      <c r="O68" s="178">
        <f t="shared" si="3"/>
        <v>4086977.1000000006</v>
      </c>
    </row>
    <row r="70" spans="1:15" x14ac:dyDescent="0.3">
      <c r="A70" s="179" t="s">
        <v>2526</v>
      </c>
      <c r="B70" s="179" t="s">
        <v>2511</v>
      </c>
      <c r="C70" s="179" t="s">
        <v>2512</v>
      </c>
      <c r="D70" s="179" t="s">
        <v>2513</v>
      </c>
      <c r="E70" s="179" t="s">
        <v>2514</v>
      </c>
      <c r="F70" s="179" t="s">
        <v>2515</v>
      </c>
      <c r="G70" s="179" t="s">
        <v>2516</v>
      </c>
      <c r="H70" s="179" t="s">
        <v>2517</v>
      </c>
      <c r="I70" s="179" t="s">
        <v>2518</v>
      </c>
      <c r="J70" s="179" t="s">
        <v>2519</v>
      </c>
      <c r="K70" s="179" t="s">
        <v>2520</v>
      </c>
      <c r="L70" s="179" t="s">
        <v>2521</v>
      </c>
      <c r="M70" s="179" t="s">
        <v>2522</v>
      </c>
      <c r="N70" s="179" t="s">
        <v>2523</v>
      </c>
      <c r="O70" s="179" t="s">
        <v>2495</v>
      </c>
    </row>
    <row r="71" spans="1:15" x14ac:dyDescent="0.3">
      <c r="A71" s="106" t="s">
        <v>2527</v>
      </c>
      <c r="B71" s="106">
        <f>SUMIFS('CC Transactions'!E:E, 'CC Transactions'!D:D, $A71, 'CC Transactions'!A:A, "&gt;=2025-04-01", 'CC Transactions'!A:A, "&lt;=2025-04-30")</f>
        <v>1500</v>
      </c>
      <c r="C71" s="106">
        <f>SUMIFS('CC Transactions'!E:E, 'CC Transactions'!D:D, $A71, 'CC Transactions'!A:A, "&gt;=2025-05-01", 'CC Transactions'!A:A, "&lt;=2025-05-31")</f>
        <v>0</v>
      </c>
      <c r="D71" s="106">
        <f>SUMIFS('CC Transactions'!E:E, 'CC Transactions'!D:D, $A71, 'CC Transactions'!A:A, "&gt;=2025-06-01", 'CC Transactions'!A:A, "&lt;=2025-06-30")</f>
        <v>2848</v>
      </c>
      <c r="E71" s="106">
        <f>SUMIFS('CC Transactions'!E:E, 'CC Transactions'!D:D, $A71, 'CC Transactions'!A:A, "&gt;=2025-07-01", 'CC Transactions'!A:A, "&lt;=2025-07-31")</f>
        <v>0</v>
      </c>
      <c r="F71" s="106">
        <f>SUMIFS('CC Transactions'!E:E, 'CC Transactions'!D:D, $A71, 'CC Transactions'!A:A, "&gt;=2025-08-01", 'CC Transactions'!A:A, "&lt;=2025-08-31")</f>
        <v>0</v>
      </c>
      <c r="G71" s="106">
        <f>SUMIFS('CC Transactions'!E:E, 'CC Transactions'!D:D, $A71, 'CC Transactions'!A:A, "&gt;=2025-09-01", 'CC Transactions'!A:A, "&lt;=2025-09-30")</f>
        <v>6644</v>
      </c>
      <c r="H71" s="106">
        <f>SUMIFS('CC Transactions'!E:E, 'CC Transactions'!D:D, $A71, 'CC Transactions'!A:A, "&gt;=2025-10-01", 'CC Transactions'!A:A, "&lt;=2025-10-31")</f>
        <v>0</v>
      </c>
      <c r="I71" s="106">
        <f>SUMIFS('CC Transactions'!E:E, 'CC Transactions'!D:D, $A71, 'CC Transactions'!A:A, "&gt;=2025-11-01", 'CC Transactions'!A:A, "&lt;=2025-11-30")</f>
        <v>0</v>
      </c>
      <c r="J71" s="106">
        <f>SUMIFS('CC Transactions'!E:E, 'CC Transactions'!D:D, $A71, 'CC Transactions'!A:A, "&gt;=2025-12-01", 'CC Transactions'!A:A, "&lt;=2025-12-31")</f>
        <v>0</v>
      </c>
      <c r="K71" s="106">
        <f>SUMIFS('CC Transactions'!E:E, 'CC Transactions'!D:D, $A71, 'CC Transactions'!A:A, "&gt;=2026-01-01", 'CC Transactions'!A:A, "&lt;=2026-01-31")</f>
        <v>0</v>
      </c>
      <c r="L71" s="106">
        <f>SUMIFS('CC Transactions'!E:E, 'CC Transactions'!D:D, $A71, 'CC Transactions'!A:A, "&gt;=2026-02-01", 'CC Transactions'!A:A, "&lt;=2026-02-28")</f>
        <v>700</v>
      </c>
      <c r="M71" s="106">
        <f>SUMIFS('CC Transactions'!E:E, 'CC Transactions'!D:D, $A71, 'CC Transactions'!A:A, "&gt;=2026-03-01", 'CC Transactions'!A:A, "&lt;=2026-03-31")</f>
        <v>0</v>
      </c>
      <c r="N71" s="106">
        <f>SUMIFS('CC Transactions'!E:E, 'CC Transactions'!D:D, $A71, 'CC Transactions'!A:A, "&gt;=2026-04-01", 'CC Transactions'!A:A, "&lt;=2026-04-30")</f>
        <v>0</v>
      </c>
      <c r="O71" s="106">
        <f t="shared" ref="O71:O84" si="4">SUM(B71:N71)</f>
        <v>11692</v>
      </c>
    </row>
    <row r="72" spans="1:15" x14ac:dyDescent="0.3">
      <c r="A72" s="110" t="s">
        <v>2528</v>
      </c>
      <c r="B72" s="110">
        <f>SUMIFS('CC Transactions'!E:E, 'CC Transactions'!D:D, $A72, 'CC Transactions'!A:A, "&gt;=2025-04-01", 'CC Transactions'!A:A, "&lt;=2025-04-30")</f>
        <v>0</v>
      </c>
      <c r="C72" s="110">
        <f>SUMIFS('CC Transactions'!E:E, 'CC Transactions'!D:D, $A72, 'CC Transactions'!A:A, "&gt;=2025-05-01", 'CC Transactions'!A:A, "&lt;=2025-05-31")</f>
        <v>0</v>
      </c>
      <c r="D72" s="110">
        <f>SUMIFS('CC Transactions'!E:E, 'CC Transactions'!D:D, $A72, 'CC Transactions'!A:A, "&gt;=2025-06-01", 'CC Transactions'!A:A, "&lt;=2025-06-30")</f>
        <v>244.84</v>
      </c>
      <c r="E72" s="110">
        <f>SUMIFS('CC Transactions'!E:E, 'CC Transactions'!D:D, $A72, 'CC Transactions'!A:A, "&gt;=2025-07-01", 'CC Transactions'!A:A, "&lt;=2025-07-31")</f>
        <v>561</v>
      </c>
      <c r="F72" s="110">
        <f>SUMIFS('CC Transactions'!E:E, 'CC Transactions'!D:D, $A72, 'CC Transactions'!A:A, "&gt;=2025-08-01", 'CC Transactions'!A:A, "&lt;=2025-08-31")</f>
        <v>0</v>
      </c>
      <c r="G72" s="110">
        <f>SUMIFS('CC Transactions'!E:E, 'CC Transactions'!D:D, $A72, 'CC Transactions'!A:A, "&gt;=2025-09-01", 'CC Transactions'!A:A, "&lt;=2025-09-30")</f>
        <v>1247</v>
      </c>
      <c r="H72" s="110">
        <f>SUMIFS('CC Transactions'!E:E, 'CC Transactions'!D:D, $A72, 'CC Transactions'!A:A, "&gt;=2025-10-01", 'CC Transactions'!A:A, "&lt;=2025-10-31")</f>
        <v>0</v>
      </c>
      <c r="I72" s="110">
        <f>SUMIFS('CC Transactions'!E:E, 'CC Transactions'!D:D, $A72, 'CC Transactions'!A:A, "&gt;=2025-11-01", 'CC Transactions'!A:A, "&lt;=2025-11-30")</f>
        <v>0</v>
      </c>
      <c r="J72" s="110">
        <f>SUMIFS('CC Transactions'!E:E, 'CC Transactions'!D:D, $A72, 'CC Transactions'!A:A, "&gt;=2025-12-01", 'CC Transactions'!A:A, "&lt;=2025-12-31")</f>
        <v>0</v>
      </c>
      <c r="K72" s="110">
        <f>SUMIFS('CC Transactions'!E:E, 'CC Transactions'!D:D, $A72, 'CC Transactions'!A:A, "&gt;=2026-01-01", 'CC Transactions'!A:A, "&lt;=2026-01-31")</f>
        <v>0</v>
      </c>
      <c r="L72" s="110">
        <f>SUMIFS('CC Transactions'!E:E, 'CC Transactions'!D:D, $A72, 'CC Transactions'!A:A, "&gt;=2026-02-01", 'CC Transactions'!A:A, "&lt;=2026-02-28")</f>
        <v>0</v>
      </c>
      <c r="M72" s="110">
        <f>SUMIFS('CC Transactions'!E:E, 'CC Transactions'!D:D, $A72, 'CC Transactions'!A:A, "&gt;=2026-03-01", 'CC Transactions'!A:A, "&lt;=2026-03-31")</f>
        <v>0</v>
      </c>
      <c r="N72" s="110">
        <f>SUMIFS('CC Transactions'!E:E, 'CC Transactions'!D:D, $A72, 'CC Transactions'!A:A, "&gt;=2026-04-01", 'CC Transactions'!A:A, "&lt;=2026-04-30")</f>
        <v>0</v>
      </c>
      <c r="O72" s="110">
        <f t="shared" si="4"/>
        <v>2052.84</v>
      </c>
    </row>
    <row r="73" spans="1:15" x14ac:dyDescent="0.3">
      <c r="A73" s="180" t="s">
        <v>2529</v>
      </c>
      <c r="B73" s="180">
        <f>SUMIFS('CC Transactions'!E:E, 'CC Transactions'!D:D, $A73, 'CC Transactions'!A:A, "&gt;=2025-04-01", 'CC Transactions'!A:A, "&lt;=2025-04-30")</f>
        <v>0</v>
      </c>
      <c r="C73" s="180">
        <f>SUMIFS('CC Transactions'!E:E, 'CC Transactions'!D:D, $A73, 'CC Transactions'!A:A, "&gt;=2025-05-01", 'CC Transactions'!A:A, "&lt;=2025-05-31")</f>
        <v>310</v>
      </c>
      <c r="D73" s="180">
        <f>SUMIFS('CC Transactions'!E:E, 'CC Transactions'!D:D, $A73, 'CC Transactions'!A:A, "&gt;=2025-06-01", 'CC Transactions'!A:A, "&lt;=2025-06-30")</f>
        <v>0</v>
      </c>
      <c r="E73" s="180">
        <f>SUMIFS('CC Transactions'!E:E, 'CC Transactions'!D:D, $A73, 'CC Transactions'!A:A, "&gt;=2025-07-01", 'CC Transactions'!A:A, "&lt;=2025-07-31")</f>
        <v>65</v>
      </c>
      <c r="F73" s="180">
        <f>SUMIFS('CC Transactions'!E:E, 'CC Transactions'!D:D, $A73, 'CC Transactions'!A:A, "&gt;=2025-08-01", 'CC Transactions'!A:A, "&lt;=2025-08-31")</f>
        <v>0</v>
      </c>
      <c r="G73" s="180">
        <f>SUMIFS('CC Transactions'!E:E, 'CC Transactions'!D:D, $A73, 'CC Transactions'!A:A, "&gt;=2025-09-01", 'CC Transactions'!A:A, "&lt;=2025-09-30")</f>
        <v>0</v>
      </c>
      <c r="H73" s="180">
        <f>SUMIFS('CC Transactions'!E:E, 'CC Transactions'!D:D, $A73, 'CC Transactions'!A:A, "&gt;=2025-10-01", 'CC Transactions'!A:A, "&lt;=2025-10-31")</f>
        <v>0</v>
      </c>
      <c r="I73" s="180">
        <f>SUMIFS('CC Transactions'!E:E, 'CC Transactions'!D:D, $A73, 'CC Transactions'!A:A, "&gt;=2025-11-01", 'CC Transactions'!A:A, "&lt;=2025-11-30")</f>
        <v>0</v>
      </c>
      <c r="J73" s="180">
        <f>SUMIFS('CC Transactions'!E:E, 'CC Transactions'!D:D, $A73, 'CC Transactions'!A:A, "&gt;=2025-12-01", 'CC Transactions'!A:A, "&lt;=2025-12-31")</f>
        <v>260</v>
      </c>
      <c r="K73" s="180">
        <f>SUMIFS('CC Transactions'!E:E, 'CC Transactions'!D:D, $A73, 'CC Transactions'!A:A, "&gt;=2026-01-01", 'CC Transactions'!A:A, "&lt;=2026-01-31")</f>
        <v>0</v>
      </c>
      <c r="L73" s="180">
        <f>SUMIFS('CC Transactions'!E:E, 'CC Transactions'!D:D, $A73, 'CC Transactions'!A:A, "&gt;=2026-02-01", 'CC Transactions'!A:A, "&lt;=2026-02-28")</f>
        <v>0</v>
      </c>
      <c r="M73" s="180">
        <f>SUMIFS('CC Transactions'!E:E, 'CC Transactions'!D:D, $A73, 'CC Transactions'!A:A, "&gt;=2026-03-01", 'CC Transactions'!A:A, "&lt;=2026-03-31")</f>
        <v>0</v>
      </c>
      <c r="N73" s="180">
        <f>SUMIFS('CC Transactions'!E:E, 'CC Transactions'!D:D, $A73, 'CC Transactions'!A:A, "&gt;=2026-04-01", 'CC Transactions'!A:A, "&lt;=2026-04-30")</f>
        <v>0</v>
      </c>
      <c r="O73" s="180">
        <f t="shared" si="4"/>
        <v>635</v>
      </c>
    </row>
    <row r="74" spans="1:15" x14ac:dyDescent="0.3">
      <c r="A74" s="42" t="s">
        <v>2530</v>
      </c>
      <c r="B74" s="42">
        <f>SUMIFS('CC Transactions'!E:E, 'CC Transactions'!D:D, $A74, 'CC Transactions'!A:A, "&gt;=2025-04-01", 'CC Transactions'!A:A, "&lt;=2025-04-30")</f>
        <v>771</v>
      </c>
      <c r="C74" s="42">
        <f>SUMIFS('CC Transactions'!E:E, 'CC Transactions'!D:D, $A74, 'CC Transactions'!A:A, "&gt;=2025-05-01", 'CC Transactions'!A:A, "&lt;=2025-05-31")</f>
        <v>6984.15</v>
      </c>
      <c r="D74" s="42">
        <f>SUMIFS('CC Transactions'!E:E, 'CC Transactions'!D:D, $A74, 'CC Transactions'!A:A, "&gt;=2025-06-01", 'CC Transactions'!A:A, "&lt;=2025-06-30")</f>
        <v>1301</v>
      </c>
      <c r="E74" s="42">
        <f>SUMIFS('CC Transactions'!E:E, 'CC Transactions'!D:D, $A74, 'CC Transactions'!A:A, "&gt;=2025-07-01", 'CC Transactions'!A:A, "&lt;=2025-07-31")</f>
        <v>8451.7199999999993</v>
      </c>
      <c r="F74" s="42">
        <f>SUMIFS('CC Transactions'!E:E, 'CC Transactions'!D:D, $A74, 'CC Transactions'!A:A, "&gt;=2025-08-01", 'CC Transactions'!A:A, "&lt;=2025-08-31")</f>
        <v>2007.5</v>
      </c>
      <c r="G74" s="42">
        <f>SUMIFS('CC Transactions'!E:E, 'CC Transactions'!D:D, $A74, 'CC Transactions'!A:A, "&gt;=2025-09-01", 'CC Transactions'!A:A, "&lt;=2025-09-30")</f>
        <v>7533.1100000000006</v>
      </c>
      <c r="H74" s="42">
        <f>SUMIFS('CC Transactions'!E:E, 'CC Transactions'!D:D, $A74, 'CC Transactions'!A:A, "&gt;=2025-10-01", 'CC Transactions'!A:A, "&lt;=2025-10-31")</f>
        <v>5436</v>
      </c>
      <c r="I74" s="42">
        <f>SUMIFS('CC Transactions'!E:E, 'CC Transactions'!D:D, $A74, 'CC Transactions'!A:A, "&gt;=2025-11-01", 'CC Transactions'!A:A, "&lt;=2025-11-30")</f>
        <v>1362</v>
      </c>
      <c r="J74" s="42">
        <f>SUMIFS('CC Transactions'!E:E, 'CC Transactions'!D:D, $A74, 'CC Transactions'!A:A, "&gt;=2025-12-01", 'CC Transactions'!A:A, "&lt;=2025-12-31")</f>
        <v>6096.16</v>
      </c>
      <c r="K74" s="42">
        <f>SUMIFS('CC Transactions'!E:E, 'CC Transactions'!D:D, $A74, 'CC Transactions'!A:A, "&gt;=2026-01-01", 'CC Transactions'!A:A, "&lt;=2026-01-31")</f>
        <v>895</v>
      </c>
      <c r="L74" s="42">
        <f>SUMIFS('CC Transactions'!E:E, 'CC Transactions'!D:D, $A74, 'CC Transactions'!A:A, "&gt;=2026-02-01", 'CC Transactions'!A:A, "&lt;=2026-02-28")</f>
        <v>5141.8099999999995</v>
      </c>
      <c r="M74" s="42">
        <f>SUMIFS('CC Transactions'!E:E, 'CC Transactions'!D:D, $A74, 'CC Transactions'!A:A, "&gt;=2026-03-01", 'CC Transactions'!A:A, "&lt;=2026-03-31")</f>
        <v>1879.38</v>
      </c>
      <c r="N74" s="42">
        <f>SUMIFS('CC Transactions'!E:E, 'CC Transactions'!D:D, $A74, 'CC Transactions'!A:A, "&gt;=2026-04-01", 'CC Transactions'!A:A, "&lt;=2026-04-30")</f>
        <v>0</v>
      </c>
      <c r="O74" s="42">
        <f t="shared" si="4"/>
        <v>47858.829999999994</v>
      </c>
    </row>
    <row r="75" spans="1:15" x14ac:dyDescent="0.3">
      <c r="A75" s="44" t="s">
        <v>2531</v>
      </c>
      <c r="B75" s="44">
        <f>SUMIFS('CC Transactions'!E:E, 'CC Transactions'!D:D, $A75, 'CC Transactions'!A:A, "&gt;=2025-04-01", 'CC Transactions'!A:A, "&lt;=2025-04-30")</f>
        <v>0</v>
      </c>
      <c r="C75" s="44">
        <f>SUMIFS('CC Transactions'!E:E, 'CC Transactions'!D:D, $A75, 'CC Transactions'!A:A, "&gt;=2025-05-01", 'CC Transactions'!A:A, "&lt;=2025-05-31")</f>
        <v>205</v>
      </c>
      <c r="D75" s="44">
        <f>SUMIFS('CC Transactions'!E:E, 'CC Transactions'!D:D, $A75, 'CC Transactions'!A:A, "&gt;=2025-06-01", 'CC Transactions'!A:A, "&lt;=2025-06-30")</f>
        <v>0</v>
      </c>
      <c r="E75" s="44">
        <f>SUMIFS('CC Transactions'!E:E, 'CC Transactions'!D:D, $A75, 'CC Transactions'!A:A, "&gt;=2025-07-01", 'CC Transactions'!A:A, "&lt;=2025-07-31")</f>
        <v>0</v>
      </c>
      <c r="F75" s="44">
        <f>SUMIFS('CC Transactions'!E:E, 'CC Transactions'!D:D, $A75, 'CC Transactions'!A:A, "&gt;=2025-08-01", 'CC Transactions'!A:A, "&lt;=2025-08-31")</f>
        <v>0</v>
      </c>
      <c r="G75" s="44">
        <f>SUMIFS('CC Transactions'!E:E, 'CC Transactions'!D:D, $A75, 'CC Transactions'!A:A, "&gt;=2025-09-01", 'CC Transactions'!A:A, "&lt;=2025-09-30")</f>
        <v>0</v>
      </c>
      <c r="H75" s="44">
        <f>SUMIFS('CC Transactions'!E:E, 'CC Transactions'!D:D, $A75, 'CC Transactions'!A:A, "&gt;=2025-10-01", 'CC Transactions'!A:A, "&lt;=2025-10-31")</f>
        <v>0</v>
      </c>
      <c r="I75" s="44">
        <f>SUMIFS('CC Transactions'!E:E, 'CC Transactions'!D:D, $A75, 'CC Transactions'!A:A, "&gt;=2025-11-01", 'CC Transactions'!A:A, "&lt;=2025-11-30")</f>
        <v>208</v>
      </c>
      <c r="J75" s="44">
        <f>SUMIFS('CC Transactions'!E:E, 'CC Transactions'!D:D, $A75, 'CC Transactions'!A:A, "&gt;=2025-12-01", 'CC Transactions'!A:A, "&lt;=2025-12-31")</f>
        <v>64</v>
      </c>
      <c r="K75" s="44">
        <f>SUMIFS('CC Transactions'!E:E, 'CC Transactions'!D:D, $A75, 'CC Transactions'!A:A, "&gt;=2026-01-01", 'CC Transactions'!A:A, "&lt;=2026-01-31")</f>
        <v>0</v>
      </c>
      <c r="L75" s="44">
        <f>SUMIFS('CC Transactions'!E:E, 'CC Transactions'!D:D, $A75, 'CC Transactions'!A:A, "&gt;=2026-02-01", 'CC Transactions'!A:A, "&lt;=2026-02-28")</f>
        <v>0</v>
      </c>
      <c r="M75" s="44">
        <f>SUMIFS('CC Transactions'!E:E, 'CC Transactions'!D:D, $A75, 'CC Transactions'!A:A, "&gt;=2026-03-01", 'CC Transactions'!A:A, "&lt;=2026-03-31")</f>
        <v>0</v>
      </c>
      <c r="N75" s="44">
        <f>SUMIFS('CC Transactions'!E:E, 'CC Transactions'!D:D, $A75, 'CC Transactions'!A:A, "&gt;=2026-04-01", 'CC Transactions'!A:A, "&lt;=2026-04-30")</f>
        <v>0</v>
      </c>
      <c r="O75" s="44">
        <f t="shared" si="4"/>
        <v>477</v>
      </c>
    </row>
    <row r="76" spans="1:15" x14ac:dyDescent="0.3">
      <c r="A76" s="181" t="s">
        <v>2532</v>
      </c>
      <c r="B76" s="181">
        <f>SUMIFS('CC Transactions'!E:E, 'CC Transactions'!D:D, $A76, 'CC Transactions'!A:A, "&gt;=2025-04-01", 'CC Transactions'!A:A, "&lt;=2025-04-30")</f>
        <v>65</v>
      </c>
      <c r="C76" s="181">
        <f>SUMIFS('CC Transactions'!E:E, 'CC Transactions'!D:D, $A76, 'CC Transactions'!A:A, "&gt;=2025-05-01", 'CC Transactions'!A:A, "&lt;=2025-05-31")</f>
        <v>185</v>
      </c>
      <c r="D76" s="181">
        <f>SUMIFS('CC Transactions'!E:E, 'CC Transactions'!D:D, $A76, 'CC Transactions'!A:A, "&gt;=2025-06-01", 'CC Transactions'!A:A, "&lt;=2025-06-30")</f>
        <v>494.65999999999997</v>
      </c>
      <c r="E76" s="181">
        <f>SUMIFS('CC Transactions'!E:E, 'CC Transactions'!D:D, $A76, 'CC Transactions'!A:A, "&gt;=2025-07-01", 'CC Transactions'!A:A, "&lt;=2025-07-31")</f>
        <v>1000</v>
      </c>
      <c r="F76" s="181">
        <f>SUMIFS('CC Transactions'!E:E, 'CC Transactions'!D:D, $A76, 'CC Transactions'!A:A, "&gt;=2025-08-01", 'CC Transactions'!A:A, "&lt;=2025-08-31")</f>
        <v>1253</v>
      </c>
      <c r="G76" s="181">
        <f>SUMIFS('CC Transactions'!E:E, 'CC Transactions'!D:D, $A76, 'CC Transactions'!A:A, "&gt;=2025-09-01", 'CC Transactions'!A:A, "&lt;=2025-09-30")</f>
        <v>1214</v>
      </c>
      <c r="H76" s="181">
        <f>SUMIFS('CC Transactions'!E:E, 'CC Transactions'!D:D, $A76, 'CC Transactions'!A:A, "&gt;=2025-10-01", 'CC Transactions'!A:A, "&lt;=2025-10-31")</f>
        <v>1406</v>
      </c>
      <c r="I76" s="181">
        <f>SUMIFS('CC Transactions'!E:E, 'CC Transactions'!D:D, $A76, 'CC Transactions'!A:A, "&gt;=2025-11-01", 'CC Transactions'!A:A, "&lt;=2025-11-30")</f>
        <v>40</v>
      </c>
      <c r="J76" s="181">
        <f>SUMIFS('CC Transactions'!E:E, 'CC Transactions'!D:D, $A76, 'CC Transactions'!A:A, "&gt;=2025-12-01", 'CC Transactions'!A:A, "&lt;=2025-12-31")</f>
        <v>333</v>
      </c>
      <c r="K76" s="181">
        <f>SUMIFS('CC Transactions'!E:E, 'CC Transactions'!D:D, $A76, 'CC Transactions'!A:A, "&gt;=2026-01-01", 'CC Transactions'!A:A, "&lt;=2026-01-31")</f>
        <v>84</v>
      </c>
      <c r="L76" s="181">
        <f>SUMIFS('CC Transactions'!E:E, 'CC Transactions'!D:D, $A76, 'CC Transactions'!A:A, "&gt;=2026-02-01", 'CC Transactions'!A:A, "&lt;=2026-02-28")</f>
        <v>1088.96</v>
      </c>
      <c r="M76" s="181">
        <f>SUMIFS('CC Transactions'!E:E, 'CC Transactions'!D:D, $A76, 'CC Transactions'!A:A, "&gt;=2026-03-01", 'CC Transactions'!A:A, "&lt;=2026-03-31")</f>
        <v>1011.22</v>
      </c>
      <c r="N76" s="181">
        <f>SUMIFS('CC Transactions'!E:E, 'CC Transactions'!D:D, $A76, 'CC Transactions'!A:A, "&gt;=2026-04-01", 'CC Transactions'!A:A, "&lt;=2026-04-30")</f>
        <v>0</v>
      </c>
      <c r="O76" s="181">
        <f t="shared" si="4"/>
        <v>8174.84</v>
      </c>
    </row>
    <row r="77" spans="1:15" x14ac:dyDescent="0.3">
      <c r="A77" s="182" t="s">
        <v>2533</v>
      </c>
      <c r="B77" s="182">
        <f>SUMIFS('CC Transactions'!E:E, 'CC Transactions'!D:D, $A77, 'CC Transactions'!A:A, "&gt;=2025-04-01", 'CC Transactions'!A:A, "&lt;=2025-04-30")</f>
        <v>1149</v>
      </c>
      <c r="C77" s="182">
        <f>SUMIFS('CC Transactions'!E:E, 'CC Transactions'!D:D, $A77, 'CC Transactions'!A:A, "&gt;=2025-05-01", 'CC Transactions'!A:A, "&lt;=2025-05-31")</f>
        <v>0</v>
      </c>
      <c r="D77" s="182">
        <f>SUMIFS('CC Transactions'!E:E, 'CC Transactions'!D:D, $A77, 'CC Transactions'!A:A, "&gt;=2025-06-01", 'CC Transactions'!A:A, "&lt;=2025-06-30")</f>
        <v>0</v>
      </c>
      <c r="E77" s="182">
        <f>SUMIFS('CC Transactions'!E:E, 'CC Transactions'!D:D, $A77, 'CC Transactions'!A:A, "&gt;=2025-07-01", 'CC Transactions'!A:A, "&lt;=2025-07-31")</f>
        <v>0</v>
      </c>
      <c r="F77" s="182">
        <f>SUMIFS('CC Transactions'!E:E, 'CC Transactions'!D:D, $A77, 'CC Transactions'!A:A, "&gt;=2025-08-01", 'CC Transactions'!A:A, "&lt;=2025-08-31")</f>
        <v>0</v>
      </c>
      <c r="G77" s="182">
        <f>SUMIFS('CC Transactions'!E:E, 'CC Transactions'!D:D, $A77, 'CC Transactions'!A:A, "&gt;=2025-09-01", 'CC Transactions'!A:A, "&lt;=2025-09-30")</f>
        <v>3000</v>
      </c>
      <c r="H77" s="182">
        <f>SUMIFS('CC Transactions'!E:E, 'CC Transactions'!D:D, $A77, 'CC Transactions'!A:A, "&gt;=2025-10-01", 'CC Transactions'!A:A, "&lt;=2025-10-31")</f>
        <v>0</v>
      </c>
      <c r="I77" s="182">
        <f>SUMIFS('CC Transactions'!E:E, 'CC Transactions'!D:D, $A77, 'CC Transactions'!A:A, "&gt;=2025-11-01", 'CC Transactions'!A:A, "&lt;=2025-11-30")</f>
        <v>0</v>
      </c>
      <c r="J77" s="182">
        <f>SUMIFS('CC Transactions'!E:E, 'CC Transactions'!D:D, $A77, 'CC Transactions'!A:A, "&gt;=2025-12-01", 'CC Transactions'!A:A, "&lt;=2025-12-31")</f>
        <v>0</v>
      </c>
      <c r="K77" s="182">
        <f>SUMIFS('CC Transactions'!E:E, 'CC Transactions'!D:D, $A77, 'CC Transactions'!A:A, "&gt;=2026-01-01", 'CC Transactions'!A:A, "&lt;=2026-01-31")</f>
        <v>30</v>
      </c>
      <c r="L77" s="182">
        <f>SUMIFS('CC Transactions'!E:E, 'CC Transactions'!D:D, $A77, 'CC Transactions'!A:A, "&gt;=2026-02-01", 'CC Transactions'!A:A, "&lt;=2026-02-28")</f>
        <v>0</v>
      </c>
      <c r="M77" s="182">
        <f>SUMIFS('CC Transactions'!E:E, 'CC Transactions'!D:D, $A77, 'CC Transactions'!A:A, "&gt;=2026-03-01", 'CC Transactions'!A:A, "&lt;=2026-03-31")</f>
        <v>0</v>
      </c>
      <c r="N77" s="182">
        <f>SUMIFS('CC Transactions'!E:E, 'CC Transactions'!D:D, $A77, 'CC Transactions'!A:A, "&gt;=2026-04-01", 'CC Transactions'!A:A, "&lt;=2026-04-30")</f>
        <v>0</v>
      </c>
      <c r="O77" s="182">
        <f t="shared" si="4"/>
        <v>4179</v>
      </c>
    </row>
    <row r="78" spans="1:15" x14ac:dyDescent="0.3">
      <c r="A78" s="108" t="s">
        <v>2534</v>
      </c>
      <c r="B78" s="108">
        <f>SUMIFS('CC Transactions'!E:E, 'CC Transactions'!D:D, $A78, 'CC Transactions'!A:A, "&gt;=2025-04-01", 'CC Transactions'!A:A, "&lt;=2025-04-30")</f>
        <v>1321.6</v>
      </c>
      <c r="C78" s="108">
        <f>SUMIFS('CC Transactions'!E:E, 'CC Transactions'!D:D, $A78, 'CC Transactions'!A:A, "&gt;=2025-05-01", 'CC Transactions'!A:A, "&lt;=2025-05-31")</f>
        <v>1940.28</v>
      </c>
      <c r="D78" s="108">
        <f>SUMIFS('CC Transactions'!E:E, 'CC Transactions'!D:D, $A78, 'CC Transactions'!A:A, "&gt;=2025-06-01", 'CC Transactions'!A:A, "&lt;=2025-06-30")</f>
        <v>1757.3899999999999</v>
      </c>
      <c r="E78" s="108">
        <f>SUMIFS('CC Transactions'!E:E, 'CC Transactions'!D:D, $A78, 'CC Transactions'!A:A, "&gt;=2025-07-01", 'CC Transactions'!A:A, "&lt;=2025-07-31")</f>
        <v>2844.52</v>
      </c>
      <c r="F78" s="108">
        <f>SUMIFS('CC Transactions'!E:E, 'CC Transactions'!D:D, $A78, 'CC Transactions'!A:A, "&gt;=2025-08-01", 'CC Transactions'!A:A, "&lt;=2025-08-31")</f>
        <v>3350.2000000000003</v>
      </c>
      <c r="G78" s="108">
        <f>SUMIFS('CC Transactions'!E:E, 'CC Transactions'!D:D, $A78, 'CC Transactions'!A:A, "&gt;=2025-09-01", 'CC Transactions'!A:A, "&lt;=2025-09-30")</f>
        <v>7646.8899999999994</v>
      </c>
      <c r="H78" s="108">
        <f>SUMIFS('CC Transactions'!E:E, 'CC Transactions'!D:D, $A78, 'CC Transactions'!A:A, "&gt;=2025-10-01", 'CC Transactions'!A:A, "&lt;=2025-10-31")</f>
        <v>2038.45</v>
      </c>
      <c r="I78" s="108">
        <f>SUMIFS('CC Transactions'!E:E, 'CC Transactions'!D:D, $A78, 'CC Transactions'!A:A, "&gt;=2025-11-01", 'CC Transactions'!A:A, "&lt;=2025-11-30")</f>
        <v>2613</v>
      </c>
      <c r="J78" s="108">
        <f>SUMIFS('CC Transactions'!E:E, 'CC Transactions'!D:D, $A78, 'CC Transactions'!A:A, "&gt;=2025-12-01", 'CC Transactions'!A:A, "&lt;=2025-12-31")</f>
        <v>2308.6999999999998</v>
      </c>
      <c r="K78" s="108">
        <f>SUMIFS('CC Transactions'!E:E, 'CC Transactions'!D:D, $A78, 'CC Transactions'!A:A, "&gt;=2026-01-01", 'CC Transactions'!A:A, "&lt;=2026-01-31")</f>
        <v>1067</v>
      </c>
      <c r="L78" s="108">
        <f>SUMIFS('CC Transactions'!E:E, 'CC Transactions'!D:D, $A78, 'CC Transactions'!A:A, "&gt;=2026-02-01", 'CC Transactions'!A:A, "&lt;=2026-02-28")</f>
        <v>1792.95</v>
      </c>
      <c r="M78" s="108">
        <f>SUMIFS('CC Transactions'!E:E, 'CC Transactions'!D:D, $A78, 'CC Transactions'!A:A, "&gt;=2026-03-01", 'CC Transactions'!A:A, "&lt;=2026-03-31")</f>
        <v>2164.1999999999998</v>
      </c>
      <c r="N78" s="108">
        <f>SUMIFS('CC Transactions'!E:E, 'CC Transactions'!D:D, $A78, 'CC Transactions'!A:A, "&gt;=2026-04-01", 'CC Transactions'!A:A, "&lt;=2026-04-30")</f>
        <v>0</v>
      </c>
      <c r="O78" s="108">
        <f t="shared" si="4"/>
        <v>30845.180000000004</v>
      </c>
    </row>
    <row r="79" spans="1:15" x14ac:dyDescent="0.3">
      <c r="A79" s="54" t="s">
        <v>2535</v>
      </c>
      <c r="B79" s="54">
        <f>SUMIFS('CC Transactions'!E:E, 'CC Transactions'!D:D, $A79, 'CC Transactions'!A:A, "&gt;=2025-04-01", 'CC Transactions'!A:A, "&lt;=2025-04-30")</f>
        <v>100</v>
      </c>
      <c r="C79" s="54">
        <f>SUMIFS('CC Transactions'!E:E, 'CC Transactions'!D:D, $A79, 'CC Transactions'!A:A, "&gt;=2025-05-01", 'CC Transactions'!A:A, "&lt;=2025-05-31")</f>
        <v>0</v>
      </c>
      <c r="D79" s="54">
        <f>SUMIFS('CC Transactions'!E:E, 'CC Transactions'!D:D, $A79, 'CC Transactions'!A:A, "&gt;=2025-06-01", 'CC Transactions'!A:A, "&lt;=2025-06-30")</f>
        <v>70</v>
      </c>
      <c r="E79" s="54">
        <f>SUMIFS('CC Transactions'!E:E, 'CC Transactions'!D:D, $A79, 'CC Transactions'!A:A, "&gt;=2025-07-01", 'CC Transactions'!A:A, "&lt;=2025-07-31")</f>
        <v>300</v>
      </c>
      <c r="F79" s="54">
        <f>SUMIFS('CC Transactions'!E:E, 'CC Transactions'!D:D, $A79, 'CC Transactions'!A:A, "&gt;=2025-08-01", 'CC Transactions'!A:A, "&lt;=2025-08-31")</f>
        <v>185</v>
      </c>
      <c r="G79" s="54">
        <f>SUMIFS('CC Transactions'!E:E, 'CC Transactions'!D:D, $A79, 'CC Transactions'!A:A, "&gt;=2025-09-01", 'CC Transactions'!A:A, "&lt;=2025-09-30")</f>
        <v>567</v>
      </c>
      <c r="H79" s="54">
        <f>SUMIFS('CC Transactions'!E:E, 'CC Transactions'!D:D, $A79, 'CC Transactions'!A:A, "&gt;=2025-10-01", 'CC Transactions'!A:A, "&lt;=2025-10-31")</f>
        <v>100</v>
      </c>
      <c r="I79" s="54">
        <f>SUMIFS('CC Transactions'!E:E, 'CC Transactions'!D:D, $A79, 'CC Transactions'!A:A, "&gt;=2025-11-01", 'CC Transactions'!A:A, "&lt;=2025-11-30")</f>
        <v>0</v>
      </c>
      <c r="J79" s="54">
        <f>SUMIFS('CC Transactions'!E:E, 'CC Transactions'!D:D, $A79, 'CC Transactions'!A:A, "&gt;=2025-12-01", 'CC Transactions'!A:A, "&lt;=2025-12-31")</f>
        <v>0</v>
      </c>
      <c r="K79" s="54">
        <f>SUMIFS('CC Transactions'!E:E, 'CC Transactions'!D:D, $A79, 'CC Transactions'!A:A, "&gt;=2026-01-01", 'CC Transactions'!A:A, "&lt;=2026-01-31")</f>
        <v>149</v>
      </c>
      <c r="L79" s="54">
        <f>SUMIFS('CC Transactions'!E:E, 'CC Transactions'!D:D, $A79, 'CC Transactions'!A:A, "&gt;=2026-02-01", 'CC Transactions'!A:A, "&lt;=2026-02-28")</f>
        <v>100</v>
      </c>
      <c r="M79" s="54">
        <f>SUMIFS('CC Transactions'!E:E, 'CC Transactions'!D:D, $A79, 'CC Transactions'!A:A, "&gt;=2026-03-01", 'CC Transactions'!A:A, "&lt;=2026-03-31")</f>
        <v>0</v>
      </c>
      <c r="N79" s="54">
        <f>SUMIFS('CC Transactions'!E:E, 'CC Transactions'!D:D, $A79, 'CC Transactions'!A:A, "&gt;=2026-04-01", 'CC Transactions'!A:A, "&lt;=2026-04-30")</f>
        <v>0</v>
      </c>
      <c r="O79" s="54">
        <f t="shared" si="4"/>
        <v>1571</v>
      </c>
    </row>
    <row r="80" spans="1:15" x14ac:dyDescent="0.3">
      <c r="A80" s="112" t="s">
        <v>2536</v>
      </c>
      <c r="B80" s="112">
        <f>SUMIFS('CC Transactions'!E:E, 'CC Transactions'!D:D, $A80, 'CC Transactions'!A:A, "&gt;=2025-04-01", 'CC Transactions'!A:A, "&lt;=2025-04-30")</f>
        <v>501</v>
      </c>
      <c r="C80" s="112">
        <f>SUMIFS('CC Transactions'!E:E, 'CC Transactions'!D:D, $A80, 'CC Transactions'!A:A, "&gt;=2025-05-01", 'CC Transactions'!A:A, "&lt;=2025-05-31")</f>
        <v>500</v>
      </c>
      <c r="D80" s="112">
        <f>SUMIFS('CC Transactions'!E:E, 'CC Transactions'!D:D, $A80, 'CC Transactions'!A:A, "&gt;=2025-06-01", 'CC Transactions'!A:A, "&lt;=2025-06-30")</f>
        <v>794</v>
      </c>
      <c r="E80" s="112">
        <f>SUMIFS('CC Transactions'!E:E, 'CC Transactions'!D:D, $A80, 'CC Transactions'!A:A, "&gt;=2025-07-01", 'CC Transactions'!A:A, "&lt;=2025-07-31")</f>
        <v>3315</v>
      </c>
      <c r="F80" s="112">
        <f>SUMIFS('CC Transactions'!E:E, 'CC Transactions'!D:D, $A80, 'CC Transactions'!A:A, "&gt;=2025-08-01", 'CC Transactions'!A:A, "&lt;=2025-08-31")</f>
        <v>1194.8899999999999</v>
      </c>
      <c r="G80" s="112">
        <f>SUMIFS('CC Transactions'!E:E, 'CC Transactions'!D:D, $A80, 'CC Transactions'!A:A, "&gt;=2025-09-01", 'CC Transactions'!A:A, "&lt;=2025-09-30")</f>
        <v>449.56</v>
      </c>
      <c r="H80" s="112">
        <f>SUMIFS('CC Transactions'!E:E, 'CC Transactions'!D:D, $A80, 'CC Transactions'!A:A, "&gt;=2025-10-01", 'CC Transactions'!A:A, "&lt;=2025-10-31")</f>
        <v>42141</v>
      </c>
      <c r="I80" s="112">
        <f>SUMIFS('CC Transactions'!E:E, 'CC Transactions'!D:D, $A80, 'CC Transactions'!A:A, "&gt;=2025-11-01", 'CC Transactions'!A:A, "&lt;=2025-11-30")</f>
        <v>1265</v>
      </c>
      <c r="J80" s="112">
        <f>SUMIFS('CC Transactions'!E:E, 'CC Transactions'!D:D, $A80, 'CC Transactions'!A:A, "&gt;=2025-12-01", 'CC Transactions'!A:A, "&lt;=2025-12-31")</f>
        <v>120</v>
      </c>
      <c r="K80" s="112">
        <f>SUMIFS('CC Transactions'!E:E, 'CC Transactions'!D:D, $A80, 'CC Transactions'!A:A, "&gt;=2026-01-01", 'CC Transactions'!A:A, "&lt;=2026-01-31")</f>
        <v>1300</v>
      </c>
      <c r="L80" s="112">
        <f>SUMIFS('CC Transactions'!E:E, 'CC Transactions'!D:D, $A80, 'CC Transactions'!A:A, "&gt;=2026-02-01", 'CC Transactions'!A:A, "&lt;=2026-02-28")</f>
        <v>800</v>
      </c>
      <c r="M80" s="112">
        <f>SUMIFS('CC Transactions'!E:E, 'CC Transactions'!D:D, $A80, 'CC Transactions'!A:A, "&gt;=2026-03-01", 'CC Transactions'!A:A, "&lt;=2026-03-31")</f>
        <v>427.3</v>
      </c>
      <c r="N80" s="112">
        <f>SUMIFS('CC Transactions'!E:E, 'CC Transactions'!D:D, $A80, 'CC Transactions'!A:A, "&gt;=2026-04-01", 'CC Transactions'!A:A, "&lt;=2026-04-30")</f>
        <v>0</v>
      </c>
      <c r="O80" s="112">
        <f t="shared" si="4"/>
        <v>52807.75</v>
      </c>
    </row>
    <row r="81" spans="1:15" x14ac:dyDescent="0.3">
      <c r="A81" s="156" t="s">
        <v>2537</v>
      </c>
      <c r="B81" s="156">
        <f>SUMIFS('CC Transactions'!E:E, 'CC Transactions'!D:D, $A81, 'CC Transactions'!A:A, "&gt;=2025-04-01", 'CC Transactions'!A:A, "&lt;=2025-04-30")</f>
        <v>101</v>
      </c>
      <c r="C81" s="156">
        <f>SUMIFS('CC Transactions'!E:E, 'CC Transactions'!D:D, $A81, 'CC Transactions'!A:A, "&gt;=2025-05-01", 'CC Transactions'!A:A, "&lt;=2025-05-31")</f>
        <v>0</v>
      </c>
      <c r="D81" s="156">
        <f>SUMIFS('CC Transactions'!E:E, 'CC Transactions'!D:D, $A81, 'CC Transactions'!A:A, "&gt;=2025-06-01", 'CC Transactions'!A:A, "&lt;=2025-06-30")</f>
        <v>315</v>
      </c>
      <c r="E81" s="156">
        <f>SUMIFS('CC Transactions'!E:E, 'CC Transactions'!D:D, $A81, 'CC Transactions'!A:A, "&gt;=2025-07-01", 'CC Transactions'!A:A, "&lt;=2025-07-31")</f>
        <v>145</v>
      </c>
      <c r="F81" s="156">
        <f>SUMIFS('CC Transactions'!E:E, 'CC Transactions'!D:D, $A81, 'CC Transactions'!A:A, "&gt;=2025-08-01", 'CC Transactions'!A:A, "&lt;=2025-08-31")</f>
        <v>0</v>
      </c>
      <c r="G81" s="156">
        <f>SUMIFS('CC Transactions'!E:E, 'CC Transactions'!D:D, $A81, 'CC Transactions'!A:A, "&gt;=2025-09-01", 'CC Transactions'!A:A, "&lt;=2025-09-30")</f>
        <v>558</v>
      </c>
      <c r="H81" s="156">
        <f>SUMIFS('CC Transactions'!E:E, 'CC Transactions'!D:D, $A81, 'CC Transactions'!A:A, "&gt;=2025-10-01", 'CC Transactions'!A:A, "&lt;=2025-10-31")</f>
        <v>121</v>
      </c>
      <c r="I81" s="156">
        <f>SUMIFS('CC Transactions'!E:E, 'CC Transactions'!D:D, $A81, 'CC Transactions'!A:A, "&gt;=2025-11-01", 'CC Transactions'!A:A, "&lt;=2025-11-30")</f>
        <v>3948</v>
      </c>
      <c r="J81" s="156">
        <f>SUMIFS('CC Transactions'!E:E, 'CC Transactions'!D:D, $A81, 'CC Transactions'!A:A, "&gt;=2025-12-01", 'CC Transactions'!A:A, "&lt;=2025-12-31")</f>
        <v>0</v>
      </c>
      <c r="K81" s="156">
        <f>SUMIFS('CC Transactions'!E:E, 'CC Transactions'!D:D, $A81, 'CC Transactions'!A:A, "&gt;=2026-01-01", 'CC Transactions'!A:A, "&lt;=2026-01-31")</f>
        <v>0</v>
      </c>
      <c r="L81" s="156">
        <f>SUMIFS('CC Transactions'!E:E, 'CC Transactions'!D:D, $A81, 'CC Transactions'!A:A, "&gt;=2026-02-01", 'CC Transactions'!A:A, "&lt;=2026-02-28")</f>
        <v>0</v>
      </c>
      <c r="M81" s="156">
        <f>SUMIFS('CC Transactions'!E:E, 'CC Transactions'!D:D, $A81, 'CC Transactions'!A:A, "&gt;=2026-03-01", 'CC Transactions'!A:A, "&lt;=2026-03-31")</f>
        <v>0</v>
      </c>
      <c r="N81" s="156">
        <f>SUMIFS('CC Transactions'!E:E, 'CC Transactions'!D:D, $A81, 'CC Transactions'!A:A, "&gt;=2026-04-01", 'CC Transactions'!A:A, "&lt;=2026-04-30")</f>
        <v>0</v>
      </c>
      <c r="O81" s="156">
        <f t="shared" si="4"/>
        <v>5188</v>
      </c>
    </row>
    <row r="82" spans="1:15" x14ac:dyDescent="0.3">
      <c r="A82" s="183" t="s">
        <v>2538</v>
      </c>
      <c r="B82" s="183">
        <f>SUMIFS('CC Transactions'!E:E, 'CC Transactions'!D:D, $A82, 'CC Transactions'!A:A, "&gt;=2025-04-01", 'CC Transactions'!A:A, "&lt;=2025-04-30")</f>
        <v>0</v>
      </c>
      <c r="C82" s="183">
        <f>SUMIFS('CC Transactions'!E:E, 'CC Transactions'!D:D, $A82, 'CC Transactions'!A:A, "&gt;=2025-05-01", 'CC Transactions'!A:A, "&lt;=2025-05-31")</f>
        <v>24508</v>
      </c>
      <c r="D82" s="183">
        <f>SUMIFS('CC Transactions'!E:E, 'CC Transactions'!D:D, $A82, 'CC Transactions'!A:A, "&gt;=2025-06-01", 'CC Transactions'!A:A, "&lt;=2025-06-30")</f>
        <v>0</v>
      </c>
      <c r="E82" s="183">
        <f>SUMIFS('CC Transactions'!E:E, 'CC Transactions'!D:D, $A82, 'CC Transactions'!A:A, "&gt;=2025-07-01", 'CC Transactions'!A:A, "&lt;=2025-07-31")</f>
        <v>0</v>
      </c>
      <c r="F82" s="183">
        <f>SUMIFS('CC Transactions'!E:E, 'CC Transactions'!D:D, $A82, 'CC Transactions'!A:A, "&gt;=2025-08-01", 'CC Transactions'!A:A, "&lt;=2025-08-31")</f>
        <v>140</v>
      </c>
      <c r="G82" s="183">
        <f>SUMIFS('CC Transactions'!E:E, 'CC Transactions'!D:D, $A82, 'CC Transactions'!A:A, "&gt;=2025-09-01", 'CC Transactions'!A:A, "&lt;=2025-09-30")</f>
        <v>5061.3500000000004</v>
      </c>
      <c r="H82" s="183">
        <f>SUMIFS('CC Transactions'!E:E, 'CC Transactions'!D:D, $A82, 'CC Transactions'!A:A, "&gt;=2025-10-01", 'CC Transactions'!A:A, "&lt;=2025-10-31")</f>
        <v>0</v>
      </c>
      <c r="I82" s="183">
        <f>SUMIFS('CC Transactions'!E:E, 'CC Transactions'!D:D, $A82, 'CC Transactions'!A:A, "&gt;=2025-11-01", 'CC Transactions'!A:A, "&lt;=2025-11-30")</f>
        <v>8277.3100000000013</v>
      </c>
      <c r="J82" s="183">
        <f>SUMIFS('CC Transactions'!E:E, 'CC Transactions'!D:D, $A82, 'CC Transactions'!A:A, "&gt;=2025-12-01", 'CC Transactions'!A:A, "&lt;=2025-12-31")</f>
        <v>37039.4</v>
      </c>
      <c r="K82" s="183">
        <f>SUMIFS('CC Transactions'!E:E, 'CC Transactions'!D:D, $A82, 'CC Transactions'!A:A, "&gt;=2026-01-01", 'CC Transactions'!A:A, "&lt;=2026-01-31")</f>
        <v>0</v>
      </c>
      <c r="L82" s="183">
        <f>SUMIFS('CC Transactions'!E:E, 'CC Transactions'!D:D, $A82, 'CC Transactions'!A:A, "&gt;=2026-02-01", 'CC Transactions'!A:A, "&lt;=2026-02-28")</f>
        <v>418.52</v>
      </c>
      <c r="M82" s="183">
        <f>SUMIFS('CC Transactions'!E:E, 'CC Transactions'!D:D, $A82, 'CC Transactions'!A:A, "&gt;=2026-03-01", 'CC Transactions'!A:A, "&lt;=2026-03-31")</f>
        <v>0</v>
      </c>
      <c r="N82" s="183">
        <f>SUMIFS('CC Transactions'!E:E, 'CC Transactions'!D:D, $A82, 'CC Transactions'!A:A, "&gt;=2026-04-01", 'CC Transactions'!A:A, "&lt;=2026-04-30")</f>
        <v>0</v>
      </c>
      <c r="O82" s="183">
        <f t="shared" si="4"/>
        <v>75444.58</v>
      </c>
    </row>
    <row r="83" spans="1:15" x14ac:dyDescent="0.3">
      <c r="A83" s="114" t="s">
        <v>2539</v>
      </c>
      <c r="B83" s="114">
        <f>SUMIFS('CC Transactions'!E:E, 'CC Transactions'!D:D, $A83, 'CC Transactions'!A:A, "&gt;=2025-04-01", 'CC Transactions'!A:A, "&lt;=2025-04-30")</f>
        <v>0</v>
      </c>
      <c r="C83" s="114">
        <f>SUMIFS('CC Transactions'!E:E, 'CC Transactions'!D:D, $A83, 'CC Transactions'!A:A, "&gt;=2025-05-01", 'CC Transactions'!A:A, "&lt;=2025-05-31")</f>
        <v>0</v>
      </c>
      <c r="D83" s="114">
        <f>SUMIFS('CC Transactions'!E:E, 'CC Transactions'!D:D, $A83, 'CC Transactions'!A:A, "&gt;=2025-06-01", 'CC Transactions'!A:A, "&lt;=2025-06-30")</f>
        <v>0</v>
      </c>
      <c r="E83" s="114">
        <f>SUMIFS('CC Transactions'!E:E, 'CC Transactions'!D:D, $A83, 'CC Transactions'!A:A, "&gt;=2025-07-01", 'CC Transactions'!A:A, "&lt;=2025-07-31")</f>
        <v>0</v>
      </c>
      <c r="F83" s="114">
        <f>SUMIFS('CC Transactions'!E:E, 'CC Transactions'!D:D, $A83, 'CC Transactions'!A:A, "&gt;=2025-08-01", 'CC Transactions'!A:A, "&lt;=2025-08-31")</f>
        <v>0</v>
      </c>
      <c r="G83" s="114">
        <f>SUMIFS('CC Transactions'!E:E, 'CC Transactions'!D:D, $A83, 'CC Transactions'!A:A, "&gt;=2025-09-01", 'CC Transactions'!A:A, "&lt;=2025-09-30")</f>
        <v>0</v>
      </c>
      <c r="H83" s="114">
        <f>SUMIFS('CC Transactions'!E:E, 'CC Transactions'!D:D, $A83, 'CC Transactions'!A:A, "&gt;=2025-10-01", 'CC Transactions'!A:A, "&lt;=2025-10-31")</f>
        <v>0</v>
      </c>
      <c r="I83" s="114">
        <f>SUMIFS('CC Transactions'!E:E, 'CC Transactions'!D:D, $A83, 'CC Transactions'!A:A, "&gt;=2025-11-01", 'CC Transactions'!A:A, "&lt;=2025-11-30")</f>
        <v>0</v>
      </c>
      <c r="J83" s="114">
        <f>SUMIFS('CC Transactions'!E:E, 'CC Transactions'!D:D, $A83, 'CC Transactions'!A:A, "&gt;=2025-12-01", 'CC Transactions'!A:A, "&lt;=2025-12-31")</f>
        <v>0</v>
      </c>
      <c r="K83" s="114">
        <f>SUMIFS('CC Transactions'!E:E, 'CC Transactions'!D:D, $A83, 'CC Transactions'!A:A, "&gt;=2026-01-01", 'CC Transactions'!A:A, "&lt;=2026-01-31")</f>
        <v>0</v>
      </c>
      <c r="L83" s="114">
        <f>SUMIFS('CC Transactions'!E:E, 'CC Transactions'!D:D, $A83, 'CC Transactions'!A:A, "&gt;=2026-02-01", 'CC Transactions'!A:A, "&lt;=2026-02-28")</f>
        <v>15</v>
      </c>
      <c r="M83" s="114">
        <f>SUMIFS('CC Transactions'!E:E, 'CC Transactions'!D:D, $A83, 'CC Transactions'!A:A, "&gt;=2026-03-01", 'CC Transactions'!A:A, "&lt;=2026-03-31")</f>
        <v>0</v>
      </c>
      <c r="N83" s="114">
        <f>SUMIFS('CC Transactions'!E:E, 'CC Transactions'!D:D, $A83, 'CC Transactions'!A:A, "&gt;=2026-04-01", 'CC Transactions'!A:A, "&lt;=2026-04-30")</f>
        <v>0</v>
      </c>
      <c r="O83" s="114">
        <f t="shared" si="4"/>
        <v>15</v>
      </c>
    </row>
    <row r="84" spans="1:15" x14ac:dyDescent="0.3">
      <c r="A84" s="114" t="s">
        <v>2540</v>
      </c>
      <c r="B84" s="114">
        <f>SUMIFS('CC Transactions'!E:E, 'CC Transactions'!D:D, $A84, 'CC Transactions'!A:A, "&gt;=2025-04-01", 'CC Transactions'!A:A, "&lt;=2025-04-30")</f>
        <v>0</v>
      </c>
      <c r="C84" s="114">
        <f>SUMIFS('CC Transactions'!E:E, 'CC Transactions'!D:D, $A84, 'CC Transactions'!A:A, "&gt;=2025-05-01", 'CC Transactions'!A:A, "&lt;=2025-05-31")</f>
        <v>0</v>
      </c>
      <c r="D84" s="114">
        <f>SUMIFS('CC Transactions'!E:E, 'CC Transactions'!D:D, $A84, 'CC Transactions'!A:A, "&gt;=2025-06-01", 'CC Transactions'!A:A, "&lt;=2025-06-30")</f>
        <v>0</v>
      </c>
      <c r="E84" s="114">
        <f>SUMIFS('CC Transactions'!E:E, 'CC Transactions'!D:D, $A84, 'CC Transactions'!A:A, "&gt;=2025-07-01", 'CC Transactions'!A:A, "&lt;=2025-07-31")</f>
        <v>588.82000000000005</v>
      </c>
      <c r="F84" s="114">
        <f>SUMIFS('CC Transactions'!E:E, 'CC Transactions'!D:D, $A84, 'CC Transactions'!A:A, "&gt;=2025-08-01", 'CC Transactions'!A:A, "&lt;=2025-08-31")</f>
        <v>588.82000000000005</v>
      </c>
      <c r="G84" s="114">
        <f>SUMIFS('CC Transactions'!E:E, 'CC Transactions'!D:D, $A84, 'CC Transactions'!A:A, "&gt;=2025-09-01", 'CC Transactions'!A:A, "&lt;=2025-09-30")</f>
        <v>0</v>
      </c>
      <c r="H84" s="114">
        <f>SUMIFS('CC Transactions'!E:E, 'CC Transactions'!D:D, $A84, 'CC Transactions'!A:A, "&gt;=2025-10-01", 'CC Transactions'!A:A, "&lt;=2025-10-31")</f>
        <v>0</v>
      </c>
      <c r="I84" s="114">
        <f>SUMIFS('CC Transactions'!E:E, 'CC Transactions'!D:D, $A84, 'CC Transactions'!A:A, "&gt;=2025-11-01", 'CC Transactions'!A:A, "&lt;=2025-11-30")</f>
        <v>406.71</v>
      </c>
      <c r="J84" s="114">
        <f>SUMIFS('CC Transactions'!E:E, 'CC Transactions'!D:D, $A84, 'CC Transactions'!A:A, "&gt;=2025-12-01", 'CC Transactions'!A:A, "&lt;=2025-12-31")</f>
        <v>0</v>
      </c>
      <c r="K84" s="114">
        <f>SUMIFS('CC Transactions'!E:E, 'CC Transactions'!D:D, $A84, 'CC Transactions'!A:A, "&gt;=2026-01-01", 'CC Transactions'!A:A, "&lt;=2026-01-31")</f>
        <v>0</v>
      </c>
      <c r="L84" s="114">
        <f>SUMIFS('CC Transactions'!E:E, 'CC Transactions'!D:D, $A84, 'CC Transactions'!A:A, "&gt;=2026-02-01", 'CC Transactions'!A:A, "&lt;=2026-02-28")</f>
        <v>588.82000000000005</v>
      </c>
      <c r="M84" s="114">
        <f>SUMIFS('CC Transactions'!E:E, 'CC Transactions'!D:D, $A84, 'CC Transactions'!A:A, "&gt;=2026-03-01", 'CC Transactions'!A:A, "&lt;=2026-03-31")</f>
        <v>513.21</v>
      </c>
      <c r="N84" s="114">
        <f>SUMIFS('CC Transactions'!E:E, 'CC Transactions'!D:D, $A84, 'CC Transactions'!A:A, "&gt;=2026-04-01", 'CC Transactions'!A:A, "&lt;=2026-04-30")</f>
        <v>0</v>
      </c>
      <c r="O84" s="114">
        <f t="shared" si="4"/>
        <v>2686.38</v>
      </c>
    </row>
    <row r="85" spans="1:15" x14ac:dyDescent="0.3">
      <c r="A85" s="184" t="s">
        <v>2541</v>
      </c>
      <c r="B85" s="184">
        <f t="shared" ref="B85:O85" si="5">SUM(B71:B84)</f>
        <v>5508.6</v>
      </c>
      <c r="C85" s="184">
        <f t="shared" si="5"/>
        <v>34632.43</v>
      </c>
      <c r="D85" s="184">
        <f t="shared" si="5"/>
        <v>7824.8899999999994</v>
      </c>
      <c r="E85" s="184">
        <f t="shared" si="5"/>
        <v>17271.059999999998</v>
      </c>
      <c r="F85" s="184">
        <f t="shared" si="5"/>
        <v>8719.41</v>
      </c>
      <c r="G85" s="184">
        <f t="shared" si="5"/>
        <v>33920.910000000003</v>
      </c>
      <c r="H85" s="184">
        <f t="shared" si="5"/>
        <v>51242.45</v>
      </c>
      <c r="I85" s="184">
        <f t="shared" si="5"/>
        <v>18120.02</v>
      </c>
      <c r="J85" s="184">
        <f t="shared" si="5"/>
        <v>46221.26</v>
      </c>
      <c r="K85" s="184">
        <f t="shared" si="5"/>
        <v>3525</v>
      </c>
      <c r="L85" s="184">
        <f t="shared" si="5"/>
        <v>10646.06</v>
      </c>
      <c r="M85" s="184">
        <f t="shared" si="5"/>
        <v>5995.31</v>
      </c>
      <c r="N85" s="184">
        <f t="shared" si="5"/>
        <v>0</v>
      </c>
      <c r="O85" s="184">
        <f t="shared" si="5"/>
        <v>243627.40000000002</v>
      </c>
    </row>
  </sheetData>
  <dataValidations count="1">
    <dataValidation type="list" sqref="B4 C4 D4 E4 F4" xr:uid="{00000000-0002-0000-0800-000000000000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18" customWidth="1"/>
    <col min="4" max="4" width="22" customWidth="1"/>
    <col min="5" max="6" width="12" customWidth="1"/>
    <col min="7" max="7" width="30" customWidth="1"/>
  </cols>
  <sheetData>
    <row r="1" spans="1:7" x14ac:dyDescent="0.3">
      <c r="A1" s="185" t="s">
        <v>31</v>
      </c>
      <c r="B1" s="185" t="s">
        <v>2542</v>
      </c>
      <c r="C1" s="185" t="s">
        <v>2543</v>
      </c>
      <c r="D1" s="185" t="s">
        <v>2544</v>
      </c>
      <c r="E1" s="185" t="s">
        <v>2545</v>
      </c>
      <c r="F1" s="185" t="s">
        <v>2546</v>
      </c>
      <c r="G1" s="185" t="s">
        <v>2547</v>
      </c>
    </row>
    <row r="2" spans="1:7" x14ac:dyDescent="0.3">
      <c r="A2" s="186" t="s">
        <v>2548</v>
      </c>
      <c r="B2" s="187"/>
      <c r="C2" s="187"/>
      <c r="D2" s="187"/>
      <c r="E2" s="187"/>
      <c r="F2" s="187"/>
      <c r="G2" s="187"/>
    </row>
    <row r="3" spans="1:7" x14ac:dyDescent="0.3">
      <c r="A3" s="188">
        <v>45748</v>
      </c>
      <c r="B3" s="112" t="s">
        <v>2549</v>
      </c>
      <c r="C3" s="112" t="s">
        <v>2550</v>
      </c>
      <c r="D3" s="112" t="s">
        <v>2536</v>
      </c>
      <c r="E3" s="112">
        <v>140</v>
      </c>
      <c r="F3" s="112"/>
      <c r="G3" s="112" t="s">
        <v>2551</v>
      </c>
    </row>
    <row r="4" spans="1:7" x14ac:dyDescent="0.3">
      <c r="A4" s="189">
        <v>45749</v>
      </c>
      <c r="B4" s="108" t="s">
        <v>2552</v>
      </c>
      <c r="C4" s="108" t="s">
        <v>2553</v>
      </c>
      <c r="D4" s="108" t="s">
        <v>2534</v>
      </c>
      <c r="E4" s="108">
        <v>50</v>
      </c>
      <c r="F4" s="108"/>
      <c r="G4" s="108" t="s">
        <v>2551</v>
      </c>
    </row>
    <row r="5" spans="1:7" x14ac:dyDescent="0.3">
      <c r="A5" s="190">
        <v>45749</v>
      </c>
      <c r="B5" s="42" t="s">
        <v>2554</v>
      </c>
      <c r="C5" s="42" t="s">
        <v>2555</v>
      </c>
      <c r="D5" s="42" t="s">
        <v>2530</v>
      </c>
      <c r="E5" s="42">
        <v>25</v>
      </c>
      <c r="F5" s="42"/>
      <c r="G5" s="42" t="s">
        <v>2551</v>
      </c>
    </row>
    <row r="6" spans="1:7" x14ac:dyDescent="0.3">
      <c r="A6" s="190">
        <v>45749</v>
      </c>
      <c r="B6" s="42" t="s">
        <v>2556</v>
      </c>
      <c r="C6" s="42" t="s">
        <v>2555</v>
      </c>
      <c r="D6" s="42" t="s">
        <v>2530</v>
      </c>
      <c r="E6" s="42">
        <v>45</v>
      </c>
      <c r="F6" s="42"/>
      <c r="G6" s="42" t="s">
        <v>2551</v>
      </c>
    </row>
    <row r="7" spans="1:7" x14ac:dyDescent="0.3">
      <c r="A7" s="191">
        <v>45751</v>
      </c>
      <c r="B7" s="182" t="s">
        <v>2557</v>
      </c>
      <c r="C7" s="182" t="s">
        <v>2558</v>
      </c>
      <c r="D7" s="182" t="s">
        <v>2533</v>
      </c>
      <c r="E7" s="182">
        <v>1149</v>
      </c>
      <c r="F7" s="182"/>
      <c r="G7" s="182" t="s">
        <v>2551</v>
      </c>
    </row>
    <row r="8" spans="1:7" x14ac:dyDescent="0.3">
      <c r="A8" s="192">
        <v>45751</v>
      </c>
      <c r="B8" s="106" t="s">
        <v>2557</v>
      </c>
      <c r="C8" s="106" t="s">
        <v>2559</v>
      </c>
      <c r="D8" s="106" t="s">
        <v>2527</v>
      </c>
      <c r="E8" s="106">
        <v>1500</v>
      </c>
      <c r="F8" s="106"/>
      <c r="G8" s="106" t="s">
        <v>2551</v>
      </c>
    </row>
    <row r="9" spans="1:7" x14ac:dyDescent="0.3">
      <c r="A9" s="189">
        <v>45751</v>
      </c>
      <c r="B9" s="108" t="s">
        <v>2560</v>
      </c>
      <c r="C9" s="108" t="s">
        <v>2553</v>
      </c>
      <c r="D9" s="108" t="s">
        <v>2534</v>
      </c>
      <c r="E9" s="108">
        <v>221</v>
      </c>
      <c r="F9" s="108"/>
      <c r="G9" s="108" t="s">
        <v>2551</v>
      </c>
    </row>
    <row r="10" spans="1:7" x14ac:dyDescent="0.3">
      <c r="A10" s="189">
        <v>45751</v>
      </c>
      <c r="B10" s="108" t="s">
        <v>2561</v>
      </c>
      <c r="C10" s="108" t="s">
        <v>2553</v>
      </c>
      <c r="D10" s="108" t="s">
        <v>2534</v>
      </c>
      <c r="E10" s="108">
        <v>110</v>
      </c>
      <c r="F10" s="108"/>
      <c r="G10" s="108" t="s">
        <v>2551</v>
      </c>
    </row>
    <row r="11" spans="1:7" x14ac:dyDescent="0.3">
      <c r="A11" s="193">
        <v>45751</v>
      </c>
      <c r="B11" s="181" t="s">
        <v>2562</v>
      </c>
      <c r="C11" s="181" t="s">
        <v>2563</v>
      </c>
      <c r="D11" s="181" t="s">
        <v>2532</v>
      </c>
      <c r="E11" s="181">
        <v>40</v>
      </c>
      <c r="F11" s="181"/>
      <c r="G11" s="181" t="s">
        <v>2551</v>
      </c>
    </row>
    <row r="12" spans="1:7" x14ac:dyDescent="0.3">
      <c r="A12" s="189">
        <v>45752</v>
      </c>
      <c r="B12" s="108" t="s">
        <v>2564</v>
      </c>
      <c r="C12" s="108" t="s">
        <v>2553</v>
      </c>
      <c r="D12" s="108" t="s">
        <v>2534</v>
      </c>
      <c r="E12" s="108">
        <v>15</v>
      </c>
      <c r="F12" s="108"/>
      <c r="G12" s="108" t="s">
        <v>2551</v>
      </c>
    </row>
    <row r="13" spans="1:7" x14ac:dyDescent="0.3">
      <c r="A13" s="189">
        <v>45752</v>
      </c>
      <c r="B13" s="108" t="s">
        <v>2564</v>
      </c>
      <c r="C13" s="108" t="s">
        <v>2553</v>
      </c>
      <c r="D13" s="108" t="s">
        <v>2534</v>
      </c>
      <c r="E13" s="108">
        <v>309.5</v>
      </c>
      <c r="F13" s="108"/>
      <c r="G13" s="108" t="s">
        <v>2551</v>
      </c>
    </row>
    <row r="14" spans="1:7" x14ac:dyDescent="0.3">
      <c r="A14" s="190">
        <v>45753</v>
      </c>
      <c r="B14" s="42" t="s">
        <v>2565</v>
      </c>
      <c r="C14" s="42" t="s">
        <v>2555</v>
      </c>
      <c r="D14" s="42" t="s">
        <v>2530</v>
      </c>
      <c r="E14" s="42">
        <v>15</v>
      </c>
      <c r="F14" s="42"/>
      <c r="G14" s="42" t="s">
        <v>2551</v>
      </c>
    </row>
    <row r="15" spans="1:7" x14ac:dyDescent="0.3">
      <c r="A15" s="190">
        <v>45754</v>
      </c>
      <c r="B15" s="42" t="s">
        <v>2556</v>
      </c>
      <c r="C15" s="42" t="s">
        <v>2555</v>
      </c>
      <c r="D15" s="42" t="s">
        <v>2530</v>
      </c>
      <c r="E15" s="42">
        <v>145</v>
      </c>
      <c r="F15" s="42"/>
      <c r="G15" s="42" t="s">
        <v>2551</v>
      </c>
    </row>
    <row r="16" spans="1:7" x14ac:dyDescent="0.3">
      <c r="A16" s="190">
        <v>45754</v>
      </c>
      <c r="B16" s="42" t="s">
        <v>2556</v>
      </c>
      <c r="C16" s="42" t="s">
        <v>2555</v>
      </c>
      <c r="D16" s="42" t="s">
        <v>2530</v>
      </c>
      <c r="E16" s="42">
        <v>45</v>
      </c>
      <c r="F16" s="42"/>
      <c r="G16" s="42" t="s">
        <v>2551</v>
      </c>
    </row>
    <row r="17" spans="1:7" x14ac:dyDescent="0.3">
      <c r="A17" s="189">
        <v>45756</v>
      </c>
      <c r="B17" s="108" t="s">
        <v>2566</v>
      </c>
      <c r="C17" s="108" t="s">
        <v>2553</v>
      </c>
      <c r="D17" s="108" t="s">
        <v>2534</v>
      </c>
      <c r="E17" s="108">
        <v>188.1</v>
      </c>
      <c r="F17" s="108"/>
      <c r="G17" s="108" t="s">
        <v>2551</v>
      </c>
    </row>
    <row r="18" spans="1:7" x14ac:dyDescent="0.3">
      <c r="A18" s="189">
        <v>45756</v>
      </c>
      <c r="B18" s="108" t="s">
        <v>2567</v>
      </c>
      <c r="C18" s="108" t="s">
        <v>2553</v>
      </c>
      <c r="D18" s="108" t="s">
        <v>2534</v>
      </c>
      <c r="E18" s="108">
        <v>177</v>
      </c>
      <c r="F18" s="108"/>
      <c r="G18" s="108" t="s">
        <v>2551</v>
      </c>
    </row>
    <row r="19" spans="1:7" x14ac:dyDescent="0.3">
      <c r="A19" s="189">
        <v>45758</v>
      </c>
      <c r="B19" s="108" t="s">
        <v>2560</v>
      </c>
      <c r="C19" s="108" t="s">
        <v>2553</v>
      </c>
      <c r="D19" s="108" t="s">
        <v>2534</v>
      </c>
      <c r="E19" s="108">
        <v>26</v>
      </c>
      <c r="F19" s="108"/>
      <c r="G19" s="108" t="s">
        <v>2551</v>
      </c>
    </row>
    <row r="20" spans="1:7" x14ac:dyDescent="0.3">
      <c r="A20" s="189">
        <v>45758</v>
      </c>
      <c r="B20" s="108" t="s">
        <v>2560</v>
      </c>
      <c r="C20" s="108" t="s">
        <v>2553</v>
      </c>
      <c r="D20" s="108" t="s">
        <v>2534</v>
      </c>
      <c r="E20" s="108">
        <v>21</v>
      </c>
      <c r="F20" s="108"/>
      <c r="G20" s="108" t="s">
        <v>2551</v>
      </c>
    </row>
    <row r="21" spans="1:7" x14ac:dyDescent="0.3">
      <c r="A21" s="193">
        <v>45758</v>
      </c>
      <c r="B21" s="181" t="s">
        <v>2568</v>
      </c>
      <c r="C21" s="181" t="s">
        <v>2563</v>
      </c>
      <c r="D21" s="181" t="s">
        <v>2532</v>
      </c>
      <c r="E21" s="181">
        <v>25</v>
      </c>
      <c r="F21" s="181"/>
      <c r="G21" s="181" t="s">
        <v>2551</v>
      </c>
    </row>
    <row r="22" spans="1:7" x14ac:dyDescent="0.3">
      <c r="A22" s="189">
        <v>45759</v>
      </c>
      <c r="B22" s="108" t="s">
        <v>2569</v>
      </c>
      <c r="C22" s="108" t="s">
        <v>2553</v>
      </c>
      <c r="D22" s="108" t="s">
        <v>2534</v>
      </c>
      <c r="E22" s="108">
        <v>20</v>
      </c>
      <c r="F22" s="108"/>
      <c r="G22" s="108" t="s">
        <v>2551</v>
      </c>
    </row>
    <row r="23" spans="1:7" x14ac:dyDescent="0.3">
      <c r="A23" s="194">
        <v>45759</v>
      </c>
      <c r="B23" s="156" t="s">
        <v>2570</v>
      </c>
      <c r="C23" s="156" t="s">
        <v>2571</v>
      </c>
      <c r="D23" s="156" t="s">
        <v>2537</v>
      </c>
      <c r="E23" s="156">
        <v>101</v>
      </c>
      <c r="F23" s="156"/>
      <c r="G23" s="156" t="s">
        <v>2551</v>
      </c>
    </row>
    <row r="24" spans="1:7" x14ac:dyDescent="0.3">
      <c r="A24" s="195">
        <v>45760</v>
      </c>
      <c r="B24" s="54" t="s">
        <v>2572</v>
      </c>
      <c r="C24" s="54" t="s">
        <v>2573</v>
      </c>
      <c r="D24" s="54" t="s">
        <v>2535</v>
      </c>
      <c r="E24" s="54">
        <v>100</v>
      </c>
      <c r="F24" s="54"/>
      <c r="G24" s="54" t="s">
        <v>2551</v>
      </c>
    </row>
    <row r="25" spans="1:7" x14ac:dyDescent="0.3">
      <c r="A25" s="190">
        <v>45760</v>
      </c>
      <c r="B25" s="42" t="s">
        <v>2574</v>
      </c>
      <c r="C25" s="42" t="s">
        <v>2555</v>
      </c>
      <c r="D25" s="42" t="s">
        <v>2530</v>
      </c>
      <c r="E25" s="42">
        <v>51</v>
      </c>
      <c r="F25" s="42"/>
      <c r="G25" s="42" t="s">
        <v>2551</v>
      </c>
    </row>
    <row r="26" spans="1:7" x14ac:dyDescent="0.3">
      <c r="A26" s="190">
        <v>45760</v>
      </c>
      <c r="B26" s="42" t="s">
        <v>2575</v>
      </c>
      <c r="C26" s="42" t="s">
        <v>2555</v>
      </c>
      <c r="D26" s="42" t="s">
        <v>2530</v>
      </c>
      <c r="E26" s="42">
        <v>10</v>
      </c>
      <c r="F26" s="42"/>
      <c r="G26" s="42" t="s">
        <v>2551</v>
      </c>
    </row>
    <row r="27" spans="1:7" x14ac:dyDescent="0.3">
      <c r="A27" s="190">
        <v>45760</v>
      </c>
      <c r="B27" s="42" t="s">
        <v>2576</v>
      </c>
      <c r="C27" s="42" t="s">
        <v>2555</v>
      </c>
      <c r="D27" s="42" t="s">
        <v>2530</v>
      </c>
      <c r="E27" s="42">
        <v>80</v>
      </c>
      <c r="F27" s="42"/>
      <c r="G27" s="42" t="s">
        <v>2551</v>
      </c>
    </row>
    <row r="28" spans="1:7" x14ac:dyDescent="0.3">
      <c r="A28" s="190">
        <v>45762</v>
      </c>
      <c r="B28" s="42" t="s">
        <v>2577</v>
      </c>
      <c r="C28" s="42" t="s">
        <v>2555</v>
      </c>
      <c r="D28" s="42" t="s">
        <v>2530</v>
      </c>
      <c r="E28" s="42">
        <v>125</v>
      </c>
      <c r="F28" s="42"/>
      <c r="G28" s="42" t="s">
        <v>2551</v>
      </c>
    </row>
    <row r="29" spans="1:7" x14ac:dyDescent="0.3">
      <c r="A29" s="190">
        <v>45762</v>
      </c>
      <c r="B29" s="42" t="s">
        <v>2578</v>
      </c>
      <c r="C29" s="42" t="s">
        <v>2555</v>
      </c>
      <c r="D29" s="42" t="s">
        <v>2530</v>
      </c>
      <c r="E29" s="42">
        <v>15</v>
      </c>
      <c r="F29" s="42"/>
      <c r="G29" s="42" t="s">
        <v>2551</v>
      </c>
    </row>
    <row r="30" spans="1:7" x14ac:dyDescent="0.3">
      <c r="A30" s="189">
        <v>45767</v>
      </c>
      <c r="B30" s="108" t="s">
        <v>2579</v>
      </c>
      <c r="C30" s="108" t="s">
        <v>2553</v>
      </c>
      <c r="D30" s="108" t="s">
        <v>2534</v>
      </c>
      <c r="E30" s="108">
        <v>25</v>
      </c>
      <c r="F30" s="108"/>
      <c r="G30" s="108" t="s">
        <v>2551</v>
      </c>
    </row>
    <row r="31" spans="1:7" x14ac:dyDescent="0.3">
      <c r="A31" s="189">
        <v>45768</v>
      </c>
      <c r="B31" s="108" t="s">
        <v>2580</v>
      </c>
      <c r="C31" s="108" t="s">
        <v>2553</v>
      </c>
      <c r="D31" s="108" t="s">
        <v>2534</v>
      </c>
      <c r="E31" s="108">
        <v>20</v>
      </c>
      <c r="F31" s="108"/>
      <c r="G31" s="108" t="s">
        <v>2581</v>
      </c>
    </row>
    <row r="32" spans="1:7" x14ac:dyDescent="0.3">
      <c r="A32" s="190">
        <v>45769</v>
      </c>
      <c r="B32" s="42" t="s">
        <v>2582</v>
      </c>
      <c r="C32" s="42" t="s">
        <v>2555</v>
      </c>
      <c r="D32" s="42" t="s">
        <v>2530</v>
      </c>
      <c r="E32" s="42">
        <v>40</v>
      </c>
      <c r="F32" s="42"/>
      <c r="G32" s="42" t="s">
        <v>2581</v>
      </c>
    </row>
    <row r="33" spans="1:7" x14ac:dyDescent="0.3">
      <c r="A33" s="190">
        <v>45770</v>
      </c>
      <c r="B33" s="42" t="s">
        <v>2582</v>
      </c>
      <c r="C33" s="42" t="s">
        <v>2555</v>
      </c>
      <c r="D33" s="42" t="s">
        <v>2530</v>
      </c>
      <c r="E33" s="42">
        <v>45</v>
      </c>
      <c r="F33" s="42"/>
      <c r="G33" s="42" t="s">
        <v>2581</v>
      </c>
    </row>
    <row r="34" spans="1:7" x14ac:dyDescent="0.3">
      <c r="A34" s="189">
        <v>45770</v>
      </c>
      <c r="B34" s="108" t="s">
        <v>2583</v>
      </c>
      <c r="C34" s="108" t="s">
        <v>2553</v>
      </c>
      <c r="D34" s="108" t="s">
        <v>2534</v>
      </c>
      <c r="E34" s="108">
        <v>40</v>
      </c>
      <c r="F34" s="108"/>
      <c r="G34" s="108" t="s">
        <v>2581</v>
      </c>
    </row>
    <row r="35" spans="1:7" x14ac:dyDescent="0.3">
      <c r="A35" s="189">
        <v>45771</v>
      </c>
      <c r="B35" s="108" t="s">
        <v>2584</v>
      </c>
      <c r="C35" s="108" t="s">
        <v>2553</v>
      </c>
      <c r="D35" s="108" t="s">
        <v>2534</v>
      </c>
      <c r="E35" s="108">
        <v>74</v>
      </c>
      <c r="F35" s="108"/>
      <c r="G35" s="108" t="s">
        <v>2581</v>
      </c>
    </row>
    <row r="36" spans="1:7" x14ac:dyDescent="0.3">
      <c r="A36" s="190">
        <v>45771</v>
      </c>
      <c r="B36" s="42" t="s">
        <v>2576</v>
      </c>
      <c r="C36" s="42" t="s">
        <v>2555</v>
      </c>
      <c r="D36" s="42" t="s">
        <v>2530</v>
      </c>
      <c r="E36" s="42">
        <v>50</v>
      </c>
      <c r="F36" s="42"/>
      <c r="G36" s="42" t="s">
        <v>2581</v>
      </c>
    </row>
    <row r="37" spans="1:7" x14ac:dyDescent="0.3">
      <c r="A37" s="190">
        <v>45773</v>
      </c>
      <c r="B37" s="42" t="s">
        <v>2576</v>
      </c>
      <c r="C37" s="42" t="s">
        <v>2555</v>
      </c>
      <c r="D37" s="42" t="s">
        <v>2530</v>
      </c>
      <c r="E37" s="42">
        <v>80</v>
      </c>
      <c r="F37" s="42"/>
      <c r="G37" s="42" t="s">
        <v>2581</v>
      </c>
    </row>
    <row r="38" spans="1:7" x14ac:dyDescent="0.3">
      <c r="A38" s="188">
        <v>45774</v>
      </c>
      <c r="B38" s="112" t="s">
        <v>2585</v>
      </c>
      <c r="C38" s="112" t="s">
        <v>2586</v>
      </c>
      <c r="D38" s="112" t="s">
        <v>2536</v>
      </c>
      <c r="E38" s="112">
        <v>287</v>
      </c>
      <c r="F38" s="112"/>
      <c r="G38" s="112" t="s">
        <v>2581</v>
      </c>
    </row>
    <row r="39" spans="1:7" x14ac:dyDescent="0.3">
      <c r="A39" s="189">
        <v>45776</v>
      </c>
      <c r="B39" s="108" t="s">
        <v>2587</v>
      </c>
      <c r="C39" s="108" t="s">
        <v>2553</v>
      </c>
      <c r="D39" s="108" t="s">
        <v>2534</v>
      </c>
      <c r="E39" s="108">
        <v>25</v>
      </c>
      <c r="F39" s="108"/>
      <c r="G39" s="108" t="s">
        <v>2581</v>
      </c>
    </row>
    <row r="40" spans="1:7" x14ac:dyDescent="0.3">
      <c r="A40" s="188">
        <v>45776</v>
      </c>
      <c r="B40" s="112" t="s">
        <v>2585</v>
      </c>
      <c r="C40" s="112" t="s">
        <v>2586</v>
      </c>
      <c r="D40" s="112" t="s">
        <v>2536</v>
      </c>
      <c r="E40" s="112">
        <v>74</v>
      </c>
      <c r="F40" s="112"/>
      <c r="G40" s="112" t="s">
        <v>2581</v>
      </c>
    </row>
    <row r="42" spans="1:7" x14ac:dyDescent="0.3">
      <c r="A42" s="186" t="s">
        <v>2588</v>
      </c>
      <c r="B42" s="187"/>
      <c r="C42" s="187"/>
      <c r="D42" s="187"/>
      <c r="E42" s="187"/>
      <c r="F42" s="187"/>
      <c r="G42" s="187"/>
    </row>
    <row r="43" spans="1:7" x14ac:dyDescent="0.3">
      <c r="A43" s="190">
        <v>45778</v>
      </c>
      <c r="B43" s="42" t="s">
        <v>2589</v>
      </c>
      <c r="C43" s="42" t="s">
        <v>2555</v>
      </c>
      <c r="D43" s="42" t="s">
        <v>2530</v>
      </c>
      <c r="E43" s="42">
        <v>7</v>
      </c>
      <c r="F43" s="42"/>
      <c r="G43" s="42" t="s">
        <v>2581</v>
      </c>
    </row>
    <row r="44" spans="1:7" x14ac:dyDescent="0.3">
      <c r="A44" s="193">
        <v>45778</v>
      </c>
      <c r="B44" s="181" t="s">
        <v>2590</v>
      </c>
      <c r="C44" s="181" t="s">
        <v>2563</v>
      </c>
      <c r="D44" s="181" t="s">
        <v>2532</v>
      </c>
      <c r="E44" s="181">
        <v>40</v>
      </c>
      <c r="F44" s="181"/>
      <c r="G44" s="181" t="s">
        <v>2581</v>
      </c>
    </row>
    <row r="45" spans="1:7" x14ac:dyDescent="0.3">
      <c r="A45" s="190">
        <v>45781</v>
      </c>
      <c r="B45" s="42" t="s">
        <v>2591</v>
      </c>
      <c r="C45" s="42" t="s">
        <v>2555</v>
      </c>
      <c r="D45" s="42" t="s">
        <v>2530</v>
      </c>
      <c r="E45" s="42">
        <v>150</v>
      </c>
      <c r="F45" s="42"/>
      <c r="G45" s="42" t="s">
        <v>2581</v>
      </c>
    </row>
    <row r="46" spans="1:7" x14ac:dyDescent="0.3">
      <c r="A46" s="190">
        <v>45784</v>
      </c>
      <c r="B46" s="42" t="s">
        <v>2591</v>
      </c>
      <c r="C46" s="42" t="s">
        <v>2555</v>
      </c>
      <c r="D46" s="42" t="s">
        <v>2530</v>
      </c>
      <c r="E46" s="42">
        <v>150</v>
      </c>
      <c r="F46" s="42"/>
      <c r="G46" s="42" t="s">
        <v>2581</v>
      </c>
    </row>
    <row r="47" spans="1:7" x14ac:dyDescent="0.3">
      <c r="A47" s="190">
        <v>45785</v>
      </c>
      <c r="B47" s="42" t="s">
        <v>2574</v>
      </c>
      <c r="C47" s="42" t="s">
        <v>2555</v>
      </c>
      <c r="D47" s="42" t="s">
        <v>2530</v>
      </c>
      <c r="E47" s="42">
        <v>63</v>
      </c>
      <c r="F47" s="42"/>
      <c r="G47" s="42" t="s">
        <v>2581</v>
      </c>
    </row>
    <row r="48" spans="1:7" x14ac:dyDescent="0.3">
      <c r="A48" s="190">
        <v>45786</v>
      </c>
      <c r="B48" s="42" t="s">
        <v>2574</v>
      </c>
      <c r="C48" s="42" t="s">
        <v>2555</v>
      </c>
      <c r="D48" s="42" t="s">
        <v>2530</v>
      </c>
      <c r="E48" s="42">
        <v>55</v>
      </c>
      <c r="F48" s="42"/>
      <c r="G48" s="42" t="s">
        <v>2581</v>
      </c>
    </row>
    <row r="49" spans="1:7" x14ac:dyDescent="0.3">
      <c r="A49" s="190">
        <v>45786</v>
      </c>
      <c r="B49" s="42" t="s">
        <v>2592</v>
      </c>
      <c r="C49" s="42" t="s">
        <v>2555</v>
      </c>
      <c r="D49" s="42" t="s">
        <v>2530</v>
      </c>
      <c r="E49" s="42">
        <v>180</v>
      </c>
      <c r="F49" s="42"/>
      <c r="G49" s="42" t="s">
        <v>2581</v>
      </c>
    </row>
    <row r="50" spans="1:7" x14ac:dyDescent="0.3">
      <c r="A50" s="190">
        <v>45786</v>
      </c>
      <c r="B50" s="42" t="s">
        <v>2591</v>
      </c>
      <c r="C50" s="42" t="s">
        <v>2555</v>
      </c>
      <c r="D50" s="42" t="s">
        <v>2530</v>
      </c>
      <c r="E50" s="42">
        <v>83</v>
      </c>
      <c r="F50" s="42"/>
      <c r="G50" s="42" t="s">
        <v>2581</v>
      </c>
    </row>
    <row r="51" spans="1:7" x14ac:dyDescent="0.3">
      <c r="A51" s="196">
        <v>45787</v>
      </c>
      <c r="B51" s="44" t="s">
        <v>2593</v>
      </c>
      <c r="C51" s="44" t="s">
        <v>2594</v>
      </c>
      <c r="D51" s="44" t="s">
        <v>2531</v>
      </c>
      <c r="E51" s="44">
        <v>205</v>
      </c>
      <c r="F51" s="44"/>
      <c r="G51" s="44" t="s">
        <v>2581</v>
      </c>
    </row>
    <row r="52" spans="1:7" x14ac:dyDescent="0.3">
      <c r="A52" s="197">
        <v>45787</v>
      </c>
      <c r="B52" s="180" t="s">
        <v>2595</v>
      </c>
      <c r="C52" s="180" t="s">
        <v>2596</v>
      </c>
      <c r="D52" s="180" t="s">
        <v>2529</v>
      </c>
      <c r="E52" s="180">
        <v>310</v>
      </c>
      <c r="F52" s="180"/>
      <c r="G52" s="180" t="s">
        <v>2581</v>
      </c>
    </row>
    <row r="53" spans="1:7" x14ac:dyDescent="0.3">
      <c r="A53" s="190">
        <v>45789</v>
      </c>
      <c r="B53" s="42" t="s">
        <v>2578</v>
      </c>
      <c r="C53" s="42" t="s">
        <v>2555</v>
      </c>
      <c r="D53" s="42" t="s">
        <v>2530</v>
      </c>
      <c r="E53" s="42">
        <v>30</v>
      </c>
      <c r="F53" s="42"/>
      <c r="G53" s="42" t="s">
        <v>2581</v>
      </c>
    </row>
    <row r="54" spans="1:7" x14ac:dyDescent="0.3">
      <c r="A54" s="193">
        <v>45792</v>
      </c>
      <c r="B54" s="181" t="s">
        <v>2597</v>
      </c>
      <c r="C54" s="181" t="s">
        <v>2563</v>
      </c>
      <c r="D54" s="181" t="s">
        <v>2532</v>
      </c>
      <c r="E54" s="181">
        <v>50</v>
      </c>
      <c r="F54" s="181"/>
      <c r="G54" s="181" t="s">
        <v>2581</v>
      </c>
    </row>
    <row r="55" spans="1:7" x14ac:dyDescent="0.3">
      <c r="A55" s="193">
        <v>45792</v>
      </c>
      <c r="B55" s="181" t="s">
        <v>2597</v>
      </c>
      <c r="C55" s="181" t="s">
        <v>2563</v>
      </c>
      <c r="D55" s="181" t="s">
        <v>2532</v>
      </c>
      <c r="E55" s="181">
        <v>70</v>
      </c>
      <c r="F55" s="181"/>
      <c r="G55" s="181" t="s">
        <v>2581</v>
      </c>
    </row>
    <row r="56" spans="1:7" x14ac:dyDescent="0.3">
      <c r="A56" s="190">
        <v>45794</v>
      </c>
      <c r="B56" s="42" t="s">
        <v>2598</v>
      </c>
      <c r="C56" s="42" t="s">
        <v>2555</v>
      </c>
      <c r="D56" s="42" t="s">
        <v>2530</v>
      </c>
      <c r="E56" s="42">
        <v>530</v>
      </c>
      <c r="F56" s="42"/>
      <c r="G56" s="42" t="s">
        <v>2581</v>
      </c>
    </row>
    <row r="57" spans="1:7" x14ac:dyDescent="0.3">
      <c r="A57" s="190">
        <v>45794</v>
      </c>
      <c r="B57" s="42" t="s">
        <v>2574</v>
      </c>
      <c r="C57" s="42" t="s">
        <v>2555</v>
      </c>
      <c r="D57" s="42" t="s">
        <v>2530</v>
      </c>
      <c r="E57" s="42">
        <v>190</v>
      </c>
      <c r="F57" s="42"/>
      <c r="G57" s="42" t="s">
        <v>2581</v>
      </c>
    </row>
    <row r="58" spans="1:7" x14ac:dyDescent="0.3">
      <c r="A58" s="189">
        <v>45794</v>
      </c>
      <c r="B58" s="108" t="s">
        <v>2599</v>
      </c>
      <c r="C58" s="108" t="s">
        <v>2553</v>
      </c>
      <c r="D58" s="108" t="s">
        <v>2534</v>
      </c>
      <c r="E58" s="108">
        <v>215</v>
      </c>
      <c r="F58" s="108"/>
      <c r="G58" s="108" t="s">
        <v>2581</v>
      </c>
    </row>
    <row r="59" spans="1:7" x14ac:dyDescent="0.3">
      <c r="A59" s="189">
        <v>45795</v>
      </c>
      <c r="B59" s="108" t="s">
        <v>2600</v>
      </c>
      <c r="C59" s="108" t="s">
        <v>2553</v>
      </c>
      <c r="D59" s="108" t="s">
        <v>2534</v>
      </c>
      <c r="E59" s="108">
        <v>20</v>
      </c>
      <c r="F59" s="108"/>
      <c r="G59" s="108" t="s">
        <v>2581</v>
      </c>
    </row>
    <row r="60" spans="1:7" x14ac:dyDescent="0.3">
      <c r="A60" s="189">
        <v>45795</v>
      </c>
      <c r="B60" s="108" t="s">
        <v>2600</v>
      </c>
      <c r="C60" s="108" t="s">
        <v>2553</v>
      </c>
      <c r="D60" s="108" t="s">
        <v>2534</v>
      </c>
      <c r="E60" s="108">
        <v>40</v>
      </c>
      <c r="F60" s="108"/>
      <c r="G60" s="108" t="s">
        <v>2581</v>
      </c>
    </row>
    <row r="61" spans="1:7" x14ac:dyDescent="0.3">
      <c r="A61" s="189">
        <v>45796</v>
      </c>
      <c r="B61" s="108" t="s">
        <v>2601</v>
      </c>
      <c r="C61" s="108" t="s">
        <v>2553</v>
      </c>
      <c r="D61" s="108" t="s">
        <v>2534</v>
      </c>
      <c r="E61" s="108">
        <v>100</v>
      </c>
      <c r="F61" s="108"/>
      <c r="G61" s="108" t="s">
        <v>2581</v>
      </c>
    </row>
    <row r="62" spans="1:7" x14ac:dyDescent="0.3">
      <c r="A62" s="189">
        <v>45796</v>
      </c>
      <c r="B62" s="108" t="s">
        <v>2601</v>
      </c>
      <c r="C62" s="108" t="s">
        <v>2553</v>
      </c>
      <c r="D62" s="108" t="s">
        <v>2534</v>
      </c>
      <c r="E62" s="108">
        <v>45</v>
      </c>
      <c r="F62" s="108"/>
      <c r="G62" s="108" t="s">
        <v>2581</v>
      </c>
    </row>
    <row r="63" spans="1:7" x14ac:dyDescent="0.3">
      <c r="A63" s="189">
        <v>45799</v>
      </c>
      <c r="B63" s="108" t="s">
        <v>2602</v>
      </c>
      <c r="C63" s="108" t="s">
        <v>2553</v>
      </c>
      <c r="D63" s="108" t="s">
        <v>2534</v>
      </c>
      <c r="E63" s="108">
        <v>190</v>
      </c>
      <c r="F63" s="108"/>
      <c r="G63" s="108" t="s">
        <v>2603</v>
      </c>
    </row>
    <row r="64" spans="1:7" x14ac:dyDescent="0.3">
      <c r="A64" s="188">
        <v>45799</v>
      </c>
      <c r="B64" s="112" t="s">
        <v>2549</v>
      </c>
      <c r="C64" s="112" t="s">
        <v>2550</v>
      </c>
      <c r="D64" s="112" t="s">
        <v>2536</v>
      </c>
      <c r="E64" s="112">
        <v>500</v>
      </c>
      <c r="F64" s="112"/>
      <c r="G64" s="112" t="s">
        <v>2603</v>
      </c>
    </row>
    <row r="65" spans="1:7" x14ac:dyDescent="0.3">
      <c r="A65" s="190">
        <v>45800</v>
      </c>
      <c r="B65" s="42" t="s">
        <v>2556</v>
      </c>
      <c r="C65" s="42" t="s">
        <v>2555</v>
      </c>
      <c r="D65" s="42" t="s">
        <v>2530</v>
      </c>
      <c r="E65" s="42">
        <v>50</v>
      </c>
      <c r="F65" s="42"/>
      <c r="G65" s="42" t="s">
        <v>2603</v>
      </c>
    </row>
    <row r="66" spans="1:7" x14ac:dyDescent="0.3">
      <c r="A66" s="190">
        <v>45801</v>
      </c>
      <c r="B66" s="42" t="s">
        <v>2604</v>
      </c>
      <c r="C66" s="42" t="s">
        <v>2555</v>
      </c>
      <c r="D66" s="42" t="s">
        <v>2530</v>
      </c>
      <c r="E66" s="42">
        <v>60</v>
      </c>
      <c r="F66" s="42"/>
      <c r="G66" s="42" t="s">
        <v>2603</v>
      </c>
    </row>
    <row r="67" spans="1:7" x14ac:dyDescent="0.3">
      <c r="A67" s="190">
        <v>45801</v>
      </c>
      <c r="B67" s="42" t="s">
        <v>2605</v>
      </c>
      <c r="C67" s="42" t="s">
        <v>2555</v>
      </c>
      <c r="D67" s="42" t="s">
        <v>2530</v>
      </c>
      <c r="E67" s="42">
        <v>500</v>
      </c>
      <c r="F67" s="42"/>
      <c r="G67" s="42" t="s">
        <v>2603</v>
      </c>
    </row>
    <row r="68" spans="1:7" x14ac:dyDescent="0.3">
      <c r="A68" s="190">
        <v>45801</v>
      </c>
      <c r="B68" s="42" t="s">
        <v>2606</v>
      </c>
      <c r="C68" s="42" t="s">
        <v>2555</v>
      </c>
      <c r="D68" s="42" t="s">
        <v>2530</v>
      </c>
      <c r="E68" s="42">
        <v>255.65</v>
      </c>
      <c r="F68" s="42"/>
      <c r="G68" s="42" t="s">
        <v>2603</v>
      </c>
    </row>
    <row r="69" spans="1:7" x14ac:dyDescent="0.3">
      <c r="A69" s="189">
        <v>45802</v>
      </c>
      <c r="B69" s="108" t="s">
        <v>2607</v>
      </c>
      <c r="C69" s="108" t="s">
        <v>2553</v>
      </c>
      <c r="D69" s="108" t="s">
        <v>2534</v>
      </c>
      <c r="E69" s="108">
        <v>417.33</v>
      </c>
      <c r="F69" s="108"/>
      <c r="G69" s="108" t="s">
        <v>2603</v>
      </c>
    </row>
    <row r="70" spans="1:7" x14ac:dyDescent="0.3">
      <c r="A70" s="189">
        <v>45802</v>
      </c>
      <c r="B70" s="108" t="s">
        <v>2602</v>
      </c>
      <c r="C70" s="108" t="s">
        <v>2553</v>
      </c>
      <c r="D70" s="108" t="s">
        <v>2534</v>
      </c>
      <c r="E70" s="108">
        <v>175</v>
      </c>
      <c r="F70" s="108"/>
      <c r="G70" s="108" t="s">
        <v>2603</v>
      </c>
    </row>
    <row r="71" spans="1:7" x14ac:dyDescent="0.3">
      <c r="A71" s="189">
        <v>45802</v>
      </c>
      <c r="B71" s="108" t="s">
        <v>2602</v>
      </c>
      <c r="C71" s="108" t="s">
        <v>2553</v>
      </c>
      <c r="D71" s="108" t="s">
        <v>2534</v>
      </c>
      <c r="E71" s="108">
        <v>115</v>
      </c>
      <c r="F71" s="108"/>
      <c r="G71" s="108" t="s">
        <v>2603</v>
      </c>
    </row>
    <row r="72" spans="1:7" x14ac:dyDescent="0.3">
      <c r="A72" s="190">
        <v>45803</v>
      </c>
      <c r="B72" s="42" t="s">
        <v>2608</v>
      </c>
      <c r="C72" s="42" t="s">
        <v>2555</v>
      </c>
      <c r="D72" s="42" t="s">
        <v>2530</v>
      </c>
      <c r="E72" s="42">
        <v>517</v>
      </c>
      <c r="F72" s="42"/>
      <c r="G72" s="42" t="s">
        <v>2603</v>
      </c>
    </row>
    <row r="73" spans="1:7" x14ac:dyDescent="0.3">
      <c r="A73" s="198">
        <v>45803</v>
      </c>
      <c r="B73" s="183" t="s">
        <v>2609</v>
      </c>
      <c r="C73" s="183" t="s">
        <v>2610</v>
      </c>
      <c r="D73" s="183" t="s">
        <v>2538</v>
      </c>
      <c r="E73" s="183">
        <v>12254</v>
      </c>
      <c r="F73" s="183"/>
      <c r="G73" s="183" t="s">
        <v>2603</v>
      </c>
    </row>
    <row r="74" spans="1:7" x14ac:dyDescent="0.3">
      <c r="A74" s="198">
        <v>45803</v>
      </c>
      <c r="B74" s="183" t="s">
        <v>2609</v>
      </c>
      <c r="C74" s="183" t="s">
        <v>2611</v>
      </c>
      <c r="D74" s="183" t="s">
        <v>2538</v>
      </c>
      <c r="E74" s="183">
        <v>12254</v>
      </c>
      <c r="F74" s="183"/>
      <c r="G74" s="183" t="s">
        <v>2603</v>
      </c>
    </row>
    <row r="75" spans="1:7" x14ac:dyDescent="0.3">
      <c r="A75" s="189">
        <v>45804</v>
      </c>
      <c r="B75" s="108" t="s">
        <v>2564</v>
      </c>
      <c r="C75" s="108" t="s">
        <v>2553</v>
      </c>
      <c r="D75" s="108" t="s">
        <v>2534</v>
      </c>
      <c r="E75" s="108">
        <v>72.45</v>
      </c>
      <c r="F75" s="108"/>
      <c r="G75" s="108" t="s">
        <v>2603</v>
      </c>
    </row>
    <row r="76" spans="1:7" x14ac:dyDescent="0.3">
      <c r="A76" s="189">
        <v>45804</v>
      </c>
      <c r="B76" s="108" t="s">
        <v>2564</v>
      </c>
      <c r="C76" s="108" t="s">
        <v>2553</v>
      </c>
      <c r="D76" s="108" t="s">
        <v>2534</v>
      </c>
      <c r="E76" s="108">
        <v>31.5</v>
      </c>
      <c r="F76" s="108"/>
      <c r="G76" s="108" t="s">
        <v>2603</v>
      </c>
    </row>
    <row r="77" spans="1:7" x14ac:dyDescent="0.3">
      <c r="A77" s="189">
        <v>45804</v>
      </c>
      <c r="B77" s="108" t="s">
        <v>2564</v>
      </c>
      <c r="C77" s="108" t="s">
        <v>2553</v>
      </c>
      <c r="D77" s="108" t="s">
        <v>2534</v>
      </c>
      <c r="E77" s="108">
        <v>40</v>
      </c>
      <c r="F77" s="108"/>
      <c r="G77" s="108" t="s">
        <v>2603</v>
      </c>
    </row>
    <row r="78" spans="1:7" x14ac:dyDescent="0.3">
      <c r="A78" s="190">
        <v>45805</v>
      </c>
      <c r="B78" s="42" t="s">
        <v>2556</v>
      </c>
      <c r="C78" s="42" t="s">
        <v>2555</v>
      </c>
      <c r="D78" s="42" t="s">
        <v>2530</v>
      </c>
      <c r="E78" s="42">
        <v>215</v>
      </c>
      <c r="F78" s="42"/>
      <c r="G78" s="42" t="s">
        <v>2603</v>
      </c>
    </row>
    <row r="79" spans="1:7" x14ac:dyDescent="0.3">
      <c r="A79" s="190">
        <v>45805</v>
      </c>
      <c r="B79" s="42" t="s">
        <v>2612</v>
      </c>
      <c r="C79" s="42" t="s">
        <v>2555</v>
      </c>
      <c r="D79" s="42" t="s">
        <v>2530</v>
      </c>
      <c r="E79" s="42">
        <v>15</v>
      </c>
      <c r="F79" s="42"/>
      <c r="G79" s="42" t="s">
        <v>2603</v>
      </c>
    </row>
    <row r="80" spans="1:7" x14ac:dyDescent="0.3">
      <c r="A80" s="189">
        <v>45806</v>
      </c>
      <c r="B80" s="108" t="s">
        <v>2613</v>
      </c>
      <c r="C80" s="108" t="s">
        <v>2553</v>
      </c>
      <c r="D80" s="108" t="s">
        <v>2534</v>
      </c>
      <c r="E80" s="108">
        <v>99</v>
      </c>
      <c r="F80" s="108"/>
      <c r="G80" s="108" t="s">
        <v>2603</v>
      </c>
    </row>
    <row r="81" spans="1:7" x14ac:dyDescent="0.3">
      <c r="A81" s="189">
        <v>45806</v>
      </c>
      <c r="B81" s="108" t="s">
        <v>2613</v>
      </c>
      <c r="C81" s="108" t="s">
        <v>2553</v>
      </c>
      <c r="D81" s="108" t="s">
        <v>2534</v>
      </c>
      <c r="E81" s="108">
        <v>110</v>
      </c>
      <c r="F81" s="108"/>
      <c r="G81" s="108" t="s">
        <v>2603</v>
      </c>
    </row>
    <row r="82" spans="1:7" x14ac:dyDescent="0.3">
      <c r="A82" s="193">
        <v>45806</v>
      </c>
      <c r="B82" s="181" t="s">
        <v>2614</v>
      </c>
      <c r="C82" s="181" t="s">
        <v>2615</v>
      </c>
      <c r="D82" s="181" t="s">
        <v>2532</v>
      </c>
      <c r="E82" s="181">
        <v>25</v>
      </c>
      <c r="F82" s="181"/>
      <c r="G82" s="181" t="s">
        <v>2603</v>
      </c>
    </row>
    <row r="83" spans="1:7" x14ac:dyDescent="0.3">
      <c r="A83" s="189">
        <v>45807</v>
      </c>
      <c r="B83" s="108" t="s">
        <v>2616</v>
      </c>
      <c r="C83" s="108" t="s">
        <v>2553</v>
      </c>
      <c r="D83" s="108" t="s">
        <v>2534</v>
      </c>
      <c r="E83" s="108">
        <v>15</v>
      </c>
      <c r="F83" s="108"/>
      <c r="G83" s="108" t="s">
        <v>2603</v>
      </c>
    </row>
    <row r="84" spans="1:7" x14ac:dyDescent="0.3">
      <c r="A84" s="190">
        <v>45808</v>
      </c>
      <c r="B84" s="42" t="s">
        <v>2617</v>
      </c>
      <c r="C84" s="42" t="s">
        <v>2555</v>
      </c>
      <c r="D84" s="42" t="s">
        <v>2530</v>
      </c>
      <c r="E84" s="42">
        <v>937</v>
      </c>
      <c r="F84" s="42"/>
      <c r="G84" s="42" t="s">
        <v>2603</v>
      </c>
    </row>
    <row r="85" spans="1:7" x14ac:dyDescent="0.3">
      <c r="A85" s="190">
        <v>45808</v>
      </c>
      <c r="B85" s="42" t="s">
        <v>2618</v>
      </c>
      <c r="C85" s="42" t="s">
        <v>2555</v>
      </c>
      <c r="D85" s="42" t="s">
        <v>2530</v>
      </c>
      <c r="E85" s="42">
        <v>2996.5</v>
      </c>
      <c r="F85" s="42"/>
      <c r="G85" s="42" t="s">
        <v>2603</v>
      </c>
    </row>
    <row r="86" spans="1:7" x14ac:dyDescent="0.3">
      <c r="A86" s="189">
        <v>45808</v>
      </c>
      <c r="B86" s="108" t="s">
        <v>2619</v>
      </c>
      <c r="C86" s="108" t="s">
        <v>2553</v>
      </c>
      <c r="D86" s="108" t="s">
        <v>2534</v>
      </c>
      <c r="E86" s="108">
        <v>255</v>
      </c>
      <c r="F86" s="108"/>
      <c r="G86" s="108" t="s">
        <v>2603</v>
      </c>
    </row>
    <row r="88" spans="1:7" x14ac:dyDescent="0.3">
      <c r="A88" s="186" t="s">
        <v>2620</v>
      </c>
      <c r="B88" s="187"/>
      <c r="C88" s="187"/>
      <c r="D88" s="187"/>
      <c r="E88" s="187"/>
      <c r="F88" s="187"/>
      <c r="G88" s="187"/>
    </row>
    <row r="89" spans="1:7" x14ac:dyDescent="0.3">
      <c r="A89" s="192">
        <v>45809</v>
      </c>
      <c r="B89" s="106" t="s">
        <v>2621</v>
      </c>
      <c r="C89" s="106" t="s">
        <v>2559</v>
      </c>
      <c r="D89" s="106" t="s">
        <v>2527</v>
      </c>
      <c r="E89" s="106">
        <v>107</v>
      </c>
      <c r="F89" s="106"/>
      <c r="G89" s="106" t="s">
        <v>2603</v>
      </c>
    </row>
    <row r="90" spans="1:7" x14ac:dyDescent="0.3">
      <c r="A90" s="190">
        <v>45810</v>
      </c>
      <c r="B90" s="42" t="s">
        <v>2622</v>
      </c>
      <c r="C90" s="42" t="s">
        <v>2555</v>
      </c>
      <c r="D90" s="42" t="s">
        <v>2530</v>
      </c>
      <c r="E90" s="42">
        <v>45</v>
      </c>
      <c r="F90" s="42"/>
      <c r="G90" s="42" t="s">
        <v>2603</v>
      </c>
    </row>
    <row r="91" spans="1:7" x14ac:dyDescent="0.3">
      <c r="A91" s="189">
        <v>45811</v>
      </c>
      <c r="B91" s="108" t="s">
        <v>2623</v>
      </c>
      <c r="C91" s="108" t="s">
        <v>2553</v>
      </c>
      <c r="D91" s="108" t="s">
        <v>2534</v>
      </c>
      <c r="E91" s="108">
        <v>130</v>
      </c>
      <c r="F91" s="108"/>
      <c r="G91" s="108" t="s">
        <v>2603</v>
      </c>
    </row>
    <row r="92" spans="1:7" x14ac:dyDescent="0.3">
      <c r="A92" s="192">
        <v>45811</v>
      </c>
      <c r="B92" s="106" t="s">
        <v>2557</v>
      </c>
      <c r="C92" s="106" t="s">
        <v>2559</v>
      </c>
      <c r="D92" s="106" t="s">
        <v>2527</v>
      </c>
      <c r="E92" s="106">
        <v>1500</v>
      </c>
      <c r="F92" s="106"/>
      <c r="G92" s="106" t="s">
        <v>2603</v>
      </c>
    </row>
    <row r="93" spans="1:7" x14ac:dyDescent="0.3">
      <c r="A93" s="188">
        <v>45811</v>
      </c>
      <c r="B93" s="112" t="s">
        <v>2624</v>
      </c>
      <c r="C93" s="112" t="s">
        <v>2586</v>
      </c>
      <c r="D93" s="112" t="s">
        <v>2536</v>
      </c>
      <c r="E93" s="112">
        <v>330</v>
      </c>
      <c r="F93" s="112"/>
      <c r="G93" s="112" t="s">
        <v>2603</v>
      </c>
    </row>
    <row r="94" spans="1:7" x14ac:dyDescent="0.3">
      <c r="A94" s="199">
        <v>45811</v>
      </c>
      <c r="B94" s="110" t="s">
        <v>1772</v>
      </c>
      <c r="C94" s="110" t="s">
        <v>988</v>
      </c>
      <c r="D94" s="110" t="s">
        <v>2528</v>
      </c>
      <c r="E94" s="110">
        <v>242.84</v>
      </c>
      <c r="F94" s="110"/>
      <c r="G94" s="110" t="s">
        <v>2603</v>
      </c>
    </row>
    <row r="95" spans="1:7" x14ac:dyDescent="0.3">
      <c r="A95" s="194">
        <v>45811</v>
      </c>
      <c r="B95" s="156" t="s">
        <v>1129</v>
      </c>
      <c r="C95" s="156" t="s">
        <v>2571</v>
      </c>
      <c r="D95" s="156" t="s">
        <v>2537</v>
      </c>
      <c r="E95" s="156">
        <v>195</v>
      </c>
      <c r="F95" s="156"/>
      <c r="G95" s="156" t="s">
        <v>2603</v>
      </c>
    </row>
    <row r="96" spans="1:7" x14ac:dyDescent="0.3">
      <c r="A96" s="192">
        <v>45811</v>
      </c>
      <c r="B96" s="106" t="s">
        <v>2557</v>
      </c>
      <c r="C96" s="106" t="s">
        <v>2559</v>
      </c>
      <c r="D96" s="106" t="s">
        <v>2527</v>
      </c>
      <c r="E96" s="106">
        <v>1191</v>
      </c>
      <c r="F96" s="106"/>
      <c r="G96" s="106" t="s">
        <v>2603</v>
      </c>
    </row>
    <row r="97" spans="1:7" x14ac:dyDescent="0.3">
      <c r="A97" s="192">
        <v>45812</v>
      </c>
      <c r="B97" s="106" t="s">
        <v>2625</v>
      </c>
      <c r="C97" s="106" t="s">
        <v>2559</v>
      </c>
      <c r="D97" s="106" t="s">
        <v>2527</v>
      </c>
      <c r="E97" s="106">
        <v>50</v>
      </c>
      <c r="F97" s="106"/>
      <c r="G97" s="106" t="s">
        <v>2603</v>
      </c>
    </row>
    <row r="98" spans="1:7" x14ac:dyDescent="0.3">
      <c r="A98" s="189">
        <v>45813</v>
      </c>
      <c r="B98" s="108" t="s">
        <v>2626</v>
      </c>
      <c r="C98" s="108" t="s">
        <v>2553</v>
      </c>
      <c r="D98" s="108" t="s">
        <v>2534</v>
      </c>
      <c r="E98" s="108">
        <v>180</v>
      </c>
      <c r="F98" s="108"/>
      <c r="G98" s="108" t="s">
        <v>2603</v>
      </c>
    </row>
    <row r="99" spans="1:7" x14ac:dyDescent="0.3">
      <c r="A99" s="190">
        <v>45813</v>
      </c>
      <c r="B99" s="42" t="s">
        <v>2627</v>
      </c>
      <c r="C99" s="42" t="s">
        <v>2555</v>
      </c>
      <c r="D99" s="42" t="s">
        <v>2530</v>
      </c>
      <c r="E99" s="42">
        <v>35</v>
      </c>
      <c r="F99" s="42"/>
      <c r="G99" s="42" t="s">
        <v>2603</v>
      </c>
    </row>
    <row r="100" spans="1:7" x14ac:dyDescent="0.3">
      <c r="A100" s="190">
        <v>45816</v>
      </c>
      <c r="B100" s="42" t="s">
        <v>2628</v>
      </c>
      <c r="C100" s="42" t="s">
        <v>2555</v>
      </c>
      <c r="D100" s="42" t="s">
        <v>2530</v>
      </c>
      <c r="E100" s="42">
        <v>390</v>
      </c>
      <c r="F100" s="42"/>
      <c r="G100" s="42" t="s">
        <v>2603</v>
      </c>
    </row>
    <row r="101" spans="1:7" x14ac:dyDescent="0.3">
      <c r="A101" s="188">
        <v>45816</v>
      </c>
      <c r="B101" s="112" t="s">
        <v>2629</v>
      </c>
      <c r="C101" s="112" t="s">
        <v>2586</v>
      </c>
      <c r="D101" s="112" t="s">
        <v>2536</v>
      </c>
      <c r="E101" s="112">
        <v>50</v>
      </c>
      <c r="F101" s="112"/>
      <c r="G101" s="112" t="s">
        <v>2603</v>
      </c>
    </row>
    <row r="102" spans="1:7" x14ac:dyDescent="0.3">
      <c r="A102" s="190">
        <v>45816</v>
      </c>
      <c r="B102" s="42" t="s">
        <v>2630</v>
      </c>
      <c r="C102" s="42" t="s">
        <v>2555</v>
      </c>
      <c r="D102" s="42" t="s">
        <v>2530</v>
      </c>
      <c r="E102" s="42">
        <v>220</v>
      </c>
      <c r="F102" s="42"/>
      <c r="G102" s="42" t="s">
        <v>2603</v>
      </c>
    </row>
    <row r="103" spans="1:7" x14ac:dyDescent="0.3">
      <c r="A103" s="189">
        <v>45816</v>
      </c>
      <c r="B103" s="108" t="s">
        <v>2631</v>
      </c>
      <c r="C103" s="108" t="s">
        <v>2553</v>
      </c>
      <c r="D103" s="108" t="s">
        <v>2534</v>
      </c>
      <c r="E103" s="108">
        <v>326</v>
      </c>
      <c r="F103" s="108"/>
      <c r="G103" s="108" t="s">
        <v>2603</v>
      </c>
    </row>
    <row r="104" spans="1:7" x14ac:dyDescent="0.3">
      <c r="A104" s="188">
        <v>45816</v>
      </c>
      <c r="B104" s="112" t="s">
        <v>2632</v>
      </c>
      <c r="C104" s="112" t="s">
        <v>2586</v>
      </c>
      <c r="D104" s="112" t="s">
        <v>2536</v>
      </c>
      <c r="E104" s="112">
        <v>160</v>
      </c>
      <c r="F104" s="112"/>
      <c r="G104" s="112" t="s">
        <v>2603</v>
      </c>
    </row>
    <row r="105" spans="1:7" x14ac:dyDescent="0.3">
      <c r="A105" s="193">
        <v>45817</v>
      </c>
      <c r="B105" s="181" t="s">
        <v>2633</v>
      </c>
      <c r="C105" s="181" t="s">
        <v>2563</v>
      </c>
      <c r="D105" s="181" t="s">
        <v>2532</v>
      </c>
      <c r="E105" s="181">
        <v>244.66</v>
      </c>
      <c r="F105" s="181"/>
      <c r="G105" s="181" t="s">
        <v>2603</v>
      </c>
    </row>
    <row r="106" spans="1:7" x14ac:dyDescent="0.3">
      <c r="A106" s="189">
        <v>45817</v>
      </c>
      <c r="B106" s="108" t="s">
        <v>2634</v>
      </c>
      <c r="C106" s="108" t="s">
        <v>2553</v>
      </c>
      <c r="D106" s="108" t="s">
        <v>2534</v>
      </c>
      <c r="E106" s="108">
        <v>164</v>
      </c>
      <c r="F106" s="108"/>
      <c r="G106" s="108" t="s">
        <v>2603</v>
      </c>
    </row>
    <row r="107" spans="1:7" x14ac:dyDescent="0.3">
      <c r="A107" s="190">
        <v>45818</v>
      </c>
      <c r="B107" s="42" t="s">
        <v>2622</v>
      </c>
      <c r="C107" s="42" t="s">
        <v>2555</v>
      </c>
      <c r="D107" s="42" t="s">
        <v>2530</v>
      </c>
      <c r="E107" s="42">
        <v>35</v>
      </c>
      <c r="F107" s="42"/>
      <c r="G107" s="42" t="s">
        <v>2603</v>
      </c>
    </row>
    <row r="108" spans="1:7" x14ac:dyDescent="0.3">
      <c r="A108" s="190">
        <v>45818</v>
      </c>
      <c r="B108" s="42" t="s">
        <v>2622</v>
      </c>
      <c r="C108" s="42" t="s">
        <v>2555</v>
      </c>
      <c r="D108" s="42" t="s">
        <v>2530</v>
      </c>
      <c r="E108" s="42">
        <v>10</v>
      </c>
      <c r="F108" s="42"/>
      <c r="G108" s="42" t="s">
        <v>2603</v>
      </c>
    </row>
    <row r="109" spans="1:7" x14ac:dyDescent="0.3">
      <c r="A109" s="194">
        <v>45819</v>
      </c>
      <c r="B109" s="156" t="s">
        <v>2635</v>
      </c>
      <c r="C109" s="156" t="s">
        <v>2571</v>
      </c>
      <c r="D109" s="156" t="s">
        <v>2537</v>
      </c>
      <c r="E109" s="156">
        <v>20</v>
      </c>
      <c r="F109" s="156"/>
      <c r="G109" s="156" t="s">
        <v>2603</v>
      </c>
    </row>
    <row r="110" spans="1:7" x14ac:dyDescent="0.3">
      <c r="A110" s="194">
        <v>45820</v>
      </c>
      <c r="B110" s="156" t="s">
        <v>2636</v>
      </c>
      <c r="C110" s="156" t="s">
        <v>2571</v>
      </c>
      <c r="D110" s="156" t="s">
        <v>2537</v>
      </c>
      <c r="E110" s="156">
        <v>100</v>
      </c>
      <c r="F110" s="156"/>
      <c r="G110" s="156" t="s">
        <v>2603</v>
      </c>
    </row>
    <row r="111" spans="1:7" x14ac:dyDescent="0.3">
      <c r="A111" s="193">
        <v>45820</v>
      </c>
      <c r="B111" s="181" t="s">
        <v>2637</v>
      </c>
      <c r="C111" s="181" t="s">
        <v>2563</v>
      </c>
      <c r="D111" s="181" t="s">
        <v>2532</v>
      </c>
      <c r="E111" s="181">
        <v>100</v>
      </c>
      <c r="F111" s="181"/>
      <c r="G111" s="181" t="s">
        <v>2603</v>
      </c>
    </row>
    <row r="112" spans="1:7" x14ac:dyDescent="0.3">
      <c r="A112" s="193">
        <v>45820</v>
      </c>
      <c r="B112" s="181" t="s">
        <v>2638</v>
      </c>
      <c r="C112" s="181" t="s">
        <v>2639</v>
      </c>
      <c r="D112" s="181" t="s">
        <v>2532</v>
      </c>
      <c r="E112" s="181">
        <v>150</v>
      </c>
      <c r="F112" s="181"/>
      <c r="G112" s="181" t="s">
        <v>2603</v>
      </c>
    </row>
    <row r="113" spans="1:7" x14ac:dyDescent="0.3">
      <c r="A113" s="190">
        <v>45821</v>
      </c>
      <c r="B113" s="42" t="s">
        <v>2640</v>
      </c>
      <c r="C113" s="42" t="s">
        <v>2555</v>
      </c>
      <c r="D113" s="42" t="s">
        <v>2530</v>
      </c>
      <c r="E113" s="42">
        <v>52</v>
      </c>
      <c r="F113" s="42"/>
      <c r="G113" s="42" t="s">
        <v>2603</v>
      </c>
    </row>
    <row r="114" spans="1:7" x14ac:dyDescent="0.3">
      <c r="A114" s="189">
        <v>45821</v>
      </c>
      <c r="B114" s="108" t="s">
        <v>2564</v>
      </c>
      <c r="C114" s="108" t="s">
        <v>2553</v>
      </c>
      <c r="D114" s="108" t="s">
        <v>2534</v>
      </c>
      <c r="E114" s="108">
        <v>302.39</v>
      </c>
      <c r="F114" s="108"/>
      <c r="G114" s="108" t="s">
        <v>2603</v>
      </c>
    </row>
    <row r="115" spans="1:7" x14ac:dyDescent="0.3">
      <c r="A115" s="189">
        <v>45821</v>
      </c>
      <c r="B115" s="108" t="s">
        <v>2564</v>
      </c>
      <c r="C115" s="108" t="s">
        <v>2553</v>
      </c>
      <c r="D115" s="108" t="s">
        <v>2534</v>
      </c>
      <c r="E115" s="108">
        <v>180</v>
      </c>
      <c r="F115" s="108"/>
      <c r="G115" s="108" t="s">
        <v>2603</v>
      </c>
    </row>
    <row r="116" spans="1:7" x14ac:dyDescent="0.3">
      <c r="A116" s="190">
        <v>45824</v>
      </c>
      <c r="B116" s="42" t="s">
        <v>2627</v>
      </c>
      <c r="C116" s="42" t="s">
        <v>2555</v>
      </c>
      <c r="D116" s="42" t="s">
        <v>2530</v>
      </c>
      <c r="E116" s="42">
        <v>35</v>
      </c>
      <c r="F116" s="42"/>
      <c r="G116" s="42" t="s">
        <v>2603</v>
      </c>
    </row>
    <row r="117" spans="1:7" x14ac:dyDescent="0.3">
      <c r="A117" s="189">
        <v>45825</v>
      </c>
      <c r="B117" s="108" t="s">
        <v>2641</v>
      </c>
      <c r="C117" s="108" t="s">
        <v>2553</v>
      </c>
      <c r="D117" s="108" t="s">
        <v>2534</v>
      </c>
      <c r="E117" s="108">
        <v>70</v>
      </c>
      <c r="F117" s="108"/>
      <c r="G117" s="108" t="s">
        <v>2603</v>
      </c>
    </row>
    <row r="118" spans="1:7" x14ac:dyDescent="0.3">
      <c r="A118" s="190">
        <v>45828</v>
      </c>
      <c r="B118" s="42" t="s">
        <v>2642</v>
      </c>
      <c r="C118" s="42" t="s">
        <v>2555</v>
      </c>
      <c r="D118" s="42" t="s">
        <v>2530</v>
      </c>
      <c r="E118" s="42">
        <v>24</v>
      </c>
      <c r="F118" s="42"/>
      <c r="G118" s="42" t="s">
        <v>2603</v>
      </c>
    </row>
    <row r="119" spans="1:7" x14ac:dyDescent="0.3">
      <c r="A119" s="190">
        <v>45829</v>
      </c>
      <c r="B119" s="42" t="s">
        <v>2642</v>
      </c>
      <c r="C119" s="42" t="s">
        <v>2555</v>
      </c>
      <c r="D119" s="42" t="s">
        <v>2530</v>
      </c>
      <c r="E119" s="42">
        <v>52</v>
      </c>
      <c r="F119" s="42"/>
      <c r="G119" s="42" t="s">
        <v>2643</v>
      </c>
    </row>
    <row r="120" spans="1:7" x14ac:dyDescent="0.3">
      <c r="A120" s="190">
        <v>45829</v>
      </c>
      <c r="B120" s="42" t="s">
        <v>2644</v>
      </c>
      <c r="C120" s="42" t="s">
        <v>2555</v>
      </c>
      <c r="D120" s="42" t="s">
        <v>2530</v>
      </c>
      <c r="E120" s="42">
        <v>35</v>
      </c>
      <c r="F120" s="42"/>
      <c r="G120" s="42" t="s">
        <v>2643</v>
      </c>
    </row>
    <row r="121" spans="1:7" x14ac:dyDescent="0.3">
      <c r="A121" s="190">
        <v>45829</v>
      </c>
      <c r="B121" s="42" t="s">
        <v>2640</v>
      </c>
      <c r="C121" s="42" t="s">
        <v>2555</v>
      </c>
      <c r="D121" s="42" t="s">
        <v>2530</v>
      </c>
      <c r="E121" s="42">
        <v>100</v>
      </c>
      <c r="F121" s="42"/>
      <c r="G121" s="42" t="s">
        <v>2643</v>
      </c>
    </row>
    <row r="122" spans="1:7" x14ac:dyDescent="0.3">
      <c r="A122" s="190">
        <v>45829</v>
      </c>
      <c r="B122" s="42" t="s">
        <v>2556</v>
      </c>
      <c r="C122" s="42" t="s">
        <v>2555</v>
      </c>
      <c r="D122" s="42" t="s">
        <v>2530</v>
      </c>
      <c r="E122" s="42">
        <v>265</v>
      </c>
      <c r="F122" s="42"/>
      <c r="G122" s="42" t="s">
        <v>2643</v>
      </c>
    </row>
    <row r="123" spans="1:7" x14ac:dyDescent="0.3">
      <c r="A123" s="188">
        <v>45830</v>
      </c>
      <c r="B123" s="112" t="s">
        <v>2632</v>
      </c>
      <c r="C123" s="112" t="s">
        <v>2586</v>
      </c>
      <c r="D123" s="112" t="s">
        <v>2536</v>
      </c>
      <c r="E123" s="112">
        <v>220</v>
      </c>
      <c r="F123" s="112"/>
      <c r="G123" s="112" t="s">
        <v>2643</v>
      </c>
    </row>
    <row r="124" spans="1:7" x14ac:dyDescent="0.3">
      <c r="A124" s="189">
        <v>45830</v>
      </c>
      <c r="B124" s="108" t="s">
        <v>2645</v>
      </c>
      <c r="C124" s="108" t="s">
        <v>2553</v>
      </c>
      <c r="D124" s="108" t="s">
        <v>2534</v>
      </c>
      <c r="E124" s="108">
        <v>70</v>
      </c>
      <c r="F124" s="108"/>
      <c r="G124" s="108" t="s">
        <v>2643</v>
      </c>
    </row>
    <row r="125" spans="1:7" x14ac:dyDescent="0.3">
      <c r="A125" s="190">
        <v>45833</v>
      </c>
      <c r="B125" s="42" t="s">
        <v>2622</v>
      </c>
      <c r="C125" s="42" t="s">
        <v>2555</v>
      </c>
      <c r="D125" s="42" t="s">
        <v>2530</v>
      </c>
      <c r="E125" s="42">
        <v>3</v>
      </c>
      <c r="F125" s="42"/>
      <c r="G125" s="42" t="s">
        <v>2643</v>
      </c>
    </row>
    <row r="126" spans="1:7" x14ac:dyDescent="0.3">
      <c r="A126" s="189">
        <v>45833</v>
      </c>
      <c r="B126" s="108" t="s">
        <v>2646</v>
      </c>
      <c r="C126" s="108" t="s">
        <v>2553</v>
      </c>
      <c r="D126" s="108" t="s">
        <v>2534</v>
      </c>
      <c r="E126" s="108">
        <v>160</v>
      </c>
      <c r="F126" s="108"/>
      <c r="G126" s="108" t="s">
        <v>2643</v>
      </c>
    </row>
    <row r="127" spans="1:7" x14ac:dyDescent="0.3">
      <c r="A127" s="189">
        <v>45833</v>
      </c>
      <c r="B127" s="108" t="s">
        <v>2647</v>
      </c>
      <c r="C127" s="108" t="s">
        <v>2553</v>
      </c>
      <c r="D127" s="108" t="s">
        <v>2534</v>
      </c>
      <c r="E127" s="108">
        <v>115</v>
      </c>
      <c r="F127" s="108"/>
      <c r="G127" s="108" t="s">
        <v>2643</v>
      </c>
    </row>
    <row r="128" spans="1:7" x14ac:dyDescent="0.3">
      <c r="A128" s="189">
        <v>45833</v>
      </c>
      <c r="B128" s="108" t="s">
        <v>2648</v>
      </c>
      <c r="C128" s="108" t="s">
        <v>2553</v>
      </c>
      <c r="D128" s="108" t="s">
        <v>2534</v>
      </c>
      <c r="E128" s="108">
        <v>60</v>
      </c>
      <c r="F128" s="108"/>
      <c r="G128" s="108" t="s">
        <v>2643</v>
      </c>
    </row>
    <row r="129" spans="1:7" x14ac:dyDescent="0.3">
      <c r="A129" s="188">
        <v>45834</v>
      </c>
      <c r="B129" s="112" t="s">
        <v>2649</v>
      </c>
      <c r="C129" s="112" t="s">
        <v>2550</v>
      </c>
      <c r="D129" s="112" t="s">
        <v>2536</v>
      </c>
      <c r="E129" s="112">
        <v>2</v>
      </c>
      <c r="F129" s="112"/>
      <c r="G129" s="112" t="s">
        <v>2643</v>
      </c>
    </row>
    <row r="130" spans="1:7" x14ac:dyDescent="0.3">
      <c r="A130" s="188">
        <v>45834</v>
      </c>
      <c r="B130" s="112" t="s">
        <v>2649</v>
      </c>
      <c r="C130" s="112" t="s">
        <v>2550</v>
      </c>
      <c r="D130" s="112" t="s">
        <v>2536</v>
      </c>
      <c r="E130" s="112">
        <v>2</v>
      </c>
      <c r="F130" s="112"/>
      <c r="G130" s="112" t="s">
        <v>2643</v>
      </c>
    </row>
    <row r="131" spans="1:7" x14ac:dyDescent="0.3">
      <c r="A131" s="195">
        <v>45836</v>
      </c>
      <c r="B131" s="54" t="s">
        <v>2572</v>
      </c>
      <c r="C131" s="54" t="s">
        <v>2573</v>
      </c>
      <c r="D131" s="54" t="s">
        <v>2535</v>
      </c>
      <c r="E131" s="54">
        <v>70</v>
      </c>
      <c r="F131" s="54"/>
      <c r="G131" s="54" t="s">
        <v>2643</v>
      </c>
    </row>
    <row r="132" spans="1:7" x14ac:dyDescent="0.3">
      <c r="A132" s="188">
        <v>45838</v>
      </c>
      <c r="B132" s="112" t="s">
        <v>2650</v>
      </c>
      <c r="C132" s="112" t="s">
        <v>2586</v>
      </c>
      <c r="D132" s="112" t="s">
        <v>2536</v>
      </c>
      <c r="E132" s="112">
        <v>30</v>
      </c>
      <c r="F132" s="112"/>
      <c r="G132" s="112" t="s">
        <v>2643</v>
      </c>
    </row>
    <row r="133" spans="1:7" x14ac:dyDescent="0.3">
      <c r="A133" s="199">
        <v>45838</v>
      </c>
      <c r="B133" s="110" t="s">
        <v>2651</v>
      </c>
      <c r="C133" s="110" t="s">
        <v>988</v>
      </c>
      <c r="D133" s="110" t="s">
        <v>2528</v>
      </c>
      <c r="E133" s="110">
        <v>2</v>
      </c>
      <c r="F133" s="110"/>
      <c r="G133" s="110" t="s">
        <v>2643</v>
      </c>
    </row>
    <row r="135" spans="1:7" x14ac:dyDescent="0.3">
      <c r="A135" s="186" t="s">
        <v>2652</v>
      </c>
      <c r="B135" s="187"/>
      <c r="C135" s="187"/>
      <c r="D135" s="187"/>
      <c r="E135" s="187"/>
      <c r="F135" s="187"/>
      <c r="G135" s="187"/>
    </row>
    <row r="136" spans="1:7" x14ac:dyDescent="0.3">
      <c r="A136" s="190">
        <v>45839</v>
      </c>
      <c r="B136" s="42" t="s">
        <v>2622</v>
      </c>
      <c r="C136" s="42" t="s">
        <v>2555</v>
      </c>
      <c r="D136" s="42" t="s">
        <v>2530</v>
      </c>
      <c r="E136" s="42">
        <v>35</v>
      </c>
      <c r="F136" s="42"/>
      <c r="G136" s="42" t="s">
        <v>2643</v>
      </c>
    </row>
    <row r="137" spans="1:7" x14ac:dyDescent="0.3">
      <c r="A137" s="194">
        <v>45839</v>
      </c>
      <c r="B137" s="156" t="s">
        <v>2653</v>
      </c>
      <c r="C137" s="156" t="s">
        <v>2571</v>
      </c>
      <c r="D137" s="156" t="s">
        <v>2537</v>
      </c>
      <c r="E137" s="156">
        <v>145</v>
      </c>
      <c r="F137" s="156"/>
      <c r="G137" s="156" t="s">
        <v>2643</v>
      </c>
    </row>
    <row r="138" spans="1:7" x14ac:dyDescent="0.3">
      <c r="A138" s="190">
        <v>45839</v>
      </c>
      <c r="B138" s="42" t="s">
        <v>2640</v>
      </c>
      <c r="C138" s="42" t="s">
        <v>2555</v>
      </c>
      <c r="D138" s="42" t="s">
        <v>2530</v>
      </c>
      <c r="E138" s="42">
        <v>40</v>
      </c>
      <c r="F138" s="42"/>
      <c r="G138" s="42" t="s">
        <v>2643</v>
      </c>
    </row>
    <row r="139" spans="1:7" x14ac:dyDescent="0.3">
      <c r="A139" s="190">
        <v>45841</v>
      </c>
      <c r="B139" s="42" t="s">
        <v>2640</v>
      </c>
      <c r="C139" s="42" t="s">
        <v>2555</v>
      </c>
      <c r="D139" s="42" t="s">
        <v>2530</v>
      </c>
      <c r="E139" s="42">
        <v>100</v>
      </c>
      <c r="F139" s="42"/>
      <c r="G139" s="42" t="s">
        <v>2643</v>
      </c>
    </row>
    <row r="140" spans="1:7" x14ac:dyDescent="0.3">
      <c r="A140" s="190">
        <v>45841</v>
      </c>
      <c r="B140" s="42" t="s">
        <v>2622</v>
      </c>
      <c r="C140" s="42" t="s">
        <v>2555</v>
      </c>
      <c r="D140" s="42" t="s">
        <v>2530</v>
      </c>
      <c r="E140" s="42">
        <v>90</v>
      </c>
      <c r="F140" s="42"/>
      <c r="G140" s="42" t="s">
        <v>2643</v>
      </c>
    </row>
    <row r="141" spans="1:7" x14ac:dyDescent="0.3">
      <c r="A141" s="189">
        <v>45842</v>
      </c>
      <c r="B141" s="108" t="s">
        <v>2564</v>
      </c>
      <c r="C141" s="108" t="s">
        <v>2553</v>
      </c>
      <c r="D141" s="108" t="s">
        <v>2534</v>
      </c>
      <c r="E141" s="108">
        <v>65</v>
      </c>
      <c r="F141" s="108"/>
      <c r="G141" s="108" t="s">
        <v>2643</v>
      </c>
    </row>
    <row r="142" spans="1:7" x14ac:dyDescent="0.3">
      <c r="A142" s="189">
        <v>45842</v>
      </c>
      <c r="B142" s="108" t="s">
        <v>2564</v>
      </c>
      <c r="C142" s="108" t="s">
        <v>2553</v>
      </c>
      <c r="D142" s="108" t="s">
        <v>2534</v>
      </c>
      <c r="E142" s="108">
        <v>84</v>
      </c>
      <c r="F142" s="108"/>
      <c r="G142" s="108" t="s">
        <v>2643</v>
      </c>
    </row>
    <row r="143" spans="1:7" x14ac:dyDescent="0.3">
      <c r="A143" s="195">
        <v>45843</v>
      </c>
      <c r="B143" s="54" t="s">
        <v>2654</v>
      </c>
      <c r="C143" s="54" t="s">
        <v>2573</v>
      </c>
      <c r="D143" s="54" t="s">
        <v>2535</v>
      </c>
      <c r="E143" s="54">
        <v>50</v>
      </c>
      <c r="F143" s="54"/>
      <c r="G143" s="54" t="s">
        <v>2643</v>
      </c>
    </row>
    <row r="144" spans="1:7" x14ac:dyDescent="0.3">
      <c r="A144" s="197">
        <v>45843</v>
      </c>
      <c r="B144" s="180" t="s">
        <v>2655</v>
      </c>
      <c r="C144" s="180" t="s">
        <v>2596</v>
      </c>
      <c r="D144" s="180" t="s">
        <v>2529</v>
      </c>
      <c r="E144" s="180">
        <v>65</v>
      </c>
      <c r="F144" s="180"/>
      <c r="G144" s="180" t="s">
        <v>2643</v>
      </c>
    </row>
    <row r="145" spans="1:7" x14ac:dyDescent="0.3">
      <c r="A145" s="190">
        <v>45844</v>
      </c>
      <c r="B145" s="42" t="s">
        <v>2622</v>
      </c>
      <c r="C145" s="42" t="s">
        <v>2555</v>
      </c>
      <c r="D145" s="42" t="s">
        <v>2530</v>
      </c>
      <c r="E145" s="42">
        <v>35</v>
      </c>
      <c r="F145" s="42"/>
      <c r="G145" s="42" t="s">
        <v>2643</v>
      </c>
    </row>
    <row r="146" spans="1:7" x14ac:dyDescent="0.3">
      <c r="A146" s="190">
        <v>45844</v>
      </c>
      <c r="B146" s="42" t="s">
        <v>2618</v>
      </c>
      <c r="C146" s="42" t="s">
        <v>2555</v>
      </c>
      <c r="D146" s="42" t="s">
        <v>2530</v>
      </c>
      <c r="E146" s="42">
        <v>5333.32</v>
      </c>
      <c r="F146" s="42"/>
      <c r="G146" s="42" t="s">
        <v>2643</v>
      </c>
    </row>
    <row r="147" spans="1:7" x14ac:dyDescent="0.3">
      <c r="A147" s="189">
        <v>45844</v>
      </c>
      <c r="B147" s="108" t="s">
        <v>2656</v>
      </c>
      <c r="C147" s="108" t="s">
        <v>2553</v>
      </c>
      <c r="D147" s="108" t="s">
        <v>2534</v>
      </c>
      <c r="E147" s="108">
        <v>704</v>
      </c>
      <c r="F147" s="108"/>
      <c r="G147" s="108" t="s">
        <v>2643</v>
      </c>
    </row>
    <row r="148" spans="1:7" x14ac:dyDescent="0.3">
      <c r="A148" s="190">
        <v>45845</v>
      </c>
      <c r="B148" s="42" t="s">
        <v>2622</v>
      </c>
      <c r="C148" s="42" t="s">
        <v>2555</v>
      </c>
      <c r="D148" s="42" t="s">
        <v>2530</v>
      </c>
      <c r="E148" s="42">
        <v>10</v>
      </c>
      <c r="F148" s="42"/>
      <c r="G148" s="42" t="s">
        <v>2643</v>
      </c>
    </row>
    <row r="149" spans="1:7" x14ac:dyDescent="0.3">
      <c r="A149" s="190">
        <v>45846</v>
      </c>
      <c r="B149" s="42" t="s">
        <v>2617</v>
      </c>
      <c r="C149" s="42" t="s">
        <v>2555</v>
      </c>
      <c r="D149" s="42" t="s">
        <v>2530</v>
      </c>
      <c r="E149" s="42">
        <v>557</v>
      </c>
      <c r="F149" s="42"/>
      <c r="G149" s="42" t="s">
        <v>2643</v>
      </c>
    </row>
    <row r="150" spans="1:7" x14ac:dyDescent="0.3">
      <c r="A150" s="188">
        <v>45846</v>
      </c>
      <c r="B150" s="112" t="s">
        <v>2632</v>
      </c>
      <c r="C150" s="112" t="s">
        <v>2586</v>
      </c>
      <c r="D150" s="112" t="s">
        <v>2536</v>
      </c>
      <c r="E150" s="112">
        <v>550</v>
      </c>
      <c r="F150" s="112"/>
      <c r="G150" s="112" t="s">
        <v>2643</v>
      </c>
    </row>
    <row r="151" spans="1:7" x14ac:dyDescent="0.3">
      <c r="A151" s="188">
        <v>45846</v>
      </c>
      <c r="B151" s="112" t="s">
        <v>2632</v>
      </c>
      <c r="C151" s="112" t="s">
        <v>2586</v>
      </c>
      <c r="D151" s="112" t="s">
        <v>2536</v>
      </c>
      <c r="E151" s="112">
        <v>50</v>
      </c>
      <c r="F151" s="112"/>
      <c r="G151" s="112" t="s">
        <v>2643</v>
      </c>
    </row>
    <row r="152" spans="1:7" x14ac:dyDescent="0.3">
      <c r="A152" s="200">
        <v>45850</v>
      </c>
      <c r="B152" s="114" t="s">
        <v>2657</v>
      </c>
      <c r="C152" s="114" t="s">
        <v>2571</v>
      </c>
      <c r="D152" s="114" t="s">
        <v>2540</v>
      </c>
      <c r="E152" s="114">
        <v>588.82000000000005</v>
      </c>
      <c r="F152" s="114"/>
      <c r="G152" s="114" t="s">
        <v>2643</v>
      </c>
    </row>
    <row r="153" spans="1:7" x14ac:dyDescent="0.3">
      <c r="A153" s="199">
        <v>45850</v>
      </c>
      <c r="B153" s="110" t="s">
        <v>2658</v>
      </c>
      <c r="C153" s="110" t="s">
        <v>988</v>
      </c>
      <c r="D153" s="110" t="s">
        <v>2528</v>
      </c>
      <c r="E153" s="110">
        <v>500</v>
      </c>
      <c r="F153" s="110"/>
      <c r="G153" s="110" t="s">
        <v>2643</v>
      </c>
    </row>
    <row r="154" spans="1:7" x14ac:dyDescent="0.3">
      <c r="A154" s="199">
        <v>45850</v>
      </c>
      <c r="B154" s="110" t="s">
        <v>2658</v>
      </c>
      <c r="C154" s="110" t="s">
        <v>988</v>
      </c>
      <c r="D154" s="110" t="s">
        <v>2528</v>
      </c>
      <c r="E154" s="110">
        <v>61</v>
      </c>
      <c r="F154" s="110"/>
      <c r="G154" s="110" t="s">
        <v>2643</v>
      </c>
    </row>
    <row r="155" spans="1:7" x14ac:dyDescent="0.3">
      <c r="A155" s="189">
        <v>45850</v>
      </c>
      <c r="B155" s="108" t="s">
        <v>2659</v>
      </c>
      <c r="C155" s="108" t="s">
        <v>2553</v>
      </c>
      <c r="D155" s="108" t="s">
        <v>2534</v>
      </c>
      <c r="E155" s="108">
        <v>40</v>
      </c>
      <c r="F155" s="108"/>
      <c r="G155" s="108" t="s">
        <v>2643</v>
      </c>
    </row>
    <row r="156" spans="1:7" x14ac:dyDescent="0.3">
      <c r="A156" s="190">
        <v>45851</v>
      </c>
      <c r="B156" s="42" t="s">
        <v>2660</v>
      </c>
      <c r="C156" s="42" t="s">
        <v>2555</v>
      </c>
      <c r="D156" s="42" t="s">
        <v>2530</v>
      </c>
      <c r="E156" s="42">
        <v>180</v>
      </c>
      <c r="F156" s="42"/>
      <c r="G156" s="42" t="s">
        <v>2643</v>
      </c>
    </row>
    <row r="157" spans="1:7" x14ac:dyDescent="0.3">
      <c r="A157" s="190">
        <v>45851</v>
      </c>
      <c r="B157" s="42" t="s">
        <v>2661</v>
      </c>
      <c r="C157" s="42" t="s">
        <v>2555</v>
      </c>
      <c r="D157" s="42" t="s">
        <v>2530</v>
      </c>
      <c r="E157" s="42">
        <v>50</v>
      </c>
      <c r="F157" s="42"/>
      <c r="G157" s="42" t="s">
        <v>2643</v>
      </c>
    </row>
    <row r="158" spans="1:7" x14ac:dyDescent="0.3">
      <c r="A158" s="190">
        <v>45851</v>
      </c>
      <c r="B158" s="42" t="s">
        <v>2662</v>
      </c>
      <c r="C158" s="42" t="s">
        <v>2555</v>
      </c>
      <c r="D158" s="42" t="s">
        <v>2530</v>
      </c>
      <c r="E158" s="42">
        <v>40</v>
      </c>
      <c r="F158" s="42"/>
      <c r="G158" s="42" t="s">
        <v>2643</v>
      </c>
    </row>
    <row r="159" spans="1:7" x14ac:dyDescent="0.3">
      <c r="A159" s="190">
        <v>45851</v>
      </c>
      <c r="B159" s="42" t="s">
        <v>2663</v>
      </c>
      <c r="C159" s="42" t="s">
        <v>2555</v>
      </c>
      <c r="D159" s="42" t="s">
        <v>2530</v>
      </c>
      <c r="E159" s="42">
        <v>40</v>
      </c>
      <c r="F159" s="42"/>
      <c r="G159" s="42" t="s">
        <v>2643</v>
      </c>
    </row>
    <row r="160" spans="1:7" x14ac:dyDescent="0.3">
      <c r="A160" s="188">
        <v>45851</v>
      </c>
      <c r="B160" s="112" t="s">
        <v>2664</v>
      </c>
      <c r="C160" s="112" t="s">
        <v>2665</v>
      </c>
      <c r="D160" s="112" t="s">
        <v>2536</v>
      </c>
      <c r="E160" s="112">
        <v>250</v>
      </c>
      <c r="F160" s="112"/>
      <c r="G160" s="112" t="s">
        <v>2643</v>
      </c>
    </row>
    <row r="161" spans="1:7" x14ac:dyDescent="0.3">
      <c r="A161" s="189">
        <v>45851</v>
      </c>
      <c r="B161" s="108" t="s">
        <v>2666</v>
      </c>
      <c r="C161" s="108" t="s">
        <v>2553</v>
      </c>
      <c r="D161" s="108" t="s">
        <v>2534</v>
      </c>
      <c r="E161" s="108">
        <v>65</v>
      </c>
      <c r="F161" s="108"/>
      <c r="G161" s="108" t="s">
        <v>2643</v>
      </c>
    </row>
    <row r="162" spans="1:7" x14ac:dyDescent="0.3">
      <c r="A162" s="189">
        <v>45851</v>
      </c>
      <c r="B162" s="108" t="s">
        <v>2666</v>
      </c>
      <c r="C162" s="108" t="s">
        <v>2553</v>
      </c>
      <c r="D162" s="108" t="s">
        <v>2534</v>
      </c>
      <c r="E162" s="108">
        <v>15</v>
      </c>
      <c r="F162" s="108"/>
      <c r="G162" s="108" t="s">
        <v>2643</v>
      </c>
    </row>
    <row r="163" spans="1:7" x14ac:dyDescent="0.3">
      <c r="A163" s="188">
        <v>45851</v>
      </c>
      <c r="B163" s="112" t="s">
        <v>2667</v>
      </c>
      <c r="C163" s="112" t="s">
        <v>2665</v>
      </c>
      <c r="D163" s="112" t="s">
        <v>2536</v>
      </c>
      <c r="E163" s="112">
        <v>100</v>
      </c>
      <c r="F163" s="112"/>
      <c r="G163" s="112" t="s">
        <v>2643</v>
      </c>
    </row>
    <row r="164" spans="1:7" x14ac:dyDescent="0.3">
      <c r="A164" s="190">
        <v>45852</v>
      </c>
      <c r="B164" s="42" t="s">
        <v>2556</v>
      </c>
      <c r="C164" s="42" t="s">
        <v>2555</v>
      </c>
      <c r="D164" s="42" t="s">
        <v>2530</v>
      </c>
      <c r="E164" s="42">
        <v>48</v>
      </c>
      <c r="F164" s="42"/>
      <c r="G164" s="42" t="s">
        <v>2643</v>
      </c>
    </row>
    <row r="165" spans="1:7" x14ac:dyDescent="0.3">
      <c r="A165" s="190">
        <v>45852</v>
      </c>
      <c r="B165" s="42" t="s">
        <v>2622</v>
      </c>
      <c r="C165" s="42" t="s">
        <v>2555</v>
      </c>
      <c r="D165" s="42" t="s">
        <v>2530</v>
      </c>
      <c r="E165" s="42">
        <v>28</v>
      </c>
      <c r="F165" s="42"/>
      <c r="G165" s="42" t="s">
        <v>2643</v>
      </c>
    </row>
    <row r="166" spans="1:7" x14ac:dyDescent="0.3">
      <c r="A166" s="189">
        <v>45853</v>
      </c>
      <c r="B166" s="108" t="s">
        <v>2668</v>
      </c>
      <c r="C166" s="108" t="s">
        <v>2553</v>
      </c>
      <c r="D166" s="108" t="s">
        <v>2534</v>
      </c>
      <c r="E166" s="108">
        <v>249</v>
      </c>
      <c r="F166" s="108"/>
      <c r="G166" s="108" t="s">
        <v>2643</v>
      </c>
    </row>
    <row r="167" spans="1:7" x14ac:dyDescent="0.3">
      <c r="A167" s="189">
        <v>45853</v>
      </c>
      <c r="B167" s="108" t="s">
        <v>2669</v>
      </c>
      <c r="C167" s="108" t="s">
        <v>2553</v>
      </c>
      <c r="D167" s="108" t="s">
        <v>2534</v>
      </c>
      <c r="E167" s="108">
        <v>30</v>
      </c>
      <c r="F167" s="108"/>
      <c r="G167" s="108" t="s">
        <v>2643</v>
      </c>
    </row>
    <row r="168" spans="1:7" x14ac:dyDescent="0.3">
      <c r="A168" s="190">
        <v>45853</v>
      </c>
      <c r="B168" s="42" t="s">
        <v>2622</v>
      </c>
      <c r="C168" s="42" t="s">
        <v>2555</v>
      </c>
      <c r="D168" s="42" t="s">
        <v>2530</v>
      </c>
      <c r="E168" s="42">
        <v>35</v>
      </c>
      <c r="F168" s="42"/>
      <c r="G168" s="42" t="s">
        <v>2643</v>
      </c>
    </row>
    <row r="169" spans="1:7" x14ac:dyDescent="0.3">
      <c r="A169" s="193">
        <v>45853</v>
      </c>
      <c r="B169" s="181" t="s">
        <v>2670</v>
      </c>
      <c r="C169" s="181" t="s">
        <v>2615</v>
      </c>
      <c r="D169" s="181" t="s">
        <v>2532</v>
      </c>
      <c r="E169" s="181">
        <v>850</v>
      </c>
      <c r="F169" s="181"/>
      <c r="G169" s="181" t="s">
        <v>2643</v>
      </c>
    </row>
    <row r="170" spans="1:7" x14ac:dyDescent="0.3">
      <c r="A170" s="195">
        <v>45854</v>
      </c>
      <c r="B170" s="54" t="s">
        <v>2671</v>
      </c>
      <c r="C170" s="54" t="s">
        <v>2573</v>
      </c>
      <c r="D170" s="54" t="s">
        <v>2535</v>
      </c>
      <c r="E170" s="54">
        <v>250</v>
      </c>
      <c r="F170" s="54"/>
      <c r="G170" s="54" t="s">
        <v>2643</v>
      </c>
    </row>
    <row r="171" spans="1:7" x14ac:dyDescent="0.3">
      <c r="A171" s="189">
        <v>45854</v>
      </c>
      <c r="B171" s="108" t="s">
        <v>1772</v>
      </c>
      <c r="C171" s="108" t="s">
        <v>2553</v>
      </c>
      <c r="D171" s="108" t="s">
        <v>2534</v>
      </c>
      <c r="E171" s="108">
        <v>936.13</v>
      </c>
      <c r="F171" s="108"/>
      <c r="G171" s="108" t="s">
        <v>2643</v>
      </c>
    </row>
    <row r="172" spans="1:7" x14ac:dyDescent="0.3">
      <c r="A172" s="190">
        <v>45856</v>
      </c>
      <c r="B172" s="42" t="s">
        <v>2672</v>
      </c>
      <c r="C172" s="42" t="s">
        <v>2555</v>
      </c>
      <c r="D172" s="42" t="s">
        <v>2530</v>
      </c>
      <c r="E172" s="42">
        <v>60</v>
      </c>
      <c r="F172" s="42"/>
      <c r="G172" s="42" t="s">
        <v>2643</v>
      </c>
    </row>
    <row r="173" spans="1:7" x14ac:dyDescent="0.3">
      <c r="A173" s="190">
        <v>45857</v>
      </c>
      <c r="B173" s="42" t="s">
        <v>2647</v>
      </c>
      <c r="C173" s="42" t="s">
        <v>2555</v>
      </c>
      <c r="D173" s="42" t="s">
        <v>2530</v>
      </c>
      <c r="E173" s="42">
        <v>510</v>
      </c>
      <c r="F173" s="42"/>
      <c r="G173" s="42" t="s">
        <v>2643</v>
      </c>
    </row>
    <row r="174" spans="1:7" x14ac:dyDescent="0.3">
      <c r="A174" s="189">
        <v>45857</v>
      </c>
      <c r="B174" s="108" t="s">
        <v>2673</v>
      </c>
      <c r="C174" s="108" t="s">
        <v>2553</v>
      </c>
      <c r="D174" s="108" t="s">
        <v>2534</v>
      </c>
      <c r="E174" s="108">
        <v>105</v>
      </c>
      <c r="F174" s="108"/>
      <c r="G174" s="108" t="s">
        <v>2643</v>
      </c>
    </row>
    <row r="175" spans="1:7" x14ac:dyDescent="0.3">
      <c r="A175" s="190">
        <v>45857</v>
      </c>
      <c r="B175" s="42" t="s">
        <v>2674</v>
      </c>
      <c r="C175" s="42" t="s">
        <v>2555</v>
      </c>
      <c r="D175" s="42" t="s">
        <v>2530</v>
      </c>
      <c r="E175" s="42">
        <v>100</v>
      </c>
      <c r="F175" s="42"/>
      <c r="G175" s="42" t="s">
        <v>2643</v>
      </c>
    </row>
    <row r="176" spans="1:7" x14ac:dyDescent="0.3">
      <c r="A176" s="189">
        <v>45858</v>
      </c>
      <c r="B176" s="108" t="s">
        <v>2564</v>
      </c>
      <c r="C176" s="108" t="s">
        <v>2553</v>
      </c>
      <c r="D176" s="108" t="s">
        <v>2534</v>
      </c>
      <c r="E176" s="108">
        <v>302.39</v>
      </c>
      <c r="F176" s="108"/>
      <c r="G176" s="108" t="s">
        <v>2643</v>
      </c>
    </row>
    <row r="177" spans="1:7" x14ac:dyDescent="0.3">
      <c r="A177" s="190">
        <v>45858</v>
      </c>
      <c r="B177" s="42" t="s">
        <v>2675</v>
      </c>
      <c r="C177" s="42" t="s">
        <v>2555</v>
      </c>
      <c r="D177" s="42" t="s">
        <v>2530</v>
      </c>
      <c r="E177" s="42">
        <v>155.4</v>
      </c>
      <c r="F177" s="42"/>
      <c r="G177" s="42" t="s">
        <v>2676</v>
      </c>
    </row>
    <row r="178" spans="1:7" x14ac:dyDescent="0.3">
      <c r="A178" s="190">
        <v>45858</v>
      </c>
      <c r="B178" s="42" t="s">
        <v>2622</v>
      </c>
      <c r="C178" s="42" t="s">
        <v>2555</v>
      </c>
      <c r="D178" s="42" t="s">
        <v>2530</v>
      </c>
      <c r="E178" s="42">
        <v>40</v>
      </c>
      <c r="F178" s="42"/>
      <c r="G178" s="42" t="s">
        <v>2643</v>
      </c>
    </row>
    <row r="179" spans="1:7" x14ac:dyDescent="0.3">
      <c r="A179" s="190">
        <v>45859</v>
      </c>
      <c r="B179" s="42" t="s">
        <v>2556</v>
      </c>
      <c r="C179" s="42" t="s">
        <v>2555</v>
      </c>
      <c r="D179" s="42" t="s">
        <v>2530</v>
      </c>
      <c r="E179" s="42">
        <v>35</v>
      </c>
      <c r="F179" s="42"/>
      <c r="G179" s="42" t="s">
        <v>2676</v>
      </c>
    </row>
    <row r="180" spans="1:7" x14ac:dyDescent="0.3">
      <c r="A180" s="190">
        <v>45859</v>
      </c>
      <c r="B180" s="42" t="s">
        <v>2642</v>
      </c>
      <c r="C180" s="42" t="s">
        <v>2555</v>
      </c>
      <c r="D180" s="42" t="s">
        <v>2530</v>
      </c>
      <c r="E180" s="42">
        <v>24</v>
      </c>
      <c r="F180" s="42"/>
      <c r="G180" s="42" t="s">
        <v>2676</v>
      </c>
    </row>
    <row r="181" spans="1:7" x14ac:dyDescent="0.3">
      <c r="A181" s="190">
        <v>45861</v>
      </c>
      <c r="B181" s="42" t="s">
        <v>2677</v>
      </c>
      <c r="C181" s="42" t="s">
        <v>2555</v>
      </c>
      <c r="D181" s="42" t="s">
        <v>2530</v>
      </c>
      <c r="E181" s="42">
        <v>65</v>
      </c>
      <c r="F181" s="42"/>
      <c r="G181" s="42" t="s">
        <v>2676</v>
      </c>
    </row>
    <row r="182" spans="1:7" x14ac:dyDescent="0.3">
      <c r="A182" s="189">
        <v>45863</v>
      </c>
      <c r="B182" s="108" t="s">
        <v>2678</v>
      </c>
      <c r="C182" s="108" t="s">
        <v>2553</v>
      </c>
      <c r="D182" s="108" t="s">
        <v>2534</v>
      </c>
      <c r="E182" s="108">
        <v>249</v>
      </c>
      <c r="F182" s="108"/>
      <c r="G182" s="108" t="s">
        <v>2676</v>
      </c>
    </row>
    <row r="183" spans="1:7" x14ac:dyDescent="0.3">
      <c r="A183" s="190">
        <v>45863</v>
      </c>
      <c r="B183" s="42" t="s">
        <v>2617</v>
      </c>
      <c r="C183" s="42" t="s">
        <v>2555</v>
      </c>
      <c r="D183" s="42" t="s">
        <v>2530</v>
      </c>
      <c r="E183" s="42">
        <v>484</v>
      </c>
      <c r="F183" s="42"/>
      <c r="G183" s="42" t="s">
        <v>2676</v>
      </c>
    </row>
    <row r="184" spans="1:7" x14ac:dyDescent="0.3">
      <c r="A184" s="188">
        <v>45864</v>
      </c>
      <c r="B184" s="112" t="s">
        <v>2632</v>
      </c>
      <c r="C184" s="112" t="s">
        <v>2586</v>
      </c>
      <c r="D184" s="112" t="s">
        <v>2536</v>
      </c>
      <c r="E184" s="112">
        <v>265</v>
      </c>
      <c r="F184" s="112"/>
      <c r="G184" s="112" t="s">
        <v>2676</v>
      </c>
    </row>
    <row r="185" spans="1:7" x14ac:dyDescent="0.3">
      <c r="A185" s="188">
        <v>45864</v>
      </c>
      <c r="B185" s="112" t="s">
        <v>2679</v>
      </c>
      <c r="C185" s="112" t="s">
        <v>2665</v>
      </c>
      <c r="D185" s="112" t="s">
        <v>2536</v>
      </c>
      <c r="E185" s="112">
        <v>2000</v>
      </c>
      <c r="F185" s="112"/>
      <c r="G185" s="112" t="s">
        <v>2676</v>
      </c>
    </row>
    <row r="186" spans="1:7" x14ac:dyDescent="0.3">
      <c r="A186" s="190">
        <v>45864</v>
      </c>
      <c r="B186" s="42" t="s">
        <v>2680</v>
      </c>
      <c r="C186" s="42" t="s">
        <v>2555</v>
      </c>
      <c r="D186" s="42" t="s">
        <v>2530</v>
      </c>
      <c r="E186" s="42">
        <v>30</v>
      </c>
      <c r="F186" s="42"/>
      <c r="G186" s="42" t="s">
        <v>2676</v>
      </c>
    </row>
    <row r="187" spans="1:7" x14ac:dyDescent="0.3">
      <c r="A187" s="190">
        <v>45864</v>
      </c>
      <c r="B187" s="42" t="s">
        <v>2622</v>
      </c>
      <c r="C187" s="42" t="s">
        <v>2555</v>
      </c>
      <c r="D187" s="42" t="s">
        <v>2530</v>
      </c>
      <c r="E187" s="42">
        <v>35</v>
      </c>
      <c r="F187" s="42"/>
      <c r="G187" s="42" t="s">
        <v>2676</v>
      </c>
    </row>
    <row r="188" spans="1:7" x14ac:dyDescent="0.3">
      <c r="A188" s="193">
        <v>45864</v>
      </c>
      <c r="B188" s="181" t="s">
        <v>2681</v>
      </c>
      <c r="C188" s="181" t="s">
        <v>2615</v>
      </c>
      <c r="D188" s="181" t="s">
        <v>2532</v>
      </c>
      <c r="E188" s="181">
        <v>150</v>
      </c>
      <c r="F188" s="181"/>
      <c r="G188" s="181" t="s">
        <v>2676</v>
      </c>
    </row>
    <row r="189" spans="1:7" x14ac:dyDescent="0.3">
      <c r="A189" s="188">
        <v>45865</v>
      </c>
      <c r="B189" s="112" t="s">
        <v>2624</v>
      </c>
      <c r="C189" s="112" t="s">
        <v>2586</v>
      </c>
      <c r="D189" s="112" t="s">
        <v>2536</v>
      </c>
      <c r="E189" s="112">
        <v>100</v>
      </c>
      <c r="F189" s="112"/>
      <c r="G189" s="112" t="s">
        <v>2676</v>
      </c>
    </row>
    <row r="190" spans="1:7" x14ac:dyDescent="0.3">
      <c r="A190" s="190">
        <v>45867</v>
      </c>
      <c r="B190" s="42" t="s">
        <v>2648</v>
      </c>
      <c r="C190" s="42" t="s">
        <v>2555</v>
      </c>
      <c r="D190" s="42" t="s">
        <v>2530</v>
      </c>
      <c r="E190" s="42">
        <v>60</v>
      </c>
      <c r="F190" s="42"/>
      <c r="G190" s="42" t="s">
        <v>2676</v>
      </c>
    </row>
    <row r="191" spans="1:7" x14ac:dyDescent="0.3">
      <c r="A191" s="190">
        <v>45868</v>
      </c>
      <c r="B191" s="42" t="s">
        <v>2642</v>
      </c>
      <c r="C191" s="42" t="s">
        <v>2555</v>
      </c>
      <c r="D191" s="42" t="s">
        <v>2530</v>
      </c>
      <c r="E191" s="42">
        <v>28</v>
      </c>
      <c r="F191" s="42"/>
      <c r="G191" s="42" t="s">
        <v>2676</v>
      </c>
    </row>
    <row r="192" spans="1:7" x14ac:dyDescent="0.3">
      <c r="A192" s="190">
        <v>45869</v>
      </c>
      <c r="B192" s="42" t="s">
        <v>2556</v>
      </c>
      <c r="C192" s="42" t="s">
        <v>2555</v>
      </c>
      <c r="D192" s="42" t="s">
        <v>2530</v>
      </c>
      <c r="E192" s="42">
        <v>180</v>
      </c>
      <c r="F192" s="42"/>
      <c r="G192" s="42" t="s">
        <v>2676</v>
      </c>
    </row>
    <row r="193" spans="1:7" x14ac:dyDescent="0.3">
      <c r="A193" s="190">
        <v>45869</v>
      </c>
      <c r="B193" s="42" t="s">
        <v>2642</v>
      </c>
      <c r="C193" s="42" t="s">
        <v>2555</v>
      </c>
      <c r="D193" s="42" t="s">
        <v>2530</v>
      </c>
      <c r="E193" s="42">
        <v>24</v>
      </c>
      <c r="F193" s="42"/>
      <c r="G193" s="42" t="s">
        <v>2676</v>
      </c>
    </row>
    <row r="195" spans="1:7" x14ac:dyDescent="0.3">
      <c r="A195" s="186" t="s">
        <v>2682</v>
      </c>
      <c r="B195" s="187"/>
      <c r="C195" s="187"/>
      <c r="D195" s="187"/>
      <c r="E195" s="187"/>
      <c r="F195" s="187"/>
      <c r="G195" s="187"/>
    </row>
    <row r="196" spans="1:7" x14ac:dyDescent="0.3">
      <c r="A196" s="188">
        <v>45871</v>
      </c>
      <c r="B196" s="112" t="s">
        <v>2549</v>
      </c>
      <c r="C196" s="112" t="s">
        <v>2550</v>
      </c>
      <c r="D196" s="112" t="s">
        <v>2536</v>
      </c>
      <c r="E196" s="112">
        <v>16</v>
      </c>
      <c r="F196" s="112"/>
      <c r="G196" s="112" t="s">
        <v>2676</v>
      </c>
    </row>
    <row r="197" spans="1:7" x14ac:dyDescent="0.3">
      <c r="A197" s="195">
        <v>45873</v>
      </c>
      <c r="B197" s="54" t="s">
        <v>2654</v>
      </c>
      <c r="C197" s="54" t="s">
        <v>2573</v>
      </c>
      <c r="D197" s="54" t="s">
        <v>2535</v>
      </c>
      <c r="E197" s="54">
        <v>25</v>
      </c>
      <c r="F197" s="54"/>
      <c r="G197" s="54" t="s">
        <v>2676</v>
      </c>
    </row>
    <row r="198" spans="1:7" x14ac:dyDescent="0.3">
      <c r="A198" s="189">
        <v>45873</v>
      </c>
      <c r="B198" s="108" t="s">
        <v>2560</v>
      </c>
      <c r="C198" s="108" t="s">
        <v>2553</v>
      </c>
      <c r="D198" s="108" t="s">
        <v>2534</v>
      </c>
      <c r="E198" s="108">
        <v>109</v>
      </c>
      <c r="F198" s="108"/>
      <c r="G198" s="108" t="s">
        <v>2676</v>
      </c>
    </row>
    <row r="199" spans="1:7" x14ac:dyDescent="0.3">
      <c r="A199" s="189">
        <v>45873</v>
      </c>
      <c r="B199" s="108" t="s">
        <v>2668</v>
      </c>
      <c r="C199" s="108" t="s">
        <v>2553</v>
      </c>
      <c r="D199" s="108" t="s">
        <v>2534</v>
      </c>
      <c r="E199" s="108">
        <v>178</v>
      </c>
      <c r="F199" s="108"/>
      <c r="G199" s="108" t="s">
        <v>2676</v>
      </c>
    </row>
    <row r="200" spans="1:7" x14ac:dyDescent="0.3">
      <c r="A200" s="189">
        <v>45874</v>
      </c>
      <c r="B200" s="108" t="s">
        <v>2683</v>
      </c>
      <c r="C200" s="108" t="s">
        <v>2553</v>
      </c>
      <c r="D200" s="108" t="s">
        <v>2534</v>
      </c>
      <c r="E200" s="108">
        <v>344</v>
      </c>
      <c r="F200" s="108"/>
      <c r="G200" s="108" t="s">
        <v>2676</v>
      </c>
    </row>
    <row r="201" spans="1:7" x14ac:dyDescent="0.3">
      <c r="A201" s="190">
        <v>45875</v>
      </c>
      <c r="B201" s="42" t="s">
        <v>2622</v>
      </c>
      <c r="C201" s="42" t="s">
        <v>2555</v>
      </c>
      <c r="D201" s="42" t="s">
        <v>2530</v>
      </c>
      <c r="E201" s="42">
        <v>70</v>
      </c>
      <c r="F201" s="42"/>
      <c r="G201" s="42" t="s">
        <v>2676</v>
      </c>
    </row>
    <row r="202" spans="1:7" x14ac:dyDescent="0.3">
      <c r="A202" s="190">
        <v>45875</v>
      </c>
      <c r="B202" s="42" t="s">
        <v>2647</v>
      </c>
      <c r="C202" s="42" t="s">
        <v>2555</v>
      </c>
      <c r="D202" s="42" t="s">
        <v>2530</v>
      </c>
      <c r="E202" s="42">
        <v>100</v>
      </c>
      <c r="F202" s="42"/>
      <c r="G202" s="42" t="s">
        <v>2676</v>
      </c>
    </row>
    <row r="203" spans="1:7" x14ac:dyDescent="0.3">
      <c r="A203" s="190">
        <v>45875</v>
      </c>
      <c r="B203" s="42" t="s">
        <v>2642</v>
      </c>
      <c r="C203" s="42" t="s">
        <v>2555</v>
      </c>
      <c r="D203" s="42" t="s">
        <v>2530</v>
      </c>
      <c r="E203" s="42">
        <v>30</v>
      </c>
      <c r="F203" s="42"/>
      <c r="G203" s="42" t="s">
        <v>2676</v>
      </c>
    </row>
    <row r="204" spans="1:7" x14ac:dyDescent="0.3">
      <c r="A204" s="189">
        <v>45876</v>
      </c>
      <c r="B204" s="108" t="s">
        <v>2668</v>
      </c>
      <c r="C204" s="108" t="s">
        <v>2553</v>
      </c>
      <c r="D204" s="108" t="s">
        <v>2534</v>
      </c>
      <c r="E204" s="108">
        <v>195</v>
      </c>
      <c r="F204" s="108"/>
      <c r="G204" s="108" t="s">
        <v>2676</v>
      </c>
    </row>
    <row r="205" spans="1:7" x14ac:dyDescent="0.3">
      <c r="A205" s="190">
        <v>45877</v>
      </c>
      <c r="B205" s="42" t="s">
        <v>2642</v>
      </c>
      <c r="C205" s="42" t="s">
        <v>2555</v>
      </c>
      <c r="D205" s="42" t="s">
        <v>2530</v>
      </c>
      <c r="E205" s="42">
        <v>52</v>
      </c>
      <c r="F205" s="42"/>
      <c r="G205" s="42" t="s">
        <v>2676</v>
      </c>
    </row>
    <row r="206" spans="1:7" x14ac:dyDescent="0.3">
      <c r="A206" s="189">
        <v>45877</v>
      </c>
      <c r="B206" s="108" t="s">
        <v>2684</v>
      </c>
      <c r="C206" s="108" t="s">
        <v>2553</v>
      </c>
      <c r="D206" s="108" t="s">
        <v>2534</v>
      </c>
      <c r="E206" s="108">
        <v>50</v>
      </c>
      <c r="F206" s="108"/>
      <c r="G206" s="108" t="s">
        <v>2676</v>
      </c>
    </row>
    <row r="207" spans="1:7" x14ac:dyDescent="0.3">
      <c r="A207" s="193">
        <v>45877</v>
      </c>
      <c r="B207" s="181" t="s">
        <v>2685</v>
      </c>
      <c r="C207" s="181" t="s">
        <v>2563</v>
      </c>
      <c r="D207" s="181" t="s">
        <v>2532</v>
      </c>
      <c r="E207" s="181">
        <v>329</v>
      </c>
      <c r="F207" s="181"/>
      <c r="G207" s="181" t="s">
        <v>2676</v>
      </c>
    </row>
    <row r="208" spans="1:7" x14ac:dyDescent="0.3">
      <c r="A208" s="189">
        <v>45878</v>
      </c>
      <c r="B208" s="108" t="s">
        <v>1378</v>
      </c>
      <c r="C208" s="108" t="s">
        <v>2553</v>
      </c>
      <c r="D208" s="108" t="s">
        <v>2534</v>
      </c>
      <c r="E208" s="108">
        <v>20</v>
      </c>
      <c r="F208" s="108"/>
      <c r="G208" s="108" t="s">
        <v>2676</v>
      </c>
    </row>
    <row r="209" spans="1:7" x14ac:dyDescent="0.3">
      <c r="A209" s="190">
        <v>45879</v>
      </c>
      <c r="B209" s="42" t="s">
        <v>2622</v>
      </c>
      <c r="C209" s="42" t="s">
        <v>2555</v>
      </c>
      <c r="D209" s="42" t="s">
        <v>2530</v>
      </c>
      <c r="E209" s="42">
        <v>28</v>
      </c>
      <c r="F209" s="42"/>
      <c r="G209" s="42" t="s">
        <v>2676</v>
      </c>
    </row>
    <row r="210" spans="1:7" x14ac:dyDescent="0.3">
      <c r="A210" s="189">
        <v>45881</v>
      </c>
      <c r="B210" s="108" t="s">
        <v>2685</v>
      </c>
      <c r="C210" s="108" t="s">
        <v>2553</v>
      </c>
      <c r="D210" s="108" t="s">
        <v>2534</v>
      </c>
      <c r="E210" s="108">
        <v>148</v>
      </c>
      <c r="F210" s="108"/>
      <c r="G210" s="108" t="s">
        <v>2676</v>
      </c>
    </row>
    <row r="211" spans="1:7" x14ac:dyDescent="0.3">
      <c r="A211" s="189">
        <v>45881</v>
      </c>
      <c r="B211" s="108" t="s">
        <v>2686</v>
      </c>
      <c r="C211" s="108" t="s">
        <v>2553</v>
      </c>
      <c r="D211" s="108" t="s">
        <v>2534</v>
      </c>
      <c r="E211" s="108">
        <v>40</v>
      </c>
      <c r="F211" s="108"/>
      <c r="G211" s="108" t="s">
        <v>2676</v>
      </c>
    </row>
    <row r="212" spans="1:7" x14ac:dyDescent="0.3">
      <c r="A212" s="190">
        <v>45882</v>
      </c>
      <c r="B212" s="42" t="s">
        <v>2642</v>
      </c>
      <c r="C212" s="42" t="s">
        <v>2555</v>
      </c>
      <c r="D212" s="42" t="s">
        <v>2530</v>
      </c>
      <c r="E212" s="42">
        <v>28</v>
      </c>
      <c r="F212" s="42"/>
      <c r="G212" s="42" t="s">
        <v>2676</v>
      </c>
    </row>
    <row r="213" spans="1:7" x14ac:dyDescent="0.3">
      <c r="A213" s="190">
        <v>45883</v>
      </c>
      <c r="B213" s="42" t="s">
        <v>2622</v>
      </c>
      <c r="C213" s="42" t="s">
        <v>2555</v>
      </c>
      <c r="D213" s="42" t="s">
        <v>2530</v>
      </c>
      <c r="E213" s="42">
        <v>204</v>
      </c>
      <c r="F213" s="42"/>
      <c r="G213" s="42" t="s">
        <v>2676</v>
      </c>
    </row>
    <row r="214" spans="1:7" x14ac:dyDescent="0.3">
      <c r="A214" s="190">
        <v>45883</v>
      </c>
      <c r="B214" s="42" t="s">
        <v>2642</v>
      </c>
      <c r="C214" s="42" t="s">
        <v>2555</v>
      </c>
      <c r="D214" s="42" t="s">
        <v>2530</v>
      </c>
      <c r="E214" s="42">
        <v>46</v>
      </c>
      <c r="F214" s="42"/>
      <c r="G214" s="42" t="s">
        <v>2676</v>
      </c>
    </row>
    <row r="215" spans="1:7" x14ac:dyDescent="0.3">
      <c r="A215" s="190">
        <v>45884</v>
      </c>
      <c r="B215" s="42" t="s">
        <v>2642</v>
      </c>
      <c r="C215" s="42" t="s">
        <v>2555</v>
      </c>
      <c r="D215" s="42" t="s">
        <v>2530</v>
      </c>
      <c r="E215" s="42">
        <v>74</v>
      </c>
      <c r="F215" s="42"/>
      <c r="G215" s="42" t="s">
        <v>2676</v>
      </c>
    </row>
    <row r="216" spans="1:7" x14ac:dyDescent="0.3">
      <c r="A216" s="190">
        <v>45884</v>
      </c>
      <c r="B216" s="42" t="s">
        <v>2622</v>
      </c>
      <c r="C216" s="42" t="s">
        <v>2555</v>
      </c>
      <c r="D216" s="42" t="s">
        <v>2530</v>
      </c>
      <c r="E216" s="42">
        <v>35</v>
      </c>
      <c r="F216" s="42"/>
      <c r="G216" s="42" t="s">
        <v>2676</v>
      </c>
    </row>
    <row r="217" spans="1:7" x14ac:dyDescent="0.3">
      <c r="A217" s="193">
        <v>45885</v>
      </c>
      <c r="B217" s="181" t="s">
        <v>2687</v>
      </c>
      <c r="C217" s="181" t="s">
        <v>2615</v>
      </c>
      <c r="D217" s="181" t="s">
        <v>2532</v>
      </c>
      <c r="E217" s="181">
        <v>499</v>
      </c>
      <c r="F217" s="181"/>
      <c r="G217" s="181" t="s">
        <v>2676</v>
      </c>
    </row>
    <row r="218" spans="1:7" x14ac:dyDescent="0.3">
      <c r="A218" s="190">
        <v>45885</v>
      </c>
      <c r="B218" s="42" t="s">
        <v>2642</v>
      </c>
      <c r="C218" s="42" t="s">
        <v>2555</v>
      </c>
      <c r="D218" s="42" t="s">
        <v>2530</v>
      </c>
      <c r="E218" s="42">
        <v>46</v>
      </c>
      <c r="F218" s="42"/>
      <c r="G218" s="42" t="s">
        <v>2676</v>
      </c>
    </row>
    <row r="219" spans="1:7" x14ac:dyDescent="0.3">
      <c r="A219" s="188">
        <v>45886</v>
      </c>
      <c r="B219" s="112" t="s">
        <v>2549</v>
      </c>
      <c r="C219" s="112" t="s">
        <v>2550</v>
      </c>
      <c r="D219" s="112" t="s">
        <v>2536</v>
      </c>
      <c r="E219" s="112">
        <v>10</v>
      </c>
      <c r="F219" s="112"/>
      <c r="G219" s="112" t="s">
        <v>2676</v>
      </c>
    </row>
    <row r="220" spans="1:7" x14ac:dyDescent="0.3">
      <c r="A220" s="188">
        <v>45886</v>
      </c>
      <c r="B220" s="112" t="s">
        <v>2688</v>
      </c>
      <c r="C220" s="112" t="s">
        <v>2550</v>
      </c>
      <c r="D220" s="112" t="s">
        <v>2536</v>
      </c>
      <c r="E220" s="112">
        <v>373</v>
      </c>
      <c r="F220" s="112"/>
      <c r="G220" s="112" t="s">
        <v>2676</v>
      </c>
    </row>
    <row r="221" spans="1:7" x14ac:dyDescent="0.3">
      <c r="A221" s="200">
        <v>45886</v>
      </c>
      <c r="B221" s="114" t="s">
        <v>2657</v>
      </c>
      <c r="C221" s="114" t="s">
        <v>2571</v>
      </c>
      <c r="D221" s="114" t="s">
        <v>2540</v>
      </c>
      <c r="E221" s="114">
        <v>588.82000000000005</v>
      </c>
      <c r="F221" s="114"/>
      <c r="G221" s="114" t="s">
        <v>2676</v>
      </c>
    </row>
    <row r="222" spans="1:7" x14ac:dyDescent="0.3">
      <c r="A222" s="189">
        <v>45886</v>
      </c>
      <c r="B222" s="108" t="s">
        <v>2560</v>
      </c>
      <c r="C222" s="108" t="s">
        <v>2553</v>
      </c>
      <c r="D222" s="108" t="s">
        <v>2534</v>
      </c>
      <c r="E222" s="108">
        <v>421</v>
      </c>
      <c r="F222" s="108"/>
      <c r="G222" s="108" t="s">
        <v>2676</v>
      </c>
    </row>
    <row r="223" spans="1:7" x14ac:dyDescent="0.3">
      <c r="A223" s="189">
        <v>45886</v>
      </c>
      <c r="B223" s="108" t="s">
        <v>2560</v>
      </c>
      <c r="C223" s="108" t="s">
        <v>2553</v>
      </c>
      <c r="D223" s="108" t="s">
        <v>2534</v>
      </c>
      <c r="E223" s="108">
        <v>307</v>
      </c>
      <c r="F223" s="108"/>
      <c r="G223" s="108" t="s">
        <v>2676</v>
      </c>
    </row>
    <row r="224" spans="1:7" x14ac:dyDescent="0.3">
      <c r="A224" s="189">
        <v>45887</v>
      </c>
      <c r="B224" s="108" t="s">
        <v>2566</v>
      </c>
      <c r="C224" s="108" t="s">
        <v>2553</v>
      </c>
      <c r="D224" s="108" t="s">
        <v>2534</v>
      </c>
      <c r="E224" s="108">
        <v>175</v>
      </c>
      <c r="F224" s="108"/>
      <c r="G224" s="108" t="s">
        <v>2676</v>
      </c>
    </row>
    <row r="225" spans="1:7" x14ac:dyDescent="0.3">
      <c r="A225" s="189">
        <v>45888</v>
      </c>
      <c r="B225" s="108" t="s">
        <v>2689</v>
      </c>
      <c r="C225" s="108" t="s">
        <v>2553</v>
      </c>
      <c r="D225" s="108" t="s">
        <v>2534</v>
      </c>
      <c r="E225" s="108">
        <v>438.65</v>
      </c>
      <c r="F225" s="108"/>
      <c r="G225" s="108" t="s">
        <v>2676</v>
      </c>
    </row>
    <row r="226" spans="1:7" x14ac:dyDescent="0.3">
      <c r="A226" s="190">
        <v>45888</v>
      </c>
      <c r="B226" s="42" t="s">
        <v>2622</v>
      </c>
      <c r="C226" s="42" t="s">
        <v>2555</v>
      </c>
      <c r="D226" s="42" t="s">
        <v>2530</v>
      </c>
      <c r="E226" s="42">
        <v>35</v>
      </c>
      <c r="F226" s="42"/>
      <c r="G226" s="42" t="s">
        <v>2676</v>
      </c>
    </row>
    <row r="227" spans="1:7" x14ac:dyDescent="0.3">
      <c r="A227" s="190">
        <v>45889</v>
      </c>
      <c r="B227" s="42" t="s">
        <v>2690</v>
      </c>
      <c r="C227" s="42" t="s">
        <v>2555</v>
      </c>
      <c r="D227" s="42" t="s">
        <v>2530</v>
      </c>
      <c r="E227" s="42">
        <v>18</v>
      </c>
      <c r="F227" s="42"/>
      <c r="G227" s="42" t="s">
        <v>2676</v>
      </c>
    </row>
    <row r="228" spans="1:7" x14ac:dyDescent="0.3">
      <c r="A228" s="190">
        <v>45889</v>
      </c>
      <c r="B228" s="42" t="s">
        <v>2622</v>
      </c>
      <c r="C228" s="42" t="s">
        <v>2555</v>
      </c>
      <c r="D228" s="42" t="s">
        <v>2530</v>
      </c>
      <c r="E228" s="42">
        <v>5</v>
      </c>
      <c r="F228" s="42"/>
      <c r="G228" s="42" t="s">
        <v>2676</v>
      </c>
    </row>
    <row r="229" spans="1:7" x14ac:dyDescent="0.3">
      <c r="A229" s="189">
        <v>45889</v>
      </c>
      <c r="B229" s="108" t="s">
        <v>2685</v>
      </c>
      <c r="C229" s="108" t="s">
        <v>2553</v>
      </c>
      <c r="D229" s="108" t="s">
        <v>2534</v>
      </c>
      <c r="E229" s="108">
        <v>265</v>
      </c>
      <c r="F229" s="108"/>
      <c r="G229" s="108" t="s">
        <v>2676</v>
      </c>
    </row>
    <row r="230" spans="1:7" x14ac:dyDescent="0.3">
      <c r="A230" s="190">
        <v>45889</v>
      </c>
      <c r="B230" s="42" t="s">
        <v>2622</v>
      </c>
      <c r="C230" s="42" t="s">
        <v>2555</v>
      </c>
      <c r="D230" s="42" t="s">
        <v>2530</v>
      </c>
      <c r="E230" s="42">
        <v>24</v>
      </c>
      <c r="F230" s="42"/>
      <c r="G230" s="42" t="s">
        <v>2691</v>
      </c>
    </row>
    <row r="231" spans="1:7" x14ac:dyDescent="0.3">
      <c r="A231" s="190">
        <v>45889</v>
      </c>
      <c r="B231" s="42" t="s">
        <v>2642</v>
      </c>
      <c r="C231" s="42" t="s">
        <v>2555</v>
      </c>
      <c r="D231" s="42" t="s">
        <v>2530</v>
      </c>
      <c r="E231" s="42">
        <v>46</v>
      </c>
      <c r="F231" s="42"/>
      <c r="G231" s="42" t="s">
        <v>2676</v>
      </c>
    </row>
    <row r="232" spans="1:7" x14ac:dyDescent="0.3">
      <c r="A232" s="190">
        <v>45890</v>
      </c>
      <c r="B232" s="42" t="s">
        <v>2642</v>
      </c>
      <c r="C232" s="42" t="s">
        <v>2555</v>
      </c>
      <c r="D232" s="42" t="s">
        <v>2530</v>
      </c>
      <c r="E232" s="42">
        <v>46</v>
      </c>
      <c r="F232" s="42"/>
      <c r="G232" s="42" t="s">
        <v>2691</v>
      </c>
    </row>
    <row r="233" spans="1:7" x14ac:dyDescent="0.3">
      <c r="A233" s="189">
        <v>45890</v>
      </c>
      <c r="B233" s="108" t="s">
        <v>2692</v>
      </c>
      <c r="C233" s="108" t="s">
        <v>2553</v>
      </c>
      <c r="D233" s="108" t="s">
        <v>2534</v>
      </c>
      <c r="E233" s="108">
        <v>50</v>
      </c>
      <c r="F233" s="108"/>
      <c r="G233" s="108" t="s">
        <v>2691</v>
      </c>
    </row>
    <row r="234" spans="1:7" x14ac:dyDescent="0.3">
      <c r="A234" s="188">
        <v>45891</v>
      </c>
      <c r="B234" s="112" t="s">
        <v>2688</v>
      </c>
      <c r="C234" s="112" t="s">
        <v>2550</v>
      </c>
      <c r="D234" s="112" t="s">
        <v>2536</v>
      </c>
      <c r="E234" s="112">
        <v>233.39</v>
      </c>
      <c r="F234" s="112"/>
      <c r="G234" s="112" t="s">
        <v>2691</v>
      </c>
    </row>
    <row r="235" spans="1:7" x14ac:dyDescent="0.3">
      <c r="A235" s="190">
        <v>45891</v>
      </c>
      <c r="B235" s="42" t="s">
        <v>2648</v>
      </c>
      <c r="C235" s="42" t="s">
        <v>2555</v>
      </c>
      <c r="D235" s="42" t="s">
        <v>2530</v>
      </c>
      <c r="E235" s="42">
        <v>30</v>
      </c>
      <c r="F235" s="42"/>
      <c r="G235" s="42" t="s">
        <v>2691</v>
      </c>
    </row>
    <row r="236" spans="1:7" x14ac:dyDescent="0.3">
      <c r="A236" s="189">
        <v>45892</v>
      </c>
      <c r="B236" s="108" t="s">
        <v>2613</v>
      </c>
      <c r="C236" s="108" t="s">
        <v>2553</v>
      </c>
      <c r="D236" s="108" t="s">
        <v>2534</v>
      </c>
      <c r="E236" s="108">
        <v>99</v>
      </c>
      <c r="F236" s="108"/>
      <c r="G236" s="108" t="s">
        <v>2691</v>
      </c>
    </row>
    <row r="237" spans="1:7" x14ac:dyDescent="0.3">
      <c r="A237" s="190">
        <v>45892</v>
      </c>
      <c r="B237" s="42" t="s">
        <v>2693</v>
      </c>
      <c r="C237" s="42" t="s">
        <v>2555</v>
      </c>
      <c r="D237" s="42" t="s">
        <v>2530</v>
      </c>
      <c r="E237" s="42">
        <v>140</v>
      </c>
      <c r="F237" s="42"/>
      <c r="G237" s="42" t="s">
        <v>2691</v>
      </c>
    </row>
    <row r="238" spans="1:7" x14ac:dyDescent="0.3">
      <c r="A238" s="190">
        <v>45892</v>
      </c>
      <c r="B238" s="42" t="s">
        <v>2694</v>
      </c>
      <c r="C238" s="42" t="s">
        <v>2555</v>
      </c>
      <c r="D238" s="42" t="s">
        <v>2530</v>
      </c>
      <c r="E238" s="42">
        <v>100</v>
      </c>
      <c r="F238" s="42"/>
      <c r="G238" s="42" t="s">
        <v>2691</v>
      </c>
    </row>
    <row r="239" spans="1:7" x14ac:dyDescent="0.3">
      <c r="A239" s="189">
        <v>45892</v>
      </c>
      <c r="B239" s="108" t="s">
        <v>2626</v>
      </c>
      <c r="C239" s="108" t="s">
        <v>2553</v>
      </c>
      <c r="D239" s="108" t="s">
        <v>2534</v>
      </c>
      <c r="E239" s="108">
        <v>130.55000000000001</v>
      </c>
      <c r="F239" s="108"/>
      <c r="G239" s="108" t="s">
        <v>2691</v>
      </c>
    </row>
    <row r="240" spans="1:7" x14ac:dyDescent="0.3">
      <c r="A240" s="190">
        <v>45892</v>
      </c>
      <c r="B240" s="42" t="s">
        <v>2642</v>
      </c>
      <c r="C240" s="42" t="s">
        <v>2555</v>
      </c>
      <c r="D240" s="42" t="s">
        <v>2530</v>
      </c>
      <c r="E240" s="42">
        <v>74</v>
      </c>
      <c r="F240" s="42"/>
      <c r="G240" s="42" t="s">
        <v>2691</v>
      </c>
    </row>
    <row r="241" spans="1:7" x14ac:dyDescent="0.3">
      <c r="A241" s="188">
        <v>45892</v>
      </c>
      <c r="B241" s="112" t="s">
        <v>2695</v>
      </c>
      <c r="C241" s="112" t="s">
        <v>2550</v>
      </c>
      <c r="D241" s="112" t="s">
        <v>2536</v>
      </c>
      <c r="E241" s="112">
        <v>40</v>
      </c>
      <c r="F241" s="112"/>
      <c r="G241" s="112" t="s">
        <v>2691</v>
      </c>
    </row>
    <row r="242" spans="1:7" x14ac:dyDescent="0.3">
      <c r="A242" s="190">
        <v>45893</v>
      </c>
      <c r="B242" s="42" t="s">
        <v>2556</v>
      </c>
      <c r="C242" s="42" t="s">
        <v>2555</v>
      </c>
      <c r="D242" s="42" t="s">
        <v>2530</v>
      </c>
      <c r="E242" s="42">
        <v>35</v>
      </c>
      <c r="F242" s="42"/>
      <c r="G242" s="42" t="s">
        <v>2691</v>
      </c>
    </row>
    <row r="243" spans="1:7" x14ac:dyDescent="0.3">
      <c r="A243" s="188">
        <v>45893</v>
      </c>
      <c r="B243" s="112" t="s">
        <v>2632</v>
      </c>
      <c r="C243" s="112" t="s">
        <v>2586</v>
      </c>
      <c r="D243" s="112" t="s">
        <v>2536</v>
      </c>
      <c r="E243" s="112">
        <v>150</v>
      </c>
      <c r="F243" s="112"/>
      <c r="G243" s="112" t="s">
        <v>2691</v>
      </c>
    </row>
    <row r="244" spans="1:7" x14ac:dyDescent="0.3">
      <c r="A244" s="190">
        <v>45893</v>
      </c>
      <c r="B244" s="42" t="s">
        <v>2696</v>
      </c>
      <c r="C244" s="42" t="s">
        <v>2555</v>
      </c>
      <c r="D244" s="42" t="s">
        <v>2530</v>
      </c>
      <c r="E244" s="42">
        <v>50</v>
      </c>
      <c r="F244" s="42"/>
      <c r="G244" s="42" t="s">
        <v>2691</v>
      </c>
    </row>
    <row r="245" spans="1:7" x14ac:dyDescent="0.3">
      <c r="A245" s="190">
        <v>45893</v>
      </c>
      <c r="B245" s="42" t="s">
        <v>2622</v>
      </c>
      <c r="C245" s="42" t="s">
        <v>2555</v>
      </c>
      <c r="D245" s="42" t="s">
        <v>2530</v>
      </c>
      <c r="E245" s="42">
        <v>38</v>
      </c>
      <c r="F245" s="42"/>
      <c r="G245" s="42" t="s">
        <v>2691</v>
      </c>
    </row>
    <row r="246" spans="1:7" x14ac:dyDescent="0.3">
      <c r="A246" s="190">
        <v>45894</v>
      </c>
      <c r="B246" s="42" t="s">
        <v>2697</v>
      </c>
      <c r="C246" s="42" t="s">
        <v>2555</v>
      </c>
      <c r="D246" s="42" t="s">
        <v>2530</v>
      </c>
      <c r="E246" s="42">
        <v>30</v>
      </c>
      <c r="F246" s="42"/>
      <c r="G246" s="42" t="s">
        <v>2691</v>
      </c>
    </row>
    <row r="247" spans="1:7" x14ac:dyDescent="0.3">
      <c r="A247" s="198">
        <v>45894</v>
      </c>
      <c r="B247" s="183" t="s">
        <v>2698</v>
      </c>
      <c r="C247" s="183" t="s">
        <v>2611</v>
      </c>
      <c r="D247" s="183" t="s">
        <v>2538</v>
      </c>
      <c r="E247" s="183">
        <v>140</v>
      </c>
      <c r="F247" s="183"/>
      <c r="G247" s="183" t="s">
        <v>2691</v>
      </c>
    </row>
    <row r="248" spans="1:7" x14ac:dyDescent="0.3">
      <c r="A248" s="190">
        <v>45894</v>
      </c>
      <c r="B248" s="42" t="s">
        <v>2699</v>
      </c>
      <c r="C248" s="42" t="s">
        <v>2555</v>
      </c>
      <c r="D248" s="42" t="s">
        <v>2530</v>
      </c>
      <c r="E248" s="42">
        <v>30</v>
      </c>
      <c r="F248" s="42"/>
      <c r="G248" s="42" t="s">
        <v>2691</v>
      </c>
    </row>
    <row r="249" spans="1:7" x14ac:dyDescent="0.3">
      <c r="A249" s="189">
        <v>45895</v>
      </c>
      <c r="B249" s="108" t="s">
        <v>2700</v>
      </c>
      <c r="C249" s="108" t="s">
        <v>2553</v>
      </c>
      <c r="D249" s="108" t="s">
        <v>2534</v>
      </c>
      <c r="E249" s="108">
        <v>40</v>
      </c>
      <c r="F249" s="108"/>
      <c r="G249" s="108" t="s">
        <v>2691</v>
      </c>
    </row>
    <row r="250" spans="1:7" x14ac:dyDescent="0.3">
      <c r="A250" s="190">
        <v>45895</v>
      </c>
      <c r="B250" s="42" t="s">
        <v>2701</v>
      </c>
      <c r="C250" s="42" t="s">
        <v>2555</v>
      </c>
      <c r="D250" s="42" t="s">
        <v>2530</v>
      </c>
      <c r="E250" s="42">
        <v>15</v>
      </c>
      <c r="F250" s="42"/>
      <c r="G250" s="42" t="s">
        <v>2691</v>
      </c>
    </row>
    <row r="251" spans="1:7" x14ac:dyDescent="0.3">
      <c r="A251" s="189">
        <v>45896</v>
      </c>
      <c r="B251" s="108" t="s">
        <v>2700</v>
      </c>
      <c r="C251" s="108" t="s">
        <v>2553</v>
      </c>
      <c r="D251" s="108" t="s">
        <v>2534</v>
      </c>
      <c r="E251" s="108">
        <v>40</v>
      </c>
      <c r="F251" s="108"/>
      <c r="G251" s="108" t="s">
        <v>2691</v>
      </c>
    </row>
    <row r="252" spans="1:7" x14ac:dyDescent="0.3">
      <c r="A252" s="190">
        <v>45897</v>
      </c>
      <c r="B252" s="42" t="s">
        <v>2702</v>
      </c>
      <c r="C252" s="42" t="s">
        <v>2555</v>
      </c>
      <c r="D252" s="42" t="s">
        <v>2530</v>
      </c>
      <c r="E252" s="42">
        <v>50</v>
      </c>
      <c r="F252" s="42"/>
      <c r="G252" s="42" t="s">
        <v>2691</v>
      </c>
    </row>
    <row r="253" spans="1:7" x14ac:dyDescent="0.3">
      <c r="A253" s="189">
        <v>45897</v>
      </c>
      <c r="B253" s="108" t="s">
        <v>2703</v>
      </c>
      <c r="C253" s="108" t="s">
        <v>2553</v>
      </c>
      <c r="D253" s="108" t="s">
        <v>2534</v>
      </c>
      <c r="E253" s="108">
        <v>270</v>
      </c>
      <c r="F253" s="108"/>
      <c r="G253" s="108" t="s">
        <v>2691</v>
      </c>
    </row>
    <row r="254" spans="1:7" x14ac:dyDescent="0.3">
      <c r="A254" s="190">
        <v>45897</v>
      </c>
      <c r="B254" s="42" t="s">
        <v>2704</v>
      </c>
      <c r="C254" s="42" t="s">
        <v>2555</v>
      </c>
      <c r="D254" s="42" t="s">
        <v>2530</v>
      </c>
      <c r="E254" s="42">
        <v>125</v>
      </c>
      <c r="F254" s="42"/>
      <c r="G254" s="42" t="s">
        <v>2691</v>
      </c>
    </row>
    <row r="255" spans="1:7" x14ac:dyDescent="0.3">
      <c r="A255" s="188">
        <v>45898</v>
      </c>
      <c r="B255" s="112" t="s">
        <v>2705</v>
      </c>
      <c r="C255" s="112" t="s">
        <v>2665</v>
      </c>
      <c r="D255" s="112" t="s">
        <v>2536</v>
      </c>
      <c r="E255" s="112">
        <v>25</v>
      </c>
      <c r="F255" s="112"/>
      <c r="G255" s="112" t="s">
        <v>2691</v>
      </c>
    </row>
    <row r="256" spans="1:7" x14ac:dyDescent="0.3">
      <c r="A256" s="189">
        <v>45898</v>
      </c>
      <c r="B256" s="108" t="s">
        <v>2706</v>
      </c>
      <c r="C256" s="108" t="s">
        <v>2553</v>
      </c>
      <c r="D256" s="108" t="s">
        <v>2534</v>
      </c>
      <c r="E256" s="108">
        <v>30</v>
      </c>
      <c r="F256" s="108"/>
      <c r="G256" s="108" t="s">
        <v>2691</v>
      </c>
    </row>
    <row r="257" spans="1:7" x14ac:dyDescent="0.3">
      <c r="A257" s="188">
        <v>45898</v>
      </c>
      <c r="B257" s="112" t="s">
        <v>2707</v>
      </c>
      <c r="C257" s="112" t="s">
        <v>2665</v>
      </c>
      <c r="D257" s="112" t="s">
        <v>2536</v>
      </c>
      <c r="E257" s="112">
        <v>70</v>
      </c>
      <c r="F257" s="112"/>
      <c r="G257" s="112" t="s">
        <v>2691</v>
      </c>
    </row>
    <row r="258" spans="1:7" x14ac:dyDescent="0.3">
      <c r="A258" s="190">
        <v>45899</v>
      </c>
      <c r="B258" s="42" t="s">
        <v>2622</v>
      </c>
      <c r="C258" s="42" t="s">
        <v>2555</v>
      </c>
      <c r="D258" s="42" t="s">
        <v>2530</v>
      </c>
      <c r="E258" s="42">
        <v>47</v>
      </c>
      <c r="F258" s="42"/>
      <c r="G258" s="42" t="s">
        <v>2691</v>
      </c>
    </row>
    <row r="259" spans="1:7" x14ac:dyDescent="0.3">
      <c r="A259" s="190">
        <v>45899</v>
      </c>
      <c r="B259" s="42" t="s">
        <v>2622</v>
      </c>
      <c r="C259" s="42" t="s">
        <v>2555</v>
      </c>
      <c r="D259" s="42" t="s">
        <v>2530</v>
      </c>
      <c r="E259" s="42">
        <v>59</v>
      </c>
      <c r="F259" s="42"/>
      <c r="G259" s="42" t="s">
        <v>2691</v>
      </c>
    </row>
    <row r="260" spans="1:7" x14ac:dyDescent="0.3">
      <c r="A260" s="190">
        <v>45899</v>
      </c>
      <c r="B260" s="42" t="s">
        <v>2642</v>
      </c>
      <c r="C260" s="42" t="s">
        <v>2555</v>
      </c>
      <c r="D260" s="42" t="s">
        <v>2530</v>
      </c>
      <c r="E260" s="42">
        <v>174</v>
      </c>
      <c r="F260" s="42"/>
      <c r="G260" s="42" t="s">
        <v>2691</v>
      </c>
    </row>
    <row r="261" spans="1:7" x14ac:dyDescent="0.3">
      <c r="A261" s="188">
        <v>45900</v>
      </c>
      <c r="B261" s="112" t="s">
        <v>2708</v>
      </c>
      <c r="C261" s="112" t="s">
        <v>2550</v>
      </c>
      <c r="D261" s="112" t="s">
        <v>2536</v>
      </c>
      <c r="E261" s="112">
        <v>130</v>
      </c>
      <c r="F261" s="112"/>
      <c r="G261" s="112" t="s">
        <v>2691</v>
      </c>
    </row>
    <row r="262" spans="1:7" x14ac:dyDescent="0.3">
      <c r="A262" s="193">
        <v>45900</v>
      </c>
      <c r="B262" s="181" t="s">
        <v>2709</v>
      </c>
      <c r="C262" s="181" t="s">
        <v>2563</v>
      </c>
      <c r="D262" s="181" t="s">
        <v>2532</v>
      </c>
      <c r="E262" s="181">
        <v>425</v>
      </c>
      <c r="F262" s="181"/>
      <c r="G262" s="181" t="s">
        <v>2691</v>
      </c>
    </row>
    <row r="263" spans="1:7" x14ac:dyDescent="0.3">
      <c r="A263" s="195">
        <v>45900</v>
      </c>
      <c r="B263" s="54" t="s">
        <v>2710</v>
      </c>
      <c r="C263" s="54" t="s">
        <v>2573</v>
      </c>
      <c r="D263" s="54" t="s">
        <v>2535</v>
      </c>
      <c r="E263" s="54">
        <v>160</v>
      </c>
      <c r="F263" s="54"/>
      <c r="G263" s="54" t="s">
        <v>2691</v>
      </c>
    </row>
    <row r="264" spans="1:7" x14ac:dyDescent="0.3">
      <c r="A264" s="190">
        <v>45900</v>
      </c>
      <c r="B264" s="42" t="s">
        <v>2675</v>
      </c>
      <c r="C264" s="42" t="s">
        <v>2555</v>
      </c>
      <c r="D264" s="42" t="s">
        <v>2530</v>
      </c>
      <c r="E264" s="42">
        <v>123.5</v>
      </c>
      <c r="F264" s="42"/>
      <c r="G264" s="42" t="s">
        <v>2691</v>
      </c>
    </row>
    <row r="265" spans="1:7" x14ac:dyDescent="0.3">
      <c r="A265" s="188">
        <v>45900</v>
      </c>
      <c r="B265" s="112" t="s">
        <v>2688</v>
      </c>
      <c r="C265" s="112" t="s">
        <v>2550</v>
      </c>
      <c r="D265" s="112" t="s">
        <v>2536</v>
      </c>
      <c r="E265" s="112">
        <v>147.5</v>
      </c>
      <c r="F265" s="112"/>
      <c r="G265" s="112" t="s">
        <v>2691</v>
      </c>
    </row>
    <row r="267" spans="1:7" x14ac:dyDescent="0.3">
      <c r="A267" s="186" t="s">
        <v>2711</v>
      </c>
      <c r="B267" s="187"/>
      <c r="C267" s="187"/>
      <c r="D267" s="187"/>
      <c r="E267" s="187"/>
      <c r="F267" s="187"/>
      <c r="G267" s="187"/>
    </row>
    <row r="268" spans="1:7" x14ac:dyDescent="0.3">
      <c r="A268" s="190">
        <v>45901</v>
      </c>
      <c r="B268" s="42" t="s">
        <v>2642</v>
      </c>
      <c r="C268" s="42" t="s">
        <v>2555</v>
      </c>
      <c r="D268" s="42" t="s">
        <v>2530</v>
      </c>
      <c r="E268" s="42">
        <v>46</v>
      </c>
      <c r="F268" s="42"/>
      <c r="G268" s="42" t="s">
        <v>2691</v>
      </c>
    </row>
    <row r="269" spans="1:7" x14ac:dyDescent="0.3">
      <c r="A269" s="190">
        <v>45901</v>
      </c>
      <c r="B269" s="42" t="s">
        <v>2622</v>
      </c>
      <c r="C269" s="42" t="s">
        <v>2555</v>
      </c>
      <c r="D269" s="42" t="s">
        <v>2530</v>
      </c>
      <c r="E269" s="42">
        <v>29</v>
      </c>
      <c r="F269" s="42"/>
      <c r="G269" s="42" t="s">
        <v>2691</v>
      </c>
    </row>
    <row r="270" spans="1:7" x14ac:dyDescent="0.3">
      <c r="A270" s="188">
        <v>45901</v>
      </c>
      <c r="B270" s="112" t="s">
        <v>2712</v>
      </c>
      <c r="C270" s="112" t="s">
        <v>2550</v>
      </c>
      <c r="D270" s="112" t="s">
        <v>2536</v>
      </c>
      <c r="E270" s="112">
        <v>50</v>
      </c>
      <c r="F270" s="112"/>
      <c r="G270" s="112" t="s">
        <v>2691</v>
      </c>
    </row>
    <row r="271" spans="1:7" x14ac:dyDescent="0.3">
      <c r="A271" s="188">
        <v>45902</v>
      </c>
      <c r="B271" s="112" t="s">
        <v>2713</v>
      </c>
      <c r="C271" s="112" t="s">
        <v>2550</v>
      </c>
      <c r="D271" s="112" t="s">
        <v>2536</v>
      </c>
      <c r="E271" s="112">
        <v>19</v>
      </c>
      <c r="F271" s="112"/>
      <c r="G271" s="112" t="s">
        <v>2691</v>
      </c>
    </row>
    <row r="272" spans="1:7" x14ac:dyDescent="0.3">
      <c r="A272" s="190">
        <v>45902</v>
      </c>
      <c r="B272" s="42" t="s">
        <v>2556</v>
      </c>
      <c r="C272" s="42" t="s">
        <v>2555</v>
      </c>
      <c r="D272" s="42" t="s">
        <v>2530</v>
      </c>
      <c r="E272" s="42">
        <v>62</v>
      </c>
      <c r="F272" s="42"/>
      <c r="G272" s="42" t="s">
        <v>2691</v>
      </c>
    </row>
    <row r="273" spans="1:7" x14ac:dyDescent="0.3">
      <c r="A273" s="188">
        <v>45902</v>
      </c>
      <c r="B273" s="112" t="s">
        <v>2713</v>
      </c>
      <c r="C273" s="112" t="s">
        <v>2550</v>
      </c>
      <c r="D273" s="112" t="s">
        <v>2536</v>
      </c>
      <c r="E273" s="112">
        <v>50</v>
      </c>
      <c r="F273" s="112"/>
      <c r="G273" s="112" t="s">
        <v>2691</v>
      </c>
    </row>
    <row r="274" spans="1:7" x14ac:dyDescent="0.3">
      <c r="A274" s="189">
        <v>45902</v>
      </c>
      <c r="B274" s="108" t="s">
        <v>2714</v>
      </c>
      <c r="C274" s="108" t="s">
        <v>2553</v>
      </c>
      <c r="D274" s="108" t="s">
        <v>2534</v>
      </c>
      <c r="E274" s="108">
        <v>135</v>
      </c>
      <c r="F274" s="108"/>
      <c r="G274" s="108" t="s">
        <v>2691</v>
      </c>
    </row>
    <row r="275" spans="1:7" x14ac:dyDescent="0.3">
      <c r="A275" s="192">
        <v>45903</v>
      </c>
      <c r="B275" s="106" t="s">
        <v>2715</v>
      </c>
      <c r="C275" s="106" t="s">
        <v>2559</v>
      </c>
      <c r="D275" s="106" t="s">
        <v>2527</v>
      </c>
      <c r="E275" s="106">
        <v>80</v>
      </c>
      <c r="F275" s="106"/>
      <c r="G275" s="106" t="s">
        <v>2691</v>
      </c>
    </row>
    <row r="276" spans="1:7" x14ac:dyDescent="0.3">
      <c r="A276" s="190">
        <v>45903</v>
      </c>
      <c r="B276" s="42" t="s">
        <v>2642</v>
      </c>
      <c r="C276" s="42" t="s">
        <v>2555</v>
      </c>
      <c r="D276" s="42" t="s">
        <v>2530</v>
      </c>
      <c r="E276" s="42">
        <v>46</v>
      </c>
      <c r="F276" s="42"/>
      <c r="G276" s="42" t="s">
        <v>2691</v>
      </c>
    </row>
    <row r="277" spans="1:7" x14ac:dyDescent="0.3">
      <c r="A277" s="190">
        <v>45903</v>
      </c>
      <c r="B277" s="42" t="s">
        <v>2642</v>
      </c>
      <c r="C277" s="42" t="s">
        <v>2555</v>
      </c>
      <c r="D277" s="42" t="s">
        <v>2530</v>
      </c>
      <c r="E277" s="42">
        <v>27</v>
      </c>
      <c r="F277" s="42"/>
      <c r="G277" s="42" t="s">
        <v>2691</v>
      </c>
    </row>
    <row r="278" spans="1:7" x14ac:dyDescent="0.3">
      <c r="A278" s="190">
        <v>45903</v>
      </c>
      <c r="B278" s="42" t="s">
        <v>2622</v>
      </c>
      <c r="C278" s="42" t="s">
        <v>2555</v>
      </c>
      <c r="D278" s="42" t="s">
        <v>2530</v>
      </c>
      <c r="E278" s="42">
        <v>5</v>
      </c>
      <c r="F278" s="42"/>
      <c r="G278" s="42" t="s">
        <v>2691</v>
      </c>
    </row>
    <row r="279" spans="1:7" x14ac:dyDescent="0.3">
      <c r="A279" s="190">
        <v>45903</v>
      </c>
      <c r="B279" s="42" t="s">
        <v>2622</v>
      </c>
      <c r="C279" s="42" t="s">
        <v>2555</v>
      </c>
      <c r="D279" s="42" t="s">
        <v>2530</v>
      </c>
      <c r="E279" s="42">
        <v>120</v>
      </c>
      <c r="F279" s="42"/>
      <c r="G279" s="42" t="s">
        <v>2691</v>
      </c>
    </row>
    <row r="280" spans="1:7" x14ac:dyDescent="0.3">
      <c r="A280" s="190">
        <v>45904</v>
      </c>
      <c r="B280" s="42" t="s">
        <v>2716</v>
      </c>
      <c r="C280" s="42" t="s">
        <v>2555</v>
      </c>
      <c r="D280" s="42" t="s">
        <v>2530</v>
      </c>
      <c r="E280" s="42">
        <v>45</v>
      </c>
      <c r="F280" s="42"/>
      <c r="G280" s="42" t="s">
        <v>2691</v>
      </c>
    </row>
    <row r="281" spans="1:7" x14ac:dyDescent="0.3">
      <c r="A281" s="190">
        <v>45904</v>
      </c>
      <c r="B281" s="42" t="s">
        <v>2622</v>
      </c>
      <c r="C281" s="42" t="s">
        <v>2555</v>
      </c>
      <c r="D281" s="42" t="s">
        <v>2530</v>
      </c>
      <c r="E281" s="42">
        <v>120</v>
      </c>
      <c r="F281" s="42"/>
      <c r="G281" s="42" t="s">
        <v>2691</v>
      </c>
    </row>
    <row r="282" spans="1:7" x14ac:dyDescent="0.3">
      <c r="A282" s="193">
        <v>45904</v>
      </c>
      <c r="B282" s="181" t="s">
        <v>2717</v>
      </c>
      <c r="C282" s="181" t="s">
        <v>2563</v>
      </c>
      <c r="D282" s="181" t="s">
        <v>2532</v>
      </c>
      <c r="E282" s="181">
        <v>24</v>
      </c>
      <c r="F282" s="181"/>
      <c r="G282" s="181" t="s">
        <v>2691</v>
      </c>
    </row>
    <row r="283" spans="1:7" x14ac:dyDescent="0.3">
      <c r="A283" s="190">
        <v>45904</v>
      </c>
      <c r="B283" s="42" t="s">
        <v>2618</v>
      </c>
      <c r="C283" s="42" t="s">
        <v>2555</v>
      </c>
      <c r="D283" s="42" t="s">
        <v>2530</v>
      </c>
      <c r="E283" s="42">
        <v>3155.11</v>
      </c>
      <c r="F283" s="42"/>
      <c r="G283" s="42" t="s">
        <v>2691</v>
      </c>
    </row>
    <row r="284" spans="1:7" x14ac:dyDescent="0.3">
      <c r="A284" s="189">
        <v>45904</v>
      </c>
      <c r="B284" s="108" t="s">
        <v>2560</v>
      </c>
      <c r="C284" s="108" t="s">
        <v>2553</v>
      </c>
      <c r="D284" s="108" t="s">
        <v>2534</v>
      </c>
      <c r="E284" s="108">
        <v>197</v>
      </c>
      <c r="F284" s="108"/>
      <c r="G284" s="108" t="s">
        <v>2691</v>
      </c>
    </row>
    <row r="285" spans="1:7" x14ac:dyDescent="0.3">
      <c r="A285" s="190">
        <v>45904</v>
      </c>
      <c r="B285" s="42" t="s">
        <v>2680</v>
      </c>
      <c r="C285" s="42" t="s">
        <v>2555</v>
      </c>
      <c r="D285" s="42" t="s">
        <v>2530</v>
      </c>
      <c r="E285" s="42">
        <v>35</v>
      </c>
      <c r="F285" s="42"/>
      <c r="G285" s="42" t="s">
        <v>2691</v>
      </c>
    </row>
    <row r="286" spans="1:7" x14ac:dyDescent="0.3">
      <c r="A286" s="189">
        <v>45905</v>
      </c>
      <c r="B286" s="108" t="s">
        <v>2718</v>
      </c>
      <c r="C286" s="108" t="s">
        <v>2553</v>
      </c>
      <c r="D286" s="108" t="s">
        <v>2534</v>
      </c>
      <c r="E286" s="108">
        <v>350</v>
      </c>
      <c r="F286" s="108"/>
      <c r="G286" s="108" t="s">
        <v>2691</v>
      </c>
    </row>
    <row r="287" spans="1:7" x14ac:dyDescent="0.3">
      <c r="A287" s="190">
        <v>45906</v>
      </c>
      <c r="B287" s="42" t="s">
        <v>2622</v>
      </c>
      <c r="C287" s="42" t="s">
        <v>2555</v>
      </c>
      <c r="D287" s="42" t="s">
        <v>2530</v>
      </c>
      <c r="E287" s="42">
        <v>160</v>
      </c>
      <c r="F287" s="42"/>
      <c r="G287" s="42" t="s">
        <v>2691</v>
      </c>
    </row>
    <row r="288" spans="1:7" x14ac:dyDescent="0.3">
      <c r="A288" s="193">
        <v>45906</v>
      </c>
      <c r="B288" s="181" t="s">
        <v>2719</v>
      </c>
      <c r="C288" s="181" t="s">
        <v>2563</v>
      </c>
      <c r="D288" s="181" t="s">
        <v>2532</v>
      </c>
      <c r="E288" s="181">
        <v>5</v>
      </c>
      <c r="F288" s="181"/>
      <c r="G288" s="181" t="s">
        <v>2691</v>
      </c>
    </row>
    <row r="289" spans="1:7" x14ac:dyDescent="0.3">
      <c r="A289" s="190">
        <v>45906</v>
      </c>
      <c r="B289" s="42" t="s">
        <v>2622</v>
      </c>
      <c r="C289" s="42" t="s">
        <v>2555</v>
      </c>
      <c r="D289" s="42" t="s">
        <v>2530</v>
      </c>
      <c r="E289" s="42">
        <v>10</v>
      </c>
      <c r="F289" s="42"/>
      <c r="G289" s="42" t="s">
        <v>2691</v>
      </c>
    </row>
    <row r="290" spans="1:7" x14ac:dyDescent="0.3">
      <c r="A290" s="189">
        <v>45906</v>
      </c>
      <c r="B290" s="108" t="s">
        <v>2720</v>
      </c>
      <c r="C290" s="108" t="s">
        <v>2553</v>
      </c>
      <c r="D290" s="108" t="s">
        <v>2534</v>
      </c>
      <c r="E290" s="108">
        <v>485</v>
      </c>
      <c r="F290" s="108"/>
      <c r="G290" s="108" t="s">
        <v>2691</v>
      </c>
    </row>
    <row r="291" spans="1:7" x14ac:dyDescent="0.3">
      <c r="A291" s="190">
        <v>45907</v>
      </c>
      <c r="B291" s="42" t="s">
        <v>2642</v>
      </c>
      <c r="C291" s="42" t="s">
        <v>2555</v>
      </c>
      <c r="D291" s="42" t="s">
        <v>2530</v>
      </c>
      <c r="E291" s="42">
        <v>46</v>
      </c>
      <c r="F291" s="42"/>
      <c r="G291" s="42" t="s">
        <v>2691</v>
      </c>
    </row>
    <row r="292" spans="1:7" x14ac:dyDescent="0.3">
      <c r="A292" s="189">
        <v>45907</v>
      </c>
      <c r="B292" s="108" t="s">
        <v>2721</v>
      </c>
      <c r="C292" s="108" t="s">
        <v>2553</v>
      </c>
      <c r="D292" s="108" t="s">
        <v>2534</v>
      </c>
      <c r="E292" s="108">
        <v>441</v>
      </c>
      <c r="F292" s="108"/>
      <c r="G292" s="108" t="s">
        <v>2691</v>
      </c>
    </row>
    <row r="293" spans="1:7" x14ac:dyDescent="0.3">
      <c r="A293" s="189">
        <v>45907</v>
      </c>
      <c r="B293" s="108" t="s">
        <v>2722</v>
      </c>
      <c r="C293" s="108" t="s">
        <v>2553</v>
      </c>
      <c r="D293" s="108" t="s">
        <v>2534</v>
      </c>
      <c r="E293" s="108">
        <v>20</v>
      </c>
      <c r="F293" s="108"/>
      <c r="G293" s="108" t="s">
        <v>2691</v>
      </c>
    </row>
    <row r="294" spans="1:7" x14ac:dyDescent="0.3">
      <c r="A294" s="189">
        <v>45907</v>
      </c>
      <c r="B294" s="108" t="s">
        <v>2685</v>
      </c>
      <c r="C294" s="108" t="s">
        <v>2553</v>
      </c>
      <c r="D294" s="108" t="s">
        <v>2534</v>
      </c>
      <c r="E294" s="108">
        <v>391</v>
      </c>
      <c r="F294" s="108"/>
      <c r="G294" s="108" t="s">
        <v>2691</v>
      </c>
    </row>
    <row r="295" spans="1:7" x14ac:dyDescent="0.3">
      <c r="A295" s="189">
        <v>45908</v>
      </c>
      <c r="B295" s="108" t="s">
        <v>2564</v>
      </c>
      <c r="C295" s="108" t="s">
        <v>2553</v>
      </c>
      <c r="D295" s="108" t="s">
        <v>2534</v>
      </c>
      <c r="E295" s="108">
        <v>26.25</v>
      </c>
      <c r="F295" s="108"/>
      <c r="G295" s="108" t="s">
        <v>2691</v>
      </c>
    </row>
    <row r="296" spans="1:7" x14ac:dyDescent="0.3">
      <c r="A296" s="190">
        <v>45908</v>
      </c>
      <c r="B296" s="42" t="s">
        <v>2642</v>
      </c>
      <c r="C296" s="42" t="s">
        <v>2555</v>
      </c>
      <c r="D296" s="42" t="s">
        <v>2530</v>
      </c>
      <c r="E296" s="42">
        <v>48</v>
      </c>
      <c r="F296" s="42"/>
      <c r="G296" s="42" t="s">
        <v>2691</v>
      </c>
    </row>
    <row r="297" spans="1:7" x14ac:dyDescent="0.3">
      <c r="A297" s="190">
        <v>45908</v>
      </c>
      <c r="B297" s="42" t="s">
        <v>2622</v>
      </c>
      <c r="C297" s="42" t="s">
        <v>2555</v>
      </c>
      <c r="D297" s="42" t="s">
        <v>2530</v>
      </c>
      <c r="E297" s="42">
        <v>30</v>
      </c>
      <c r="F297" s="42"/>
      <c r="G297" s="42" t="s">
        <v>2691</v>
      </c>
    </row>
    <row r="298" spans="1:7" x14ac:dyDescent="0.3">
      <c r="A298" s="192">
        <v>45908</v>
      </c>
      <c r="B298" s="106" t="s">
        <v>2723</v>
      </c>
      <c r="C298" s="106" t="s">
        <v>2559</v>
      </c>
      <c r="D298" s="106" t="s">
        <v>2527</v>
      </c>
      <c r="E298" s="106">
        <v>6564</v>
      </c>
      <c r="F298" s="106"/>
      <c r="G298" s="106" t="s">
        <v>2691</v>
      </c>
    </row>
    <row r="299" spans="1:7" x14ac:dyDescent="0.3">
      <c r="A299" s="190">
        <v>45909</v>
      </c>
      <c r="B299" s="42" t="s">
        <v>2622</v>
      </c>
      <c r="C299" s="42" t="s">
        <v>2555</v>
      </c>
      <c r="D299" s="42" t="s">
        <v>2530</v>
      </c>
      <c r="E299" s="42">
        <v>13</v>
      </c>
      <c r="F299" s="42"/>
      <c r="G299" s="42" t="s">
        <v>2691</v>
      </c>
    </row>
    <row r="300" spans="1:7" x14ac:dyDescent="0.3">
      <c r="A300" s="189">
        <v>45910</v>
      </c>
      <c r="B300" s="108" t="s">
        <v>2724</v>
      </c>
      <c r="C300" s="108" t="s">
        <v>2553</v>
      </c>
      <c r="D300" s="108" t="s">
        <v>2534</v>
      </c>
      <c r="E300" s="108">
        <v>350</v>
      </c>
      <c r="F300" s="108"/>
      <c r="G300" s="108" t="s">
        <v>2691</v>
      </c>
    </row>
    <row r="301" spans="1:7" x14ac:dyDescent="0.3">
      <c r="A301" s="189">
        <v>45910</v>
      </c>
      <c r="B301" s="108" t="s">
        <v>2725</v>
      </c>
      <c r="C301" s="108" t="s">
        <v>2553</v>
      </c>
      <c r="D301" s="108" t="s">
        <v>2534</v>
      </c>
      <c r="E301" s="108">
        <v>672</v>
      </c>
      <c r="F301" s="108"/>
      <c r="G301" s="108" t="s">
        <v>2691</v>
      </c>
    </row>
    <row r="302" spans="1:7" x14ac:dyDescent="0.3">
      <c r="A302" s="190">
        <v>45910</v>
      </c>
      <c r="B302" s="42" t="s">
        <v>2622</v>
      </c>
      <c r="C302" s="42" t="s">
        <v>2555</v>
      </c>
      <c r="D302" s="42" t="s">
        <v>2530</v>
      </c>
      <c r="E302" s="42">
        <v>30</v>
      </c>
      <c r="F302" s="42"/>
      <c r="G302" s="42" t="s">
        <v>2691</v>
      </c>
    </row>
    <row r="303" spans="1:7" x14ac:dyDescent="0.3">
      <c r="A303" s="198">
        <v>45910</v>
      </c>
      <c r="B303" s="183" t="s">
        <v>2726</v>
      </c>
      <c r="C303" s="183" t="s">
        <v>2610</v>
      </c>
      <c r="D303" s="183" t="s">
        <v>2538</v>
      </c>
      <c r="E303" s="183">
        <v>1450.35</v>
      </c>
      <c r="F303" s="183"/>
      <c r="G303" s="183" t="s">
        <v>2691</v>
      </c>
    </row>
    <row r="304" spans="1:7" x14ac:dyDescent="0.3">
      <c r="A304" s="189">
        <v>45911</v>
      </c>
      <c r="B304" s="108" t="s">
        <v>2727</v>
      </c>
      <c r="C304" s="108" t="s">
        <v>2553</v>
      </c>
      <c r="D304" s="108" t="s">
        <v>2534</v>
      </c>
      <c r="E304" s="108">
        <v>275</v>
      </c>
      <c r="F304" s="108"/>
      <c r="G304" s="108" t="s">
        <v>2691</v>
      </c>
    </row>
    <row r="305" spans="1:7" x14ac:dyDescent="0.3">
      <c r="A305" s="190">
        <v>45911</v>
      </c>
      <c r="B305" s="42" t="s">
        <v>2728</v>
      </c>
      <c r="C305" s="42" t="s">
        <v>2555</v>
      </c>
      <c r="D305" s="42" t="s">
        <v>2530</v>
      </c>
      <c r="E305" s="42">
        <v>150</v>
      </c>
      <c r="F305" s="42"/>
      <c r="G305" s="42" t="s">
        <v>2691</v>
      </c>
    </row>
    <row r="306" spans="1:7" x14ac:dyDescent="0.3">
      <c r="A306" s="195">
        <v>45911</v>
      </c>
      <c r="B306" s="54" t="s">
        <v>2729</v>
      </c>
      <c r="C306" s="54" t="s">
        <v>2573</v>
      </c>
      <c r="D306" s="54" t="s">
        <v>2535</v>
      </c>
      <c r="E306" s="54">
        <v>540</v>
      </c>
      <c r="F306" s="54"/>
      <c r="G306" s="54" t="s">
        <v>2691</v>
      </c>
    </row>
    <row r="307" spans="1:7" x14ac:dyDescent="0.3">
      <c r="A307" s="190">
        <v>45911</v>
      </c>
      <c r="B307" s="42" t="s">
        <v>2730</v>
      </c>
      <c r="C307" s="42" t="s">
        <v>2555</v>
      </c>
      <c r="D307" s="42" t="s">
        <v>2530</v>
      </c>
      <c r="E307" s="42">
        <v>50</v>
      </c>
      <c r="F307" s="42"/>
      <c r="G307" s="42" t="s">
        <v>2691</v>
      </c>
    </row>
    <row r="308" spans="1:7" x14ac:dyDescent="0.3">
      <c r="A308" s="193">
        <v>45911</v>
      </c>
      <c r="B308" s="181" t="s">
        <v>2731</v>
      </c>
      <c r="C308" s="181" t="s">
        <v>2732</v>
      </c>
      <c r="D308" s="181" t="s">
        <v>2532</v>
      </c>
      <c r="E308" s="181">
        <v>80</v>
      </c>
      <c r="F308" s="181"/>
      <c r="G308" s="181" t="s">
        <v>2691</v>
      </c>
    </row>
    <row r="309" spans="1:7" x14ac:dyDescent="0.3">
      <c r="A309" s="189">
        <v>45911</v>
      </c>
      <c r="B309" s="108" t="s">
        <v>2733</v>
      </c>
      <c r="C309" s="108" t="s">
        <v>2553</v>
      </c>
      <c r="D309" s="108" t="s">
        <v>2534</v>
      </c>
      <c r="E309" s="108">
        <v>60</v>
      </c>
      <c r="F309" s="108"/>
      <c r="G309" s="108" t="s">
        <v>2691</v>
      </c>
    </row>
    <row r="310" spans="1:7" x14ac:dyDescent="0.3">
      <c r="A310" s="198">
        <v>45911</v>
      </c>
      <c r="B310" s="183" t="s">
        <v>2734</v>
      </c>
      <c r="C310" s="183" t="s">
        <v>2610</v>
      </c>
      <c r="D310" s="183" t="s">
        <v>2538</v>
      </c>
      <c r="E310" s="183">
        <v>2036</v>
      </c>
      <c r="F310" s="183"/>
      <c r="G310" s="183" t="s">
        <v>2691</v>
      </c>
    </row>
    <row r="311" spans="1:7" x14ac:dyDescent="0.3">
      <c r="A311" s="198">
        <v>45911</v>
      </c>
      <c r="B311" s="183" t="s">
        <v>2735</v>
      </c>
      <c r="C311" s="183" t="s">
        <v>2610</v>
      </c>
      <c r="D311" s="183" t="s">
        <v>2538</v>
      </c>
      <c r="E311" s="183">
        <v>1575</v>
      </c>
      <c r="F311" s="183"/>
      <c r="G311" s="183" t="s">
        <v>2691</v>
      </c>
    </row>
    <row r="312" spans="1:7" x14ac:dyDescent="0.3">
      <c r="A312" s="189">
        <v>45912</v>
      </c>
      <c r="B312" s="108" t="s">
        <v>2733</v>
      </c>
      <c r="C312" s="108" t="s">
        <v>2553</v>
      </c>
      <c r="D312" s="108" t="s">
        <v>2534</v>
      </c>
      <c r="E312" s="108">
        <v>60</v>
      </c>
      <c r="F312" s="108"/>
      <c r="G312" s="108" t="s">
        <v>2691</v>
      </c>
    </row>
    <row r="313" spans="1:7" x14ac:dyDescent="0.3">
      <c r="A313" s="189">
        <v>45912</v>
      </c>
      <c r="B313" s="108" t="s">
        <v>2736</v>
      </c>
      <c r="C313" s="108" t="s">
        <v>2553</v>
      </c>
      <c r="D313" s="108" t="s">
        <v>2534</v>
      </c>
      <c r="E313" s="108">
        <v>450</v>
      </c>
      <c r="F313" s="108"/>
      <c r="G313" s="108" t="s">
        <v>2691</v>
      </c>
    </row>
    <row r="314" spans="1:7" x14ac:dyDescent="0.3">
      <c r="A314" s="189">
        <v>45912</v>
      </c>
      <c r="B314" s="108" t="s">
        <v>2737</v>
      </c>
      <c r="C314" s="108" t="s">
        <v>2553</v>
      </c>
      <c r="D314" s="108" t="s">
        <v>2534</v>
      </c>
      <c r="E314" s="108">
        <v>306</v>
      </c>
      <c r="F314" s="108"/>
      <c r="G314" s="108" t="s">
        <v>2691</v>
      </c>
    </row>
    <row r="315" spans="1:7" x14ac:dyDescent="0.3">
      <c r="A315" s="189">
        <v>45913</v>
      </c>
      <c r="B315" s="108" t="s">
        <v>2738</v>
      </c>
      <c r="C315" s="108" t="s">
        <v>2553</v>
      </c>
      <c r="D315" s="108" t="s">
        <v>2534</v>
      </c>
      <c r="E315" s="108">
        <v>900</v>
      </c>
      <c r="F315" s="108"/>
      <c r="G315" s="108" t="s">
        <v>2691</v>
      </c>
    </row>
    <row r="316" spans="1:7" x14ac:dyDescent="0.3">
      <c r="A316" s="189">
        <v>45913</v>
      </c>
      <c r="B316" s="108" t="s">
        <v>2739</v>
      </c>
      <c r="C316" s="108" t="s">
        <v>2553</v>
      </c>
      <c r="D316" s="108" t="s">
        <v>2534</v>
      </c>
      <c r="E316" s="108">
        <v>115</v>
      </c>
      <c r="F316" s="108"/>
      <c r="G316" s="108" t="s">
        <v>2691</v>
      </c>
    </row>
    <row r="317" spans="1:7" x14ac:dyDescent="0.3">
      <c r="A317" s="190">
        <v>45913</v>
      </c>
      <c r="B317" s="42" t="s">
        <v>2622</v>
      </c>
      <c r="C317" s="42" t="s">
        <v>2555</v>
      </c>
      <c r="D317" s="42" t="s">
        <v>2530</v>
      </c>
      <c r="E317" s="42">
        <v>35</v>
      </c>
      <c r="F317" s="42"/>
      <c r="G317" s="42" t="s">
        <v>2691</v>
      </c>
    </row>
    <row r="318" spans="1:7" x14ac:dyDescent="0.3">
      <c r="A318" s="190">
        <v>45914</v>
      </c>
      <c r="B318" s="42" t="s">
        <v>2740</v>
      </c>
      <c r="C318" s="42" t="s">
        <v>2555</v>
      </c>
      <c r="D318" s="42" t="s">
        <v>2530</v>
      </c>
      <c r="E318" s="42">
        <v>130</v>
      </c>
      <c r="F318" s="42"/>
      <c r="G318" s="42" t="s">
        <v>2691</v>
      </c>
    </row>
    <row r="319" spans="1:7" x14ac:dyDescent="0.3">
      <c r="A319" s="189">
        <v>45914</v>
      </c>
      <c r="B319" s="108" t="s">
        <v>2564</v>
      </c>
      <c r="C319" s="108" t="s">
        <v>2553</v>
      </c>
      <c r="D319" s="108" t="s">
        <v>2534</v>
      </c>
      <c r="E319" s="108">
        <v>266.7</v>
      </c>
      <c r="F319" s="108"/>
      <c r="G319" s="108" t="s">
        <v>2691</v>
      </c>
    </row>
    <row r="320" spans="1:7" x14ac:dyDescent="0.3">
      <c r="A320" s="189">
        <v>45914</v>
      </c>
      <c r="B320" s="108" t="s">
        <v>2741</v>
      </c>
      <c r="C320" s="108" t="s">
        <v>2553</v>
      </c>
      <c r="D320" s="108" t="s">
        <v>2534</v>
      </c>
      <c r="E320" s="108">
        <v>399</v>
      </c>
      <c r="F320" s="108"/>
      <c r="G320" s="108" t="s">
        <v>2691</v>
      </c>
    </row>
    <row r="321" spans="1:7" x14ac:dyDescent="0.3">
      <c r="A321" s="188">
        <v>45914</v>
      </c>
      <c r="B321" s="112" t="s">
        <v>2549</v>
      </c>
      <c r="C321" s="112" t="s">
        <v>2550</v>
      </c>
      <c r="D321" s="112" t="s">
        <v>2536</v>
      </c>
      <c r="E321" s="112">
        <v>105</v>
      </c>
      <c r="F321" s="112"/>
      <c r="G321" s="112" t="s">
        <v>2691</v>
      </c>
    </row>
    <row r="322" spans="1:7" x14ac:dyDescent="0.3">
      <c r="A322" s="190">
        <v>45915</v>
      </c>
      <c r="B322" s="42" t="s">
        <v>2556</v>
      </c>
      <c r="C322" s="42" t="s">
        <v>2555</v>
      </c>
      <c r="D322" s="42" t="s">
        <v>2530</v>
      </c>
      <c r="E322" s="42">
        <v>85</v>
      </c>
      <c r="F322" s="42"/>
      <c r="G322" s="42" t="s">
        <v>2691</v>
      </c>
    </row>
    <row r="323" spans="1:7" x14ac:dyDescent="0.3">
      <c r="A323" s="190">
        <v>45915</v>
      </c>
      <c r="B323" s="42" t="s">
        <v>2622</v>
      </c>
      <c r="C323" s="42" t="s">
        <v>2555</v>
      </c>
      <c r="D323" s="42" t="s">
        <v>2530</v>
      </c>
      <c r="E323" s="42">
        <v>93</v>
      </c>
      <c r="F323" s="42"/>
      <c r="G323" s="42" t="s">
        <v>2691</v>
      </c>
    </row>
    <row r="324" spans="1:7" x14ac:dyDescent="0.3">
      <c r="A324" s="193">
        <v>45917</v>
      </c>
      <c r="B324" s="181" t="s">
        <v>2742</v>
      </c>
      <c r="C324" s="181" t="s">
        <v>2563</v>
      </c>
      <c r="D324" s="181" t="s">
        <v>2532</v>
      </c>
      <c r="E324" s="181">
        <v>95</v>
      </c>
      <c r="F324" s="181"/>
      <c r="G324" s="181" t="s">
        <v>2691</v>
      </c>
    </row>
    <row r="325" spans="1:7" x14ac:dyDescent="0.3">
      <c r="A325" s="190">
        <v>45917</v>
      </c>
      <c r="B325" s="42" t="s">
        <v>2622</v>
      </c>
      <c r="C325" s="42" t="s">
        <v>2555</v>
      </c>
      <c r="D325" s="42" t="s">
        <v>2530</v>
      </c>
      <c r="E325" s="42">
        <v>35</v>
      </c>
      <c r="F325" s="42"/>
      <c r="G325" s="42" t="s">
        <v>2691</v>
      </c>
    </row>
    <row r="326" spans="1:7" x14ac:dyDescent="0.3">
      <c r="A326" s="189">
        <v>45918</v>
      </c>
      <c r="B326" s="108" t="s">
        <v>2668</v>
      </c>
      <c r="C326" s="108" t="s">
        <v>2553</v>
      </c>
      <c r="D326" s="108" t="s">
        <v>2534</v>
      </c>
      <c r="E326" s="108">
        <v>521</v>
      </c>
      <c r="F326" s="108"/>
      <c r="G326" s="108" t="s">
        <v>2691</v>
      </c>
    </row>
    <row r="327" spans="1:7" x14ac:dyDescent="0.3">
      <c r="A327" s="190">
        <v>45918</v>
      </c>
      <c r="B327" s="42" t="s">
        <v>2743</v>
      </c>
      <c r="C327" s="42" t="s">
        <v>2555</v>
      </c>
      <c r="D327" s="42" t="s">
        <v>2530</v>
      </c>
      <c r="E327" s="42">
        <v>1398</v>
      </c>
      <c r="F327" s="42"/>
      <c r="G327" s="42" t="s">
        <v>2691</v>
      </c>
    </row>
    <row r="328" spans="1:7" x14ac:dyDescent="0.3">
      <c r="A328" s="189">
        <v>45919</v>
      </c>
      <c r="B328" s="108" t="s">
        <v>2560</v>
      </c>
      <c r="C328" s="108" t="s">
        <v>2553</v>
      </c>
      <c r="D328" s="108" t="s">
        <v>2534</v>
      </c>
      <c r="E328" s="108">
        <v>212</v>
      </c>
      <c r="F328" s="108"/>
      <c r="G328" s="108" t="s">
        <v>2691</v>
      </c>
    </row>
    <row r="329" spans="1:7" x14ac:dyDescent="0.3">
      <c r="A329" s="195">
        <v>45919</v>
      </c>
      <c r="B329" s="54" t="s">
        <v>2654</v>
      </c>
      <c r="C329" s="54" t="s">
        <v>2573</v>
      </c>
      <c r="D329" s="54" t="s">
        <v>2535</v>
      </c>
      <c r="E329" s="54">
        <v>25</v>
      </c>
      <c r="F329" s="54"/>
      <c r="G329" s="54" t="s">
        <v>2691</v>
      </c>
    </row>
    <row r="330" spans="1:7" x14ac:dyDescent="0.3">
      <c r="A330" s="193">
        <v>45919</v>
      </c>
      <c r="B330" s="181" t="s">
        <v>2744</v>
      </c>
      <c r="C330" s="181" t="s">
        <v>2639</v>
      </c>
      <c r="D330" s="181" t="s">
        <v>2532</v>
      </c>
      <c r="E330" s="181">
        <v>1000</v>
      </c>
      <c r="F330" s="181"/>
      <c r="G330" s="181" t="s">
        <v>2691</v>
      </c>
    </row>
    <row r="331" spans="1:7" x14ac:dyDescent="0.3">
      <c r="A331" s="193">
        <v>45919</v>
      </c>
      <c r="B331" s="181" t="s">
        <v>2717</v>
      </c>
      <c r="C331" s="181" t="s">
        <v>2563</v>
      </c>
      <c r="D331" s="181" t="s">
        <v>2532</v>
      </c>
      <c r="E331" s="181">
        <v>10</v>
      </c>
      <c r="F331" s="181"/>
      <c r="G331" s="181" t="s">
        <v>2691</v>
      </c>
    </row>
    <row r="332" spans="1:7" x14ac:dyDescent="0.3">
      <c r="A332" s="190">
        <v>45920</v>
      </c>
      <c r="B332" s="42" t="s">
        <v>2647</v>
      </c>
      <c r="C332" s="42" t="s">
        <v>2555</v>
      </c>
      <c r="D332" s="42" t="s">
        <v>2530</v>
      </c>
      <c r="E332" s="42">
        <v>115</v>
      </c>
      <c r="F332" s="42"/>
      <c r="G332" s="42" t="s">
        <v>2691</v>
      </c>
    </row>
    <row r="333" spans="1:7" x14ac:dyDescent="0.3">
      <c r="A333" s="194">
        <v>45920</v>
      </c>
      <c r="B333" s="156" t="s">
        <v>2570</v>
      </c>
      <c r="C333" s="156" t="s">
        <v>2571</v>
      </c>
      <c r="D333" s="156" t="s">
        <v>2537</v>
      </c>
      <c r="E333" s="156">
        <v>509</v>
      </c>
      <c r="F333" s="156"/>
      <c r="G333" s="156" t="s">
        <v>2691</v>
      </c>
    </row>
    <row r="334" spans="1:7" x14ac:dyDescent="0.3">
      <c r="A334" s="190">
        <v>45920</v>
      </c>
      <c r="B334" s="42" t="s">
        <v>2622</v>
      </c>
      <c r="C334" s="42" t="s">
        <v>2555</v>
      </c>
      <c r="D334" s="42" t="s">
        <v>2530</v>
      </c>
      <c r="E334" s="42">
        <v>85</v>
      </c>
      <c r="F334" s="42"/>
      <c r="G334" s="42" t="s">
        <v>2691</v>
      </c>
    </row>
    <row r="335" spans="1:7" x14ac:dyDescent="0.3">
      <c r="A335" s="189">
        <v>45920</v>
      </c>
      <c r="B335" s="108" t="s">
        <v>2623</v>
      </c>
      <c r="C335" s="108" t="s">
        <v>2553</v>
      </c>
      <c r="D335" s="108" t="s">
        <v>2534</v>
      </c>
      <c r="E335" s="108">
        <v>594.94000000000005</v>
      </c>
      <c r="F335" s="108"/>
      <c r="G335" s="108" t="s">
        <v>2745</v>
      </c>
    </row>
    <row r="336" spans="1:7" x14ac:dyDescent="0.3">
      <c r="A336" s="199">
        <v>45920</v>
      </c>
      <c r="B336" s="110" t="s">
        <v>2746</v>
      </c>
      <c r="C336" s="110" t="s">
        <v>988</v>
      </c>
      <c r="D336" s="110" t="s">
        <v>2528</v>
      </c>
      <c r="E336" s="110">
        <v>247</v>
      </c>
      <c r="F336" s="110"/>
      <c r="G336" s="110" t="s">
        <v>2745</v>
      </c>
    </row>
    <row r="337" spans="1:7" x14ac:dyDescent="0.3">
      <c r="A337" s="199">
        <v>45920</v>
      </c>
      <c r="B337" s="110" t="s">
        <v>2747</v>
      </c>
      <c r="C337" s="110" t="s">
        <v>988</v>
      </c>
      <c r="D337" s="110" t="s">
        <v>2528</v>
      </c>
      <c r="E337" s="110">
        <v>1000</v>
      </c>
      <c r="F337" s="110"/>
      <c r="G337" s="110" t="s">
        <v>2745</v>
      </c>
    </row>
    <row r="338" spans="1:7" x14ac:dyDescent="0.3">
      <c r="A338" s="189">
        <v>45921</v>
      </c>
      <c r="B338" s="108" t="s">
        <v>2659</v>
      </c>
      <c r="C338" s="108" t="s">
        <v>2553</v>
      </c>
      <c r="D338" s="108" t="s">
        <v>2534</v>
      </c>
      <c r="E338" s="108">
        <v>20</v>
      </c>
      <c r="F338" s="108"/>
      <c r="G338" s="108" t="s">
        <v>2745</v>
      </c>
    </row>
    <row r="339" spans="1:7" x14ac:dyDescent="0.3">
      <c r="A339" s="190">
        <v>45921</v>
      </c>
      <c r="B339" s="42" t="s">
        <v>2622</v>
      </c>
      <c r="C339" s="42" t="s">
        <v>2555</v>
      </c>
      <c r="D339" s="42" t="s">
        <v>2530</v>
      </c>
      <c r="E339" s="42">
        <v>35</v>
      </c>
      <c r="F339" s="42"/>
      <c r="G339" s="42" t="s">
        <v>2745</v>
      </c>
    </row>
    <row r="340" spans="1:7" x14ac:dyDescent="0.3">
      <c r="A340" s="195">
        <v>45921</v>
      </c>
      <c r="B340" s="54" t="s">
        <v>2748</v>
      </c>
      <c r="C340" s="54" t="s">
        <v>2573</v>
      </c>
      <c r="D340" s="54" t="s">
        <v>2535</v>
      </c>
      <c r="E340" s="54">
        <v>2</v>
      </c>
      <c r="F340" s="54"/>
      <c r="G340" s="54" t="s">
        <v>2745</v>
      </c>
    </row>
    <row r="341" spans="1:7" x14ac:dyDescent="0.3">
      <c r="A341" s="195">
        <v>45921</v>
      </c>
      <c r="B341" s="54" t="s">
        <v>2748</v>
      </c>
      <c r="C341" s="54" t="s">
        <v>2573</v>
      </c>
      <c r="D341" s="54" t="s">
        <v>2535</v>
      </c>
      <c r="E341" s="54"/>
      <c r="F341" s="54">
        <v>2</v>
      </c>
      <c r="G341" s="54" t="s">
        <v>2745</v>
      </c>
    </row>
    <row r="342" spans="1:7" x14ac:dyDescent="0.3">
      <c r="A342" s="189">
        <v>45922</v>
      </c>
      <c r="B342" s="108" t="s">
        <v>2749</v>
      </c>
      <c r="C342" s="108" t="s">
        <v>2553</v>
      </c>
      <c r="D342" s="108" t="s">
        <v>2534</v>
      </c>
      <c r="E342" s="108">
        <v>85</v>
      </c>
      <c r="F342" s="108"/>
      <c r="G342" s="108" t="s">
        <v>2745</v>
      </c>
    </row>
    <row r="343" spans="1:7" x14ac:dyDescent="0.3">
      <c r="A343" s="188">
        <v>45922</v>
      </c>
      <c r="B343" s="112" t="s">
        <v>2688</v>
      </c>
      <c r="C343" s="112" t="s">
        <v>2550</v>
      </c>
      <c r="D343" s="112" t="s">
        <v>2536</v>
      </c>
      <c r="E343" s="112">
        <v>225.56</v>
      </c>
      <c r="F343" s="112"/>
      <c r="G343" s="112" t="s">
        <v>2745</v>
      </c>
    </row>
    <row r="344" spans="1:7" x14ac:dyDescent="0.3">
      <c r="A344" s="191">
        <v>45923</v>
      </c>
      <c r="B344" s="182" t="s">
        <v>2750</v>
      </c>
      <c r="C344" s="182" t="s">
        <v>2558</v>
      </c>
      <c r="D344" s="182" t="s">
        <v>2533</v>
      </c>
      <c r="E344" s="182">
        <v>3000</v>
      </c>
      <c r="F344" s="182"/>
      <c r="G344" s="182" t="s">
        <v>2745</v>
      </c>
    </row>
    <row r="345" spans="1:7" x14ac:dyDescent="0.3">
      <c r="A345" s="189">
        <v>45923</v>
      </c>
      <c r="B345" s="108" t="s">
        <v>2749</v>
      </c>
      <c r="C345" s="108" t="s">
        <v>2553</v>
      </c>
      <c r="D345" s="108" t="s">
        <v>2534</v>
      </c>
      <c r="E345" s="108">
        <v>235</v>
      </c>
      <c r="F345" s="108"/>
      <c r="G345" s="108" t="s">
        <v>2745</v>
      </c>
    </row>
    <row r="346" spans="1:7" x14ac:dyDescent="0.3">
      <c r="A346" s="190">
        <v>45923</v>
      </c>
      <c r="B346" s="42" t="s">
        <v>2647</v>
      </c>
      <c r="C346" s="42" t="s">
        <v>2555</v>
      </c>
      <c r="D346" s="42" t="s">
        <v>2530</v>
      </c>
      <c r="E346" s="42">
        <v>235</v>
      </c>
      <c r="F346" s="42"/>
      <c r="G346" s="42" t="s">
        <v>2745</v>
      </c>
    </row>
    <row r="347" spans="1:7" x14ac:dyDescent="0.3">
      <c r="A347" s="190">
        <v>45924</v>
      </c>
      <c r="B347" s="42" t="s">
        <v>2622</v>
      </c>
      <c r="C347" s="42" t="s">
        <v>2555</v>
      </c>
      <c r="D347" s="42" t="s">
        <v>2530</v>
      </c>
      <c r="E347" s="42">
        <v>300</v>
      </c>
      <c r="F347" s="42"/>
      <c r="G347" s="42" t="s">
        <v>2745</v>
      </c>
    </row>
    <row r="348" spans="1:7" x14ac:dyDescent="0.3">
      <c r="A348" s="189">
        <v>45924</v>
      </c>
      <c r="B348" s="108" t="s">
        <v>2616</v>
      </c>
      <c r="C348" s="108" t="s">
        <v>2553</v>
      </c>
      <c r="D348" s="108" t="s">
        <v>2534</v>
      </c>
      <c r="E348" s="108">
        <v>20</v>
      </c>
      <c r="F348" s="108"/>
      <c r="G348" s="108" t="s">
        <v>2745</v>
      </c>
    </row>
    <row r="349" spans="1:7" x14ac:dyDescent="0.3">
      <c r="A349" s="190">
        <v>45924</v>
      </c>
      <c r="B349" s="42" t="s">
        <v>2751</v>
      </c>
      <c r="C349" s="42" t="s">
        <v>2555</v>
      </c>
      <c r="D349" s="42" t="s">
        <v>2530</v>
      </c>
      <c r="E349" s="42">
        <v>380</v>
      </c>
      <c r="F349" s="42"/>
      <c r="G349" s="42" t="s">
        <v>2745</v>
      </c>
    </row>
    <row r="350" spans="1:7" x14ac:dyDescent="0.3">
      <c r="A350" s="189">
        <v>45926</v>
      </c>
      <c r="B350" s="108" t="s">
        <v>2752</v>
      </c>
      <c r="C350" s="108" t="s">
        <v>2553</v>
      </c>
      <c r="D350" s="108" t="s">
        <v>2534</v>
      </c>
      <c r="E350" s="108">
        <v>25</v>
      </c>
      <c r="F350" s="108"/>
      <c r="G350" s="108" t="s">
        <v>2745</v>
      </c>
    </row>
    <row r="351" spans="1:7" x14ac:dyDescent="0.3">
      <c r="A351" s="194">
        <v>45927</v>
      </c>
      <c r="B351" s="156" t="s">
        <v>1129</v>
      </c>
      <c r="C351" s="156" t="s">
        <v>2571</v>
      </c>
      <c r="D351" s="156" t="s">
        <v>2537</v>
      </c>
      <c r="E351" s="156">
        <v>49</v>
      </c>
      <c r="F351" s="156"/>
      <c r="G351" s="156" t="s">
        <v>2745</v>
      </c>
    </row>
    <row r="352" spans="1:7" x14ac:dyDescent="0.3">
      <c r="A352" s="189">
        <v>45927</v>
      </c>
      <c r="B352" s="108" t="s">
        <v>2600</v>
      </c>
      <c r="C352" s="108" t="s">
        <v>2553</v>
      </c>
      <c r="D352" s="108" t="s">
        <v>2534</v>
      </c>
      <c r="E352" s="108">
        <v>35</v>
      </c>
      <c r="F352" s="108"/>
      <c r="G352" s="108" t="s">
        <v>2745</v>
      </c>
    </row>
    <row r="353" spans="1:7" x14ac:dyDescent="0.3">
      <c r="A353" s="190">
        <v>45928</v>
      </c>
      <c r="B353" s="42" t="s">
        <v>2753</v>
      </c>
      <c r="C353" s="42" t="s">
        <v>2555</v>
      </c>
      <c r="D353" s="42" t="s">
        <v>2530</v>
      </c>
      <c r="E353" s="42">
        <v>90</v>
      </c>
      <c r="F353" s="42"/>
      <c r="G353" s="42" t="s">
        <v>2745</v>
      </c>
    </row>
    <row r="354" spans="1:7" x14ac:dyDescent="0.3">
      <c r="A354" s="190">
        <v>45929</v>
      </c>
      <c r="B354" s="42" t="s">
        <v>2578</v>
      </c>
      <c r="C354" s="42" t="s">
        <v>2555</v>
      </c>
      <c r="D354" s="42" t="s">
        <v>2530</v>
      </c>
      <c r="E354" s="42">
        <v>130</v>
      </c>
      <c r="F354" s="42"/>
      <c r="G354" s="42" t="s">
        <v>2745</v>
      </c>
    </row>
    <row r="355" spans="1:7" x14ac:dyDescent="0.3">
      <c r="A355" s="190">
        <v>45930</v>
      </c>
      <c r="B355" s="42" t="s">
        <v>2576</v>
      </c>
      <c r="C355" s="42" t="s">
        <v>2555</v>
      </c>
      <c r="D355" s="42" t="s">
        <v>2530</v>
      </c>
      <c r="E355" s="42">
        <v>160</v>
      </c>
      <c r="F355" s="42"/>
      <c r="G355" s="42" t="s">
        <v>2745</v>
      </c>
    </row>
    <row r="357" spans="1:7" x14ac:dyDescent="0.3">
      <c r="A357" s="186" t="s">
        <v>2754</v>
      </c>
      <c r="B357" s="187"/>
      <c r="C357" s="187"/>
      <c r="D357" s="187"/>
      <c r="E357" s="187"/>
      <c r="F357" s="187"/>
      <c r="G357" s="187"/>
    </row>
    <row r="358" spans="1:7" x14ac:dyDescent="0.3">
      <c r="A358" s="190">
        <v>45931</v>
      </c>
      <c r="B358" s="42" t="s">
        <v>2576</v>
      </c>
      <c r="C358" s="42" t="s">
        <v>2555</v>
      </c>
      <c r="D358" s="42" t="s">
        <v>2530</v>
      </c>
      <c r="E358" s="42">
        <v>50</v>
      </c>
      <c r="F358" s="42"/>
      <c r="G358" s="42" t="s">
        <v>2745</v>
      </c>
    </row>
    <row r="359" spans="1:7" x14ac:dyDescent="0.3">
      <c r="A359" s="194">
        <v>45931</v>
      </c>
      <c r="B359" s="156" t="s">
        <v>1129</v>
      </c>
      <c r="C359" s="156" t="s">
        <v>2571</v>
      </c>
      <c r="D359" s="156" t="s">
        <v>2537</v>
      </c>
      <c r="E359" s="156">
        <v>121</v>
      </c>
      <c r="F359" s="156"/>
      <c r="G359" s="156" t="s">
        <v>2745</v>
      </c>
    </row>
    <row r="360" spans="1:7" x14ac:dyDescent="0.3">
      <c r="A360" s="189">
        <v>45933</v>
      </c>
      <c r="B360" s="108" t="s">
        <v>2755</v>
      </c>
      <c r="C360" s="108" t="s">
        <v>2553</v>
      </c>
      <c r="D360" s="108" t="s">
        <v>2534</v>
      </c>
      <c r="E360" s="108">
        <v>75</v>
      </c>
      <c r="F360" s="108"/>
      <c r="G360" s="108" t="s">
        <v>2745</v>
      </c>
    </row>
    <row r="361" spans="1:7" x14ac:dyDescent="0.3">
      <c r="A361" s="189">
        <v>45933</v>
      </c>
      <c r="B361" s="108" t="s">
        <v>2756</v>
      </c>
      <c r="C361" s="108" t="s">
        <v>2553</v>
      </c>
      <c r="D361" s="108" t="s">
        <v>2534</v>
      </c>
      <c r="E361" s="108">
        <v>100</v>
      </c>
      <c r="F361" s="108"/>
      <c r="G361" s="108" t="s">
        <v>2745</v>
      </c>
    </row>
    <row r="362" spans="1:7" x14ac:dyDescent="0.3">
      <c r="A362" s="189">
        <v>45933</v>
      </c>
      <c r="B362" s="108" t="s">
        <v>2755</v>
      </c>
      <c r="C362" s="108" t="s">
        <v>2553</v>
      </c>
      <c r="D362" s="108" t="s">
        <v>2534</v>
      </c>
      <c r="E362" s="108">
        <v>100</v>
      </c>
      <c r="F362" s="108"/>
      <c r="G362" s="108" t="s">
        <v>2745</v>
      </c>
    </row>
    <row r="363" spans="1:7" x14ac:dyDescent="0.3">
      <c r="A363" s="190">
        <v>45933</v>
      </c>
      <c r="B363" s="42" t="s">
        <v>2577</v>
      </c>
      <c r="C363" s="42" t="s">
        <v>2555</v>
      </c>
      <c r="D363" s="42" t="s">
        <v>2530</v>
      </c>
      <c r="E363" s="42">
        <v>30</v>
      </c>
      <c r="F363" s="42"/>
      <c r="G363" s="42" t="s">
        <v>2745</v>
      </c>
    </row>
    <row r="364" spans="1:7" x14ac:dyDescent="0.3">
      <c r="A364" s="189">
        <v>45934</v>
      </c>
      <c r="B364" s="108" t="s">
        <v>2755</v>
      </c>
      <c r="C364" s="108" t="s">
        <v>2553</v>
      </c>
      <c r="D364" s="108" t="s">
        <v>2534</v>
      </c>
      <c r="E364" s="108">
        <v>100</v>
      </c>
      <c r="F364" s="108"/>
      <c r="G364" s="108" t="s">
        <v>2745</v>
      </c>
    </row>
    <row r="365" spans="1:7" x14ac:dyDescent="0.3">
      <c r="A365" s="189">
        <v>45935</v>
      </c>
      <c r="B365" s="108" t="s">
        <v>2755</v>
      </c>
      <c r="C365" s="108" t="s">
        <v>2553</v>
      </c>
      <c r="D365" s="108" t="s">
        <v>2534</v>
      </c>
      <c r="E365" s="108">
        <v>35</v>
      </c>
      <c r="F365" s="108"/>
      <c r="G365" s="108" t="s">
        <v>2745</v>
      </c>
    </row>
    <row r="366" spans="1:7" x14ac:dyDescent="0.3">
      <c r="A366" s="190">
        <v>45935</v>
      </c>
      <c r="B366" s="42" t="s">
        <v>2578</v>
      </c>
      <c r="C366" s="42" t="s">
        <v>2555</v>
      </c>
      <c r="D366" s="42" t="s">
        <v>2530</v>
      </c>
      <c r="E366" s="42">
        <v>82</v>
      </c>
      <c r="F366" s="42"/>
      <c r="G366" s="42" t="s">
        <v>2745</v>
      </c>
    </row>
    <row r="367" spans="1:7" x14ac:dyDescent="0.3">
      <c r="A367" s="189">
        <v>45936</v>
      </c>
      <c r="B367" s="108" t="s">
        <v>2756</v>
      </c>
      <c r="C367" s="108" t="s">
        <v>2553</v>
      </c>
      <c r="D367" s="108" t="s">
        <v>2534</v>
      </c>
      <c r="E367" s="108">
        <v>30</v>
      </c>
      <c r="F367" s="108"/>
      <c r="G367" s="108" t="s">
        <v>2745</v>
      </c>
    </row>
    <row r="368" spans="1:7" x14ac:dyDescent="0.3">
      <c r="A368" s="190">
        <v>45939</v>
      </c>
      <c r="B368" s="42" t="s">
        <v>2577</v>
      </c>
      <c r="C368" s="42" t="s">
        <v>2555</v>
      </c>
      <c r="D368" s="42" t="s">
        <v>2530</v>
      </c>
      <c r="E368" s="42">
        <v>10</v>
      </c>
      <c r="F368" s="42"/>
      <c r="G368" s="42" t="s">
        <v>2745</v>
      </c>
    </row>
    <row r="369" spans="1:7" x14ac:dyDescent="0.3">
      <c r="A369" s="193">
        <v>45939</v>
      </c>
      <c r="B369" s="181" t="s">
        <v>2757</v>
      </c>
      <c r="C369" s="181" t="s">
        <v>2563</v>
      </c>
      <c r="D369" s="181" t="s">
        <v>2532</v>
      </c>
      <c r="E369" s="181">
        <v>100</v>
      </c>
      <c r="F369" s="181"/>
      <c r="G369" s="181" t="s">
        <v>2745</v>
      </c>
    </row>
    <row r="370" spans="1:7" x14ac:dyDescent="0.3">
      <c r="A370" s="190">
        <v>45939</v>
      </c>
      <c r="B370" s="42" t="s">
        <v>2574</v>
      </c>
      <c r="C370" s="42" t="s">
        <v>2555</v>
      </c>
      <c r="D370" s="42" t="s">
        <v>2530</v>
      </c>
      <c r="E370" s="42">
        <v>35</v>
      </c>
      <c r="F370" s="42"/>
      <c r="G370" s="42" t="s">
        <v>2745</v>
      </c>
    </row>
    <row r="371" spans="1:7" x14ac:dyDescent="0.3">
      <c r="A371" s="193">
        <v>45940</v>
      </c>
      <c r="B371" s="181" t="s">
        <v>2758</v>
      </c>
      <c r="C371" s="181" t="s">
        <v>2563</v>
      </c>
      <c r="D371" s="181" t="s">
        <v>2532</v>
      </c>
      <c r="E371" s="181">
        <v>10</v>
      </c>
      <c r="F371" s="181"/>
      <c r="G371" s="181" t="s">
        <v>2745</v>
      </c>
    </row>
    <row r="372" spans="1:7" x14ac:dyDescent="0.3">
      <c r="A372" s="195">
        <v>45940</v>
      </c>
      <c r="B372" s="54" t="s">
        <v>2572</v>
      </c>
      <c r="C372" s="54" t="s">
        <v>2573</v>
      </c>
      <c r="D372" s="54" t="s">
        <v>2535</v>
      </c>
      <c r="E372" s="54">
        <v>100</v>
      </c>
      <c r="F372" s="54"/>
      <c r="G372" s="54" t="s">
        <v>2745</v>
      </c>
    </row>
    <row r="373" spans="1:7" x14ac:dyDescent="0.3">
      <c r="A373" s="190">
        <v>45940</v>
      </c>
      <c r="B373" s="42" t="s">
        <v>2759</v>
      </c>
      <c r="C373" s="42" t="s">
        <v>2555</v>
      </c>
      <c r="D373" s="42" t="s">
        <v>2530</v>
      </c>
      <c r="E373" s="42">
        <v>888</v>
      </c>
      <c r="F373" s="42"/>
      <c r="G373" s="42" t="s">
        <v>2745</v>
      </c>
    </row>
    <row r="374" spans="1:7" x14ac:dyDescent="0.3">
      <c r="A374" s="193">
        <v>45941</v>
      </c>
      <c r="B374" s="181" t="s">
        <v>2597</v>
      </c>
      <c r="C374" s="181" t="s">
        <v>2563</v>
      </c>
      <c r="D374" s="181" t="s">
        <v>2532</v>
      </c>
      <c r="E374" s="181">
        <v>66</v>
      </c>
      <c r="F374" s="181"/>
      <c r="G374" s="181" t="s">
        <v>2745</v>
      </c>
    </row>
    <row r="375" spans="1:7" x14ac:dyDescent="0.3">
      <c r="A375" s="190">
        <v>45941</v>
      </c>
      <c r="B375" s="42" t="s">
        <v>2760</v>
      </c>
      <c r="C375" s="42" t="s">
        <v>2555</v>
      </c>
      <c r="D375" s="42" t="s">
        <v>2530</v>
      </c>
      <c r="E375" s="42">
        <v>130</v>
      </c>
      <c r="F375" s="42"/>
      <c r="G375" s="42" t="s">
        <v>2745</v>
      </c>
    </row>
    <row r="376" spans="1:7" x14ac:dyDescent="0.3">
      <c r="A376" s="190">
        <v>45941</v>
      </c>
      <c r="B376" s="42" t="s">
        <v>2761</v>
      </c>
      <c r="C376" s="42" t="s">
        <v>2555</v>
      </c>
      <c r="D376" s="42" t="s">
        <v>2530</v>
      </c>
      <c r="E376" s="42">
        <v>105</v>
      </c>
      <c r="F376" s="42"/>
      <c r="G376" s="42" t="s">
        <v>2745</v>
      </c>
    </row>
    <row r="377" spans="1:7" x14ac:dyDescent="0.3">
      <c r="A377" s="188">
        <v>45942</v>
      </c>
      <c r="B377" s="112" t="s">
        <v>2762</v>
      </c>
      <c r="C377" s="112" t="s">
        <v>2763</v>
      </c>
      <c r="D377" s="112" t="s">
        <v>2536</v>
      </c>
      <c r="E377" s="112">
        <v>37100</v>
      </c>
      <c r="F377" s="112"/>
      <c r="G377" s="112" t="s">
        <v>2745</v>
      </c>
    </row>
    <row r="378" spans="1:7" x14ac:dyDescent="0.3">
      <c r="A378" s="189">
        <v>45944</v>
      </c>
      <c r="B378" s="108" t="s">
        <v>2756</v>
      </c>
      <c r="C378" s="108" t="s">
        <v>2553</v>
      </c>
      <c r="D378" s="108" t="s">
        <v>2534</v>
      </c>
      <c r="E378" s="108">
        <v>30</v>
      </c>
      <c r="F378" s="108"/>
      <c r="G378" s="108" t="s">
        <v>2745</v>
      </c>
    </row>
    <row r="379" spans="1:7" x14ac:dyDescent="0.3">
      <c r="A379" s="190">
        <v>45944</v>
      </c>
      <c r="B379" s="42" t="s">
        <v>2764</v>
      </c>
      <c r="C379" s="42" t="s">
        <v>2555</v>
      </c>
      <c r="D379" s="42" t="s">
        <v>2530</v>
      </c>
      <c r="E379" s="42">
        <v>1460</v>
      </c>
      <c r="F379" s="42"/>
      <c r="G379" s="42" t="s">
        <v>2745</v>
      </c>
    </row>
    <row r="380" spans="1:7" x14ac:dyDescent="0.3">
      <c r="A380" s="190">
        <v>45944</v>
      </c>
      <c r="B380" s="42" t="s">
        <v>2765</v>
      </c>
      <c r="C380" s="42" t="s">
        <v>2555</v>
      </c>
      <c r="D380" s="42" t="s">
        <v>2530</v>
      </c>
      <c r="E380" s="42">
        <v>850</v>
      </c>
      <c r="F380" s="42"/>
      <c r="G380" s="42" t="s">
        <v>2745</v>
      </c>
    </row>
    <row r="381" spans="1:7" x14ac:dyDescent="0.3">
      <c r="A381" s="189">
        <v>45945</v>
      </c>
      <c r="B381" s="108" t="s">
        <v>2766</v>
      </c>
      <c r="C381" s="108" t="s">
        <v>2553</v>
      </c>
      <c r="D381" s="108" t="s">
        <v>2534</v>
      </c>
      <c r="E381" s="108">
        <v>50</v>
      </c>
      <c r="F381" s="108"/>
      <c r="G381" s="108" t="s">
        <v>2745</v>
      </c>
    </row>
    <row r="382" spans="1:7" x14ac:dyDescent="0.3">
      <c r="A382" s="190">
        <v>45946</v>
      </c>
      <c r="B382" s="42" t="s">
        <v>2605</v>
      </c>
      <c r="C382" s="42" t="s">
        <v>2555</v>
      </c>
      <c r="D382" s="42" t="s">
        <v>2530</v>
      </c>
      <c r="E382" s="42">
        <v>115</v>
      </c>
      <c r="F382" s="42"/>
      <c r="G382" s="42" t="s">
        <v>2745</v>
      </c>
    </row>
    <row r="383" spans="1:7" x14ac:dyDescent="0.3">
      <c r="A383" s="190">
        <v>45947</v>
      </c>
      <c r="B383" s="42" t="s">
        <v>2591</v>
      </c>
      <c r="C383" s="42" t="s">
        <v>2555</v>
      </c>
      <c r="D383" s="42" t="s">
        <v>2530</v>
      </c>
      <c r="E383" s="42">
        <v>75</v>
      </c>
      <c r="F383" s="42"/>
      <c r="G383" s="42" t="s">
        <v>2745</v>
      </c>
    </row>
    <row r="384" spans="1:7" x14ac:dyDescent="0.3">
      <c r="A384" s="190">
        <v>45947</v>
      </c>
      <c r="B384" s="42" t="s">
        <v>2574</v>
      </c>
      <c r="C384" s="42" t="s">
        <v>2555</v>
      </c>
      <c r="D384" s="42" t="s">
        <v>2530</v>
      </c>
      <c r="E384" s="42">
        <v>112</v>
      </c>
      <c r="F384" s="42"/>
      <c r="G384" s="42" t="s">
        <v>2745</v>
      </c>
    </row>
    <row r="385" spans="1:7" x14ac:dyDescent="0.3">
      <c r="A385" s="190">
        <v>45947</v>
      </c>
      <c r="B385" s="42" t="s">
        <v>2767</v>
      </c>
      <c r="C385" s="42" t="s">
        <v>2555</v>
      </c>
      <c r="D385" s="42" t="s">
        <v>2530</v>
      </c>
      <c r="E385" s="42">
        <v>70</v>
      </c>
      <c r="F385" s="42"/>
      <c r="G385" s="42" t="s">
        <v>2745</v>
      </c>
    </row>
    <row r="386" spans="1:7" x14ac:dyDescent="0.3">
      <c r="A386" s="188">
        <v>45948</v>
      </c>
      <c r="B386" s="112" t="s">
        <v>2768</v>
      </c>
      <c r="C386" s="112" t="s">
        <v>2586</v>
      </c>
      <c r="D386" s="112" t="s">
        <v>2536</v>
      </c>
      <c r="E386" s="112">
        <v>1390</v>
      </c>
      <c r="F386" s="112"/>
      <c r="G386" s="112" t="s">
        <v>2745</v>
      </c>
    </row>
    <row r="387" spans="1:7" x14ac:dyDescent="0.3">
      <c r="A387" s="189">
        <v>45948</v>
      </c>
      <c r="B387" s="108" t="s">
        <v>2769</v>
      </c>
      <c r="C387" s="108" t="s">
        <v>2553</v>
      </c>
      <c r="D387" s="108" t="s">
        <v>2534</v>
      </c>
      <c r="E387" s="108">
        <v>350</v>
      </c>
      <c r="F387" s="108"/>
      <c r="G387" s="108" t="s">
        <v>2745</v>
      </c>
    </row>
    <row r="388" spans="1:7" x14ac:dyDescent="0.3">
      <c r="A388" s="188">
        <v>45948</v>
      </c>
      <c r="B388" s="112" t="s">
        <v>2770</v>
      </c>
      <c r="C388" s="112" t="s">
        <v>2771</v>
      </c>
      <c r="D388" s="112" t="s">
        <v>2536</v>
      </c>
      <c r="E388" s="112">
        <v>300</v>
      </c>
      <c r="F388" s="112"/>
      <c r="G388" s="112" t="s">
        <v>2745</v>
      </c>
    </row>
    <row r="389" spans="1:7" x14ac:dyDescent="0.3">
      <c r="A389" s="188">
        <v>45948</v>
      </c>
      <c r="B389" s="112" t="s">
        <v>2772</v>
      </c>
      <c r="C389" s="112" t="s">
        <v>2773</v>
      </c>
      <c r="D389" s="112" t="s">
        <v>2536</v>
      </c>
      <c r="E389" s="112">
        <v>320</v>
      </c>
      <c r="F389" s="112"/>
      <c r="G389" s="112" t="s">
        <v>2745</v>
      </c>
    </row>
    <row r="390" spans="1:7" x14ac:dyDescent="0.3">
      <c r="A390" s="188">
        <v>45948</v>
      </c>
      <c r="B390" s="112" t="s">
        <v>2762</v>
      </c>
      <c r="C390" s="112" t="s">
        <v>2763</v>
      </c>
      <c r="D390" s="112" t="s">
        <v>2536</v>
      </c>
      <c r="E390" s="112">
        <v>2851</v>
      </c>
      <c r="F390" s="112"/>
      <c r="G390" s="112" t="s">
        <v>2745</v>
      </c>
    </row>
    <row r="391" spans="1:7" x14ac:dyDescent="0.3">
      <c r="A391" s="193">
        <v>45950</v>
      </c>
      <c r="B391" s="181" t="s">
        <v>2758</v>
      </c>
      <c r="C391" s="181" t="s">
        <v>2563</v>
      </c>
      <c r="D391" s="181" t="s">
        <v>2532</v>
      </c>
      <c r="E391" s="181">
        <v>350</v>
      </c>
      <c r="F391" s="181"/>
      <c r="G391" s="181" t="s">
        <v>2745</v>
      </c>
    </row>
    <row r="392" spans="1:7" x14ac:dyDescent="0.3">
      <c r="A392" s="190">
        <v>45950</v>
      </c>
      <c r="B392" s="42" t="s">
        <v>2578</v>
      </c>
      <c r="C392" s="42" t="s">
        <v>2555</v>
      </c>
      <c r="D392" s="42" t="s">
        <v>2530</v>
      </c>
      <c r="E392" s="42">
        <v>80</v>
      </c>
      <c r="F392" s="42"/>
      <c r="G392" s="42" t="s">
        <v>2745</v>
      </c>
    </row>
    <row r="393" spans="1:7" x14ac:dyDescent="0.3">
      <c r="A393" s="193">
        <v>45950</v>
      </c>
      <c r="B393" s="181" t="s">
        <v>2758</v>
      </c>
      <c r="C393" s="181" t="s">
        <v>2563</v>
      </c>
      <c r="D393" s="181" t="s">
        <v>2532</v>
      </c>
      <c r="E393" s="181">
        <v>200</v>
      </c>
      <c r="F393" s="181"/>
      <c r="G393" s="181" t="s">
        <v>2745</v>
      </c>
    </row>
    <row r="394" spans="1:7" x14ac:dyDescent="0.3">
      <c r="A394" s="190">
        <v>45950</v>
      </c>
      <c r="B394" s="42" t="s">
        <v>2577</v>
      </c>
      <c r="C394" s="42" t="s">
        <v>2555</v>
      </c>
      <c r="D394" s="42" t="s">
        <v>2530</v>
      </c>
      <c r="E394" s="42">
        <v>10</v>
      </c>
      <c r="F394" s="42"/>
      <c r="G394" s="42" t="s">
        <v>2745</v>
      </c>
    </row>
    <row r="395" spans="1:7" x14ac:dyDescent="0.3">
      <c r="A395" s="188">
        <v>45950</v>
      </c>
      <c r="B395" s="112" t="s">
        <v>2774</v>
      </c>
      <c r="C395" s="112" t="s">
        <v>2665</v>
      </c>
      <c r="D395" s="112" t="s">
        <v>2536</v>
      </c>
      <c r="E395" s="112">
        <v>180</v>
      </c>
      <c r="F395" s="112"/>
      <c r="G395" s="112" t="s">
        <v>2745</v>
      </c>
    </row>
    <row r="396" spans="1:7" x14ac:dyDescent="0.3">
      <c r="A396" s="190">
        <v>45950</v>
      </c>
      <c r="B396" s="42" t="s">
        <v>2577</v>
      </c>
      <c r="C396" s="42" t="s">
        <v>2555</v>
      </c>
      <c r="D396" s="42" t="s">
        <v>2530</v>
      </c>
      <c r="E396" s="42">
        <v>20</v>
      </c>
      <c r="F396" s="42"/>
      <c r="G396" s="42" t="s">
        <v>2745</v>
      </c>
    </row>
    <row r="397" spans="1:7" x14ac:dyDescent="0.3">
      <c r="A397" s="193">
        <v>45951</v>
      </c>
      <c r="B397" s="181" t="s">
        <v>2597</v>
      </c>
      <c r="C397" s="181" t="s">
        <v>2563</v>
      </c>
      <c r="D397" s="181" t="s">
        <v>2532</v>
      </c>
      <c r="E397" s="181">
        <v>680</v>
      </c>
      <c r="F397" s="181"/>
      <c r="G397" s="181" t="s">
        <v>2775</v>
      </c>
    </row>
    <row r="398" spans="1:7" x14ac:dyDescent="0.3">
      <c r="A398" s="189">
        <v>45953</v>
      </c>
      <c r="B398" s="108" t="s">
        <v>2776</v>
      </c>
      <c r="C398" s="108" t="s">
        <v>2553</v>
      </c>
      <c r="D398" s="108" t="s">
        <v>2534</v>
      </c>
      <c r="E398" s="108">
        <v>525</v>
      </c>
      <c r="F398" s="108"/>
      <c r="G398" s="108" t="s">
        <v>2775</v>
      </c>
    </row>
    <row r="399" spans="1:7" x14ac:dyDescent="0.3">
      <c r="A399" s="190">
        <v>45955</v>
      </c>
      <c r="B399" s="42" t="s">
        <v>2764</v>
      </c>
      <c r="C399" s="42" t="s">
        <v>2555</v>
      </c>
      <c r="D399" s="42" t="s">
        <v>2530</v>
      </c>
      <c r="E399" s="42">
        <v>180</v>
      </c>
      <c r="F399" s="42"/>
      <c r="G399" s="42" t="s">
        <v>2775</v>
      </c>
    </row>
    <row r="400" spans="1:7" x14ac:dyDescent="0.3">
      <c r="A400" s="190">
        <v>45955</v>
      </c>
      <c r="B400" s="42" t="s">
        <v>2777</v>
      </c>
      <c r="C400" s="42" t="s">
        <v>2555</v>
      </c>
      <c r="D400" s="42" t="s">
        <v>2530</v>
      </c>
      <c r="E400" s="42">
        <v>90</v>
      </c>
      <c r="F400" s="42"/>
      <c r="G400" s="42" t="s">
        <v>2775</v>
      </c>
    </row>
    <row r="401" spans="1:7" x14ac:dyDescent="0.3">
      <c r="A401" s="190">
        <v>45955</v>
      </c>
      <c r="B401" s="42" t="s">
        <v>2574</v>
      </c>
      <c r="C401" s="42" t="s">
        <v>2555</v>
      </c>
      <c r="D401" s="42" t="s">
        <v>2530</v>
      </c>
      <c r="E401" s="42">
        <v>30</v>
      </c>
      <c r="F401" s="42"/>
      <c r="G401" s="42" t="s">
        <v>2775</v>
      </c>
    </row>
    <row r="402" spans="1:7" x14ac:dyDescent="0.3">
      <c r="A402" s="190">
        <v>45955</v>
      </c>
      <c r="B402" s="42" t="s">
        <v>2778</v>
      </c>
      <c r="C402" s="42" t="s">
        <v>2555</v>
      </c>
      <c r="D402" s="42" t="s">
        <v>2530</v>
      </c>
      <c r="E402" s="42">
        <v>660</v>
      </c>
      <c r="F402" s="42"/>
      <c r="G402" s="42" t="s">
        <v>2775</v>
      </c>
    </row>
    <row r="403" spans="1:7" x14ac:dyDescent="0.3">
      <c r="A403" s="190">
        <v>45955</v>
      </c>
      <c r="B403" s="42" t="s">
        <v>2779</v>
      </c>
      <c r="C403" s="42" t="s">
        <v>2555</v>
      </c>
      <c r="D403" s="42" t="s">
        <v>2530</v>
      </c>
      <c r="E403" s="42">
        <v>60</v>
      </c>
      <c r="F403" s="42"/>
      <c r="G403" s="42" t="s">
        <v>2775</v>
      </c>
    </row>
    <row r="404" spans="1:7" x14ac:dyDescent="0.3">
      <c r="A404" s="190">
        <v>45955</v>
      </c>
      <c r="B404" s="42" t="s">
        <v>2780</v>
      </c>
      <c r="C404" s="42" t="s">
        <v>2555</v>
      </c>
      <c r="D404" s="42" t="s">
        <v>2530</v>
      </c>
      <c r="E404" s="42">
        <v>150</v>
      </c>
      <c r="F404" s="42"/>
      <c r="G404" s="42" t="s">
        <v>2775</v>
      </c>
    </row>
    <row r="405" spans="1:7" x14ac:dyDescent="0.3">
      <c r="A405" s="190">
        <v>45957</v>
      </c>
      <c r="B405" s="42" t="s">
        <v>2648</v>
      </c>
      <c r="C405" s="42" t="s">
        <v>2555</v>
      </c>
      <c r="D405" s="42" t="s">
        <v>2530</v>
      </c>
      <c r="E405" s="42">
        <v>60</v>
      </c>
      <c r="F405" s="42"/>
      <c r="G405" s="42" t="s">
        <v>2775</v>
      </c>
    </row>
    <row r="406" spans="1:7" x14ac:dyDescent="0.3">
      <c r="A406" s="189">
        <v>45957</v>
      </c>
      <c r="B406" s="108" t="s">
        <v>2560</v>
      </c>
      <c r="C406" s="108" t="s">
        <v>2553</v>
      </c>
      <c r="D406" s="108" t="s">
        <v>2534</v>
      </c>
      <c r="E406" s="108">
        <v>247</v>
      </c>
      <c r="F406" s="108"/>
      <c r="G406" s="108" t="s">
        <v>2775</v>
      </c>
    </row>
    <row r="407" spans="1:7" x14ac:dyDescent="0.3">
      <c r="A407" s="189">
        <v>45958</v>
      </c>
      <c r="B407" s="108" t="s">
        <v>2564</v>
      </c>
      <c r="C407" s="108" t="s">
        <v>2553</v>
      </c>
      <c r="D407" s="108" t="s">
        <v>2534</v>
      </c>
      <c r="E407" s="108">
        <v>396.45</v>
      </c>
      <c r="F407" s="108"/>
      <c r="G407" s="108" t="s">
        <v>2775</v>
      </c>
    </row>
    <row r="408" spans="1:7" x14ac:dyDescent="0.3">
      <c r="A408" s="190">
        <v>45961</v>
      </c>
      <c r="B408" s="42" t="s">
        <v>2622</v>
      </c>
      <c r="C408" s="42" t="s">
        <v>2555</v>
      </c>
      <c r="D408" s="42" t="s">
        <v>2530</v>
      </c>
      <c r="E408" s="42">
        <v>84</v>
      </c>
      <c r="F408" s="42"/>
      <c r="G408" s="42" t="s">
        <v>2775</v>
      </c>
    </row>
    <row r="410" spans="1:7" x14ac:dyDescent="0.3">
      <c r="A410" s="186" t="s">
        <v>2781</v>
      </c>
      <c r="B410" s="187"/>
      <c r="C410" s="187"/>
      <c r="D410" s="187"/>
      <c r="E410" s="187"/>
      <c r="F410" s="187"/>
      <c r="G410" s="187"/>
    </row>
    <row r="411" spans="1:7" x14ac:dyDescent="0.3">
      <c r="A411" s="190">
        <v>45962</v>
      </c>
      <c r="B411" s="42" t="s">
        <v>2622</v>
      </c>
      <c r="C411" s="42" t="s">
        <v>2555</v>
      </c>
      <c r="D411" s="42" t="s">
        <v>2530</v>
      </c>
      <c r="E411" s="42">
        <v>43</v>
      </c>
      <c r="F411" s="42"/>
      <c r="G411" s="42" t="s">
        <v>2775</v>
      </c>
    </row>
    <row r="412" spans="1:7" x14ac:dyDescent="0.3">
      <c r="A412" s="190">
        <v>45962</v>
      </c>
      <c r="B412" s="42" t="s">
        <v>2622</v>
      </c>
      <c r="C412" s="42" t="s">
        <v>2555</v>
      </c>
      <c r="D412" s="42" t="s">
        <v>2530</v>
      </c>
      <c r="E412" s="42">
        <v>50</v>
      </c>
      <c r="F412" s="42"/>
      <c r="G412" s="42" t="s">
        <v>2775</v>
      </c>
    </row>
    <row r="413" spans="1:7" x14ac:dyDescent="0.3">
      <c r="A413" s="190">
        <v>45963</v>
      </c>
      <c r="B413" s="42" t="s">
        <v>2622</v>
      </c>
      <c r="C413" s="42" t="s">
        <v>2555</v>
      </c>
      <c r="D413" s="42" t="s">
        <v>2530</v>
      </c>
      <c r="E413" s="42">
        <v>86</v>
      </c>
      <c r="F413" s="42"/>
      <c r="G413" s="42" t="s">
        <v>2775</v>
      </c>
    </row>
    <row r="414" spans="1:7" x14ac:dyDescent="0.3">
      <c r="A414" s="193">
        <v>45964</v>
      </c>
      <c r="B414" s="181" t="s">
        <v>2782</v>
      </c>
      <c r="C414" s="181" t="s">
        <v>2563</v>
      </c>
      <c r="D414" s="181" t="s">
        <v>2532</v>
      </c>
      <c r="E414" s="181">
        <v>40</v>
      </c>
      <c r="F414" s="181"/>
      <c r="G414" s="181" t="s">
        <v>2775</v>
      </c>
    </row>
    <row r="415" spans="1:7" x14ac:dyDescent="0.3">
      <c r="A415" s="194">
        <v>45965</v>
      </c>
      <c r="B415" s="156" t="s">
        <v>1129</v>
      </c>
      <c r="C415" s="156" t="s">
        <v>2571</v>
      </c>
      <c r="D415" s="156" t="s">
        <v>2537</v>
      </c>
      <c r="E415" s="156">
        <v>3599</v>
      </c>
      <c r="F415" s="156"/>
      <c r="G415" s="156" t="s">
        <v>2775</v>
      </c>
    </row>
    <row r="416" spans="1:7" x14ac:dyDescent="0.3">
      <c r="A416" s="190">
        <v>45967</v>
      </c>
      <c r="B416" s="42" t="s">
        <v>2783</v>
      </c>
      <c r="C416" s="42" t="s">
        <v>2555</v>
      </c>
      <c r="D416" s="42" t="s">
        <v>2530</v>
      </c>
      <c r="E416" s="42">
        <v>288</v>
      </c>
      <c r="F416" s="42"/>
      <c r="G416" s="42" t="s">
        <v>2775</v>
      </c>
    </row>
    <row r="417" spans="1:7" x14ac:dyDescent="0.3">
      <c r="A417" s="190">
        <v>45967</v>
      </c>
      <c r="B417" s="42" t="s">
        <v>2784</v>
      </c>
      <c r="C417" s="42" t="s">
        <v>2555</v>
      </c>
      <c r="D417" s="42" t="s">
        <v>2530</v>
      </c>
      <c r="E417" s="42">
        <v>120</v>
      </c>
      <c r="F417" s="42"/>
      <c r="G417" s="42" t="s">
        <v>2775</v>
      </c>
    </row>
    <row r="418" spans="1:7" x14ac:dyDescent="0.3">
      <c r="A418" s="190">
        <v>45967</v>
      </c>
      <c r="B418" s="42" t="s">
        <v>2556</v>
      </c>
      <c r="C418" s="42" t="s">
        <v>2555</v>
      </c>
      <c r="D418" s="42" t="s">
        <v>2530</v>
      </c>
      <c r="E418" s="42">
        <v>169</v>
      </c>
      <c r="F418" s="42"/>
      <c r="G418" s="42" t="s">
        <v>2775</v>
      </c>
    </row>
    <row r="419" spans="1:7" x14ac:dyDescent="0.3">
      <c r="A419" s="190">
        <v>45969</v>
      </c>
      <c r="B419" s="42" t="s">
        <v>2785</v>
      </c>
      <c r="C419" s="42" t="s">
        <v>2555</v>
      </c>
      <c r="D419" s="42" t="s">
        <v>2530</v>
      </c>
      <c r="E419" s="42">
        <v>45</v>
      </c>
      <c r="F419" s="42"/>
      <c r="G419" s="42" t="s">
        <v>2775</v>
      </c>
    </row>
    <row r="420" spans="1:7" x14ac:dyDescent="0.3">
      <c r="A420" s="190">
        <v>45969</v>
      </c>
      <c r="B420" s="42" t="s">
        <v>2622</v>
      </c>
      <c r="C420" s="42" t="s">
        <v>2555</v>
      </c>
      <c r="D420" s="42" t="s">
        <v>2530</v>
      </c>
      <c r="E420" s="42">
        <v>73</v>
      </c>
      <c r="F420" s="42"/>
      <c r="G420" s="42" t="s">
        <v>2775</v>
      </c>
    </row>
    <row r="421" spans="1:7" x14ac:dyDescent="0.3">
      <c r="A421" s="196">
        <v>45970</v>
      </c>
      <c r="B421" s="44" t="s">
        <v>2786</v>
      </c>
      <c r="C421" s="44" t="s">
        <v>2594</v>
      </c>
      <c r="D421" s="44" t="s">
        <v>2531</v>
      </c>
      <c r="E421" s="44">
        <v>208</v>
      </c>
      <c r="F421" s="44"/>
      <c r="G421" s="44" t="s">
        <v>2775</v>
      </c>
    </row>
    <row r="422" spans="1:7" x14ac:dyDescent="0.3">
      <c r="A422" s="190">
        <v>45970</v>
      </c>
      <c r="B422" s="42" t="s">
        <v>2556</v>
      </c>
      <c r="C422" s="42" t="s">
        <v>2555</v>
      </c>
      <c r="D422" s="42" t="s">
        <v>2530</v>
      </c>
      <c r="E422" s="42">
        <v>145</v>
      </c>
      <c r="F422" s="42"/>
      <c r="G422" s="42" t="s">
        <v>2775</v>
      </c>
    </row>
    <row r="423" spans="1:7" x14ac:dyDescent="0.3">
      <c r="A423" s="188">
        <v>45970</v>
      </c>
      <c r="B423" s="112" t="s">
        <v>2787</v>
      </c>
      <c r="C423" s="112" t="s">
        <v>2550</v>
      </c>
      <c r="D423" s="112" t="s">
        <v>2536</v>
      </c>
      <c r="E423" s="112">
        <v>250</v>
      </c>
      <c r="F423" s="112"/>
      <c r="G423" s="112" t="s">
        <v>2775</v>
      </c>
    </row>
    <row r="424" spans="1:7" x14ac:dyDescent="0.3">
      <c r="A424" s="188">
        <v>45970</v>
      </c>
      <c r="B424" s="112" t="s">
        <v>2788</v>
      </c>
      <c r="C424" s="112" t="s">
        <v>2550</v>
      </c>
      <c r="D424" s="112" t="s">
        <v>2536</v>
      </c>
      <c r="E424" s="112">
        <v>450</v>
      </c>
      <c r="F424" s="112"/>
      <c r="G424" s="112" t="s">
        <v>2775</v>
      </c>
    </row>
    <row r="425" spans="1:7" x14ac:dyDescent="0.3">
      <c r="A425" s="189">
        <v>45971</v>
      </c>
      <c r="B425" s="108" t="s">
        <v>2737</v>
      </c>
      <c r="C425" s="108" t="s">
        <v>2553</v>
      </c>
      <c r="D425" s="108" t="s">
        <v>2534</v>
      </c>
      <c r="E425" s="108">
        <v>522</v>
      </c>
      <c r="F425" s="108"/>
      <c r="G425" s="108" t="s">
        <v>2775</v>
      </c>
    </row>
    <row r="426" spans="1:7" x14ac:dyDescent="0.3">
      <c r="A426" s="189">
        <v>45972</v>
      </c>
      <c r="B426" s="108" t="s">
        <v>2647</v>
      </c>
      <c r="C426" s="108" t="s">
        <v>2553</v>
      </c>
      <c r="D426" s="108" t="s">
        <v>2534</v>
      </c>
      <c r="E426" s="108">
        <v>300</v>
      </c>
      <c r="F426" s="108"/>
      <c r="G426" s="108" t="s">
        <v>2775</v>
      </c>
    </row>
    <row r="427" spans="1:7" x14ac:dyDescent="0.3">
      <c r="A427" s="190">
        <v>45973</v>
      </c>
      <c r="B427" s="42" t="s">
        <v>2622</v>
      </c>
      <c r="C427" s="42" t="s">
        <v>2555</v>
      </c>
      <c r="D427" s="42" t="s">
        <v>2530</v>
      </c>
      <c r="E427" s="42">
        <v>35</v>
      </c>
      <c r="F427" s="42"/>
      <c r="G427" s="42" t="s">
        <v>2775</v>
      </c>
    </row>
    <row r="428" spans="1:7" x14ac:dyDescent="0.3">
      <c r="A428" s="198">
        <v>45974</v>
      </c>
      <c r="B428" s="183" t="s">
        <v>2726</v>
      </c>
      <c r="C428" s="183" t="s">
        <v>2610</v>
      </c>
      <c r="D428" s="183" t="s">
        <v>2538</v>
      </c>
      <c r="E428" s="183">
        <v>2000.22</v>
      </c>
      <c r="F428" s="183"/>
      <c r="G428" s="183" t="s">
        <v>2775</v>
      </c>
    </row>
    <row r="429" spans="1:7" x14ac:dyDescent="0.3">
      <c r="A429" s="189">
        <v>45974</v>
      </c>
      <c r="B429" s="108" t="s">
        <v>2602</v>
      </c>
      <c r="C429" s="108" t="s">
        <v>2553</v>
      </c>
      <c r="D429" s="108" t="s">
        <v>2534</v>
      </c>
      <c r="E429" s="108">
        <v>263</v>
      </c>
      <c r="F429" s="108"/>
      <c r="G429" s="108" t="s">
        <v>2775</v>
      </c>
    </row>
    <row r="430" spans="1:7" x14ac:dyDescent="0.3">
      <c r="A430" s="198">
        <v>45974</v>
      </c>
      <c r="B430" s="183" t="s">
        <v>2789</v>
      </c>
      <c r="C430" s="183" t="s">
        <v>2610</v>
      </c>
      <c r="D430" s="183" t="s">
        <v>2538</v>
      </c>
      <c r="E430" s="183">
        <v>1180.6400000000001</v>
      </c>
      <c r="F430" s="183"/>
      <c r="G430" s="183" t="s">
        <v>2775</v>
      </c>
    </row>
    <row r="431" spans="1:7" x14ac:dyDescent="0.3">
      <c r="A431" s="198">
        <v>45974</v>
      </c>
      <c r="B431" s="183" t="s">
        <v>2789</v>
      </c>
      <c r="C431" s="183" t="s">
        <v>2610</v>
      </c>
      <c r="D431" s="183" t="s">
        <v>2538</v>
      </c>
      <c r="E431" s="183">
        <v>1235.5999999999999</v>
      </c>
      <c r="F431" s="183"/>
      <c r="G431" s="183" t="s">
        <v>2775</v>
      </c>
    </row>
    <row r="432" spans="1:7" x14ac:dyDescent="0.3">
      <c r="A432" s="198">
        <v>45974</v>
      </c>
      <c r="B432" s="183" t="s">
        <v>2789</v>
      </c>
      <c r="C432" s="183" t="s">
        <v>2610</v>
      </c>
      <c r="D432" s="183" t="s">
        <v>2538</v>
      </c>
      <c r="E432" s="183">
        <v>986.53</v>
      </c>
      <c r="F432" s="183"/>
      <c r="G432" s="183" t="s">
        <v>2775</v>
      </c>
    </row>
    <row r="433" spans="1:7" x14ac:dyDescent="0.3">
      <c r="A433" s="188">
        <v>45975</v>
      </c>
      <c r="B433" s="112" t="s">
        <v>2790</v>
      </c>
      <c r="C433" s="112" t="s">
        <v>2550</v>
      </c>
      <c r="D433" s="112" t="s">
        <v>2536</v>
      </c>
      <c r="E433" s="112">
        <v>400</v>
      </c>
      <c r="F433" s="112"/>
      <c r="G433" s="112" t="s">
        <v>2775</v>
      </c>
    </row>
    <row r="434" spans="1:7" x14ac:dyDescent="0.3">
      <c r="A434" s="190">
        <v>45975</v>
      </c>
      <c r="B434" s="42" t="s">
        <v>2622</v>
      </c>
      <c r="C434" s="42" t="s">
        <v>2555</v>
      </c>
      <c r="D434" s="42" t="s">
        <v>2530</v>
      </c>
      <c r="E434" s="42">
        <v>79</v>
      </c>
      <c r="F434" s="42"/>
      <c r="G434" s="42" t="s">
        <v>2775</v>
      </c>
    </row>
    <row r="435" spans="1:7" x14ac:dyDescent="0.3">
      <c r="A435" s="189">
        <v>45975</v>
      </c>
      <c r="B435" s="108" t="s">
        <v>2647</v>
      </c>
      <c r="C435" s="108" t="s">
        <v>2553</v>
      </c>
      <c r="D435" s="108" t="s">
        <v>2534</v>
      </c>
      <c r="E435" s="108">
        <v>600</v>
      </c>
      <c r="F435" s="108"/>
      <c r="G435" s="108" t="s">
        <v>2775</v>
      </c>
    </row>
    <row r="436" spans="1:7" x14ac:dyDescent="0.3">
      <c r="A436" s="189">
        <v>45976</v>
      </c>
      <c r="B436" s="108" t="s">
        <v>2737</v>
      </c>
      <c r="C436" s="108" t="s">
        <v>2553</v>
      </c>
      <c r="D436" s="108" t="s">
        <v>2534</v>
      </c>
      <c r="E436" s="108">
        <v>298</v>
      </c>
      <c r="F436" s="108"/>
      <c r="G436" s="108" t="s">
        <v>2775</v>
      </c>
    </row>
    <row r="437" spans="1:7" x14ac:dyDescent="0.3">
      <c r="A437" s="200">
        <v>45976</v>
      </c>
      <c r="B437" s="114" t="s">
        <v>1129</v>
      </c>
      <c r="C437" s="114" t="s">
        <v>2571</v>
      </c>
      <c r="D437" s="114" t="s">
        <v>2540</v>
      </c>
      <c r="E437" s="114">
        <v>406.71</v>
      </c>
      <c r="F437" s="114"/>
      <c r="G437" s="114" t="s">
        <v>2775</v>
      </c>
    </row>
    <row r="438" spans="1:7" x14ac:dyDescent="0.3">
      <c r="A438" s="189">
        <v>45977</v>
      </c>
      <c r="B438" s="108" t="s">
        <v>2791</v>
      </c>
      <c r="C438" s="108" t="s">
        <v>2553</v>
      </c>
      <c r="D438" s="108" t="s">
        <v>2534</v>
      </c>
      <c r="E438" s="108">
        <v>20</v>
      </c>
      <c r="F438" s="108"/>
      <c r="G438" s="108" t="s">
        <v>2775</v>
      </c>
    </row>
    <row r="439" spans="1:7" x14ac:dyDescent="0.3">
      <c r="A439" s="189">
        <v>45977</v>
      </c>
      <c r="B439" s="108" t="s">
        <v>1329</v>
      </c>
      <c r="C439" s="108" t="s">
        <v>2553</v>
      </c>
      <c r="D439" s="108" t="s">
        <v>2534</v>
      </c>
      <c r="E439" s="108">
        <v>40</v>
      </c>
      <c r="F439" s="108"/>
      <c r="G439" s="108" t="s">
        <v>2775</v>
      </c>
    </row>
    <row r="440" spans="1:7" x14ac:dyDescent="0.3">
      <c r="A440" s="189">
        <v>45980</v>
      </c>
      <c r="B440" s="108" t="s">
        <v>2792</v>
      </c>
      <c r="C440" s="108" t="s">
        <v>2553</v>
      </c>
      <c r="D440" s="108" t="s">
        <v>2534</v>
      </c>
      <c r="E440" s="108">
        <v>20</v>
      </c>
      <c r="F440" s="108"/>
      <c r="G440" s="108" t="s">
        <v>2775</v>
      </c>
    </row>
    <row r="441" spans="1:7" x14ac:dyDescent="0.3">
      <c r="A441" s="189">
        <v>45981</v>
      </c>
      <c r="B441" s="108" t="s">
        <v>2793</v>
      </c>
      <c r="C441" s="108" t="s">
        <v>2553</v>
      </c>
      <c r="D441" s="108" t="s">
        <v>2534</v>
      </c>
      <c r="E441" s="108">
        <v>80</v>
      </c>
      <c r="F441" s="108"/>
      <c r="G441" s="108" t="s">
        <v>2775</v>
      </c>
    </row>
    <row r="442" spans="1:7" x14ac:dyDescent="0.3">
      <c r="A442" s="198">
        <v>45982</v>
      </c>
      <c r="B442" s="183" t="s">
        <v>2794</v>
      </c>
      <c r="C442" s="183" t="s">
        <v>2610</v>
      </c>
      <c r="D442" s="183" t="s">
        <v>2538</v>
      </c>
      <c r="E442" s="183">
        <v>1255</v>
      </c>
      <c r="F442" s="183"/>
      <c r="G442" s="183" t="s">
        <v>2795</v>
      </c>
    </row>
    <row r="443" spans="1:7" x14ac:dyDescent="0.3">
      <c r="A443" s="198">
        <v>45982</v>
      </c>
      <c r="B443" s="183" t="s">
        <v>2789</v>
      </c>
      <c r="C443" s="183" t="s">
        <v>2610</v>
      </c>
      <c r="D443" s="183" t="s">
        <v>2538</v>
      </c>
      <c r="E443" s="183">
        <v>84.27</v>
      </c>
      <c r="F443" s="183"/>
      <c r="G443" s="183" t="s">
        <v>2795</v>
      </c>
    </row>
    <row r="444" spans="1:7" x14ac:dyDescent="0.3">
      <c r="A444" s="189">
        <v>45983</v>
      </c>
      <c r="B444" s="108" t="s">
        <v>2796</v>
      </c>
      <c r="C444" s="108" t="s">
        <v>2553</v>
      </c>
      <c r="D444" s="108" t="s">
        <v>2534</v>
      </c>
      <c r="E444" s="108">
        <v>40</v>
      </c>
      <c r="F444" s="108"/>
      <c r="G444" s="108" t="s">
        <v>2795</v>
      </c>
    </row>
    <row r="445" spans="1:7" x14ac:dyDescent="0.3">
      <c r="A445" s="189">
        <v>45983</v>
      </c>
      <c r="B445" s="108" t="s">
        <v>2797</v>
      </c>
      <c r="C445" s="108" t="s">
        <v>2553</v>
      </c>
      <c r="D445" s="108" t="s">
        <v>2534</v>
      </c>
      <c r="E445" s="108">
        <v>70</v>
      </c>
      <c r="F445" s="108"/>
      <c r="G445" s="108" t="s">
        <v>2795</v>
      </c>
    </row>
    <row r="446" spans="1:7" x14ac:dyDescent="0.3">
      <c r="A446" s="198">
        <v>45983</v>
      </c>
      <c r="B446" s="183" t="s">
        <v>2789</v>
      </c>
      <c r="C446" s="183" t="s">
        <v>2610</v>
      </c>
      <c r="D446" s="183" t="s">
        <v>2538</v>
      </c>
      <c r="E446" s="183">
        <v>1405.05</v>
      </c>
      <c r="F446" s="183"/>
      <c r="G446" s="183" t="s">
        <v>2795</v>
      </c>
    </row>
    <row r="447" spans="1:7" x14ac:dyDescent="0.3">
      <c r="A447" s="190">
        <v>45984</v>
      </c>
      <c r="B447" s="42" t="s">
        <v>2798</v>
      </c>
      <c r="C447" s="42" t="s">
        <v>2555</v>
      </c>
      <c r="D447" s="42" t="s">
        <v>2530</v>
      </c>
      <c r="E447" s="42">
        <v>85</v>
      </c>
      <c r="F447" s="42"/>
      <c r="G447" s="42" t="s">
        <v>2795</v>
      </c>
    </row>
    <row r="448" spans="1:7" x14ac:dyDescent="0.3">
      <c r="A448" s="189">
        <v>45984</v>
      </c>
      <c r="B448" s="108" t="s">
        <v>2799</v>
      </c>
      <c r="C448" s="108" t="s">
        <v>2553</v>
      </c>
      <c r="D448" s="108" t="s">
        <v>2534</v>
      </c>
      <c r="E448" s="108">
        <v>50</v>
      </c>
      <c r="F448" s="108"/>
      <c r="G448" s="108" t="s">
        <v>2795</v>
      </c>
    </row>
    <row r="449" spans="1:7" x14ac:dyDescent="0.3">
      <c r="A449" s="194">
        <v>45984</v>
      </c>
      <c r="B449" s="156" t="s">
        <v>2653</v>
      </c>
      <c r="C449" s="156" t="s">
        <v>2571</v>
      </c>
      <c r="D449" s="156" t="s">
        <v>2537</v>
      </c>
      <c r="E449" s="156">
        <v>349</v>
      </c>
      <c r="F449" s="156"/>
      <c r="G449" s="156" t="s">
        <v>2795</v>
      </c>
    </row>
    <row r="450" spans="1:7" x14ac:dyDescent="0.3">
      <c r="A450" s="189">
        <v>45984</v>
      </c>
      <c r="B450" s="108" t="s">
        <v>2800</v>
      </c>
      <c r="C450" s="108" t="s">
        <v>2553</v>
      </c>
      <c r="D450" s="108" t="s">
        <v>2534</v>
      </c>
      <c r="E450" s="108">
        <v>190</v>
      </c>
      <c r="F450" s="108"/>
      <c r="G450" s="108" t="s">
        <v>2795</v>
      </c>
    </row>
    <row r="451" spans="1:7" x14ac:dyDescent="0.3">
      <c r="A451" s="188">
        <v>45985</v>
      </c>
      <c r="B451" s="112" t="s">
        <v>2801</v>
      </c>
      <c r="C451" s="112" t="s">
        <v>2665</v>
      </c>
      <c r="D451" s="112" t="s">
        <v>2536</v>
      </c>
      <c r="E451" s="112">
        <v>165</v>
      </c>
      <c r="F451" s="112"/>
      <c r="G451" s="112" t="s">
        <v>2795</v>
      </c>
    </row>
    <row r="452" spans="1:7" x14ac:dyDescent="0.3">
      <c r="A452" s="190">
        <v>45987</v>
      </c>
      <c r="B452" s="42" t="s">
        <v>2802</v>
      </c>
      <c r="C452" s="42" t="s">
        <v>2555</v>
      </c>
      <c r="D452" s="42" t="s">
        <v>2530</v>
      </c>
      <c r="E452" s="42">
        <v>119</v>
      </c>
      <c r="F452" s="42"/>
      <c r="G452" s="42" t="s">
        <v>2795</v>
      </c>
    </row>
    <row r="453" spans="1:7" x14ac:dyDescent="0.3">
      <c r="A453" s="190">
        <v>45987</v>
      </c>
      <c r="B453" s="42" t="s">
        <v>2803</v>
      </c>
      <c r="C453" s="42" t="s">
        <v>2555</v>
      </c>
      <c r="D453" s="42" t="s">
        <v>2530</v>
      </c>
      <c r="E453" s="42">
        <v>25</v>
      </c>
      <c r="F453" s="42"/>
      <c r="G453" s="42" t="s">
        <v>2795</v>
      </c>
    </row>
    <row r="454" spans="1:7" x14ac:dyDescent="0.3">
      <c r="A454" s="189">
        <v>45988</v>
      </c>
      <c r="B454" s="108" t="s">
        <v>2804</v>
      </c>
      <c r="C454" s="108" t="s">
        <v>2553</v>
      </c>
      <c r="D454" s="108" t="s">
        <v>2534</v>
      </c>
      <c r="E454" s="108">
        <v>70</v>
      </c>
      <c r="F454" s="108"/>
      <c r="G454" s="108" t="s">
        <v>2795</v>
      </c>
    </row>
    <row r="455" spans="1:7" x14ac:dyDescent="0.3">
      <c r="A455" s="198">
        <v>45989</v>
      </c>
      <c r="B455" s="183" t="s">
        <v>2805</v>
      </c>
      <c r="C455" s="183" t="s">
        <v>2806</v>
      </c>
      <c r="D455" s="183" t="s">
        <v>2538</v>
      </c>
      <c r="E455" s="183">
        <v>40</v>
      </c>
      <c r="F455" s="183"/>
      <c r="G455" s="183" t="s">
        <v>2795</v>
      </c>
    </row>
    <row r="456" spans="1:7" x14ac:dyDescent="0.3">
      <c r="A456" s="198">
        <v>45989</v>
      </c>
      <c r="B456" s="183" t="s">
        <v>2805</v>
      </c>
      <c r="C456" s="183" t="s">
        <v>2806</v>
      </c>
      <c r="D456" s="183" t="s">
        <v>2538</v>
      </c>
      <c r="E456" s="183">
        <v>90</v>
      </c>
      <c r="F456" s="183"/>
      <c r="G456" s="183" t="s">
        <v>2795</v>
      </c>
    </row>
    <row r="457" spans="1:7" x14ac:dyDescent="0.3">
      <c r="A457" s="189">
        <v>45989</v>
      </c>
      <c r="B457" s="108" t="s">
        <v>2799</v>
      </c>
      <c r="C457" s="108" t="s">
        <v>2553</v>
      </c>
      <c r="D457" s="108" t="s">
        <v>2534</v>
      </c>
      <c r="E457" s="108">
        <v>50</v>
      </c>
      <c r="F457" s="108"/>
      <c r="G457" s="108" t="s">
        <v>2795</v>
      </c>
    </row>
    <row r="459" spans="1:7" x14ac:dyDescent="0.3">
      <c r="A459" s="186" t="s">
        <v>2807</v>
      </c>
      <c r="B459" s="187"/>
      <c r="C459" s="187"/>
      <c r="D459" s="187"/>
      <c r="E459" s="187"/>
      <c r="F459" s="187"/>
      <c r="G459" s="187"/>
    </row>
    <row r="460" spans="1:7" x14ac:dyDescent="0.3">
      <c r="A460" s="198">
        <v>45994</v>
      </c>
      <c r="B460" s="183" t="s">
        <v>2808</v>
      </c>
      <c r="C460" s="183" t="s">
        <v>2610</v>
      </c>
      <c r="D460" s="183" t="s">
        <v>2538</v>
      </c>
      <c r="E460" s="183">
        <v>6204.4</v>
      </c>
      <c r="F460" s="183"/>
      <c r="G460" s="183" t="s">
        <v>2795</v>
      </c>
    </row>
    <row r="461" spans="1:7" x14ac:dyDescent="0.3">
      <c r="A461" s="193">
        <v>45996</v>
      </c>
      <c r="B461" s="181" t="s">
        <v>2809</v>
      </c>
      <c r="C461" s="181" t="s">
        <v>2563</v>
      </c>
      <c r="D461" s="181" t="s">
        <v>2532</v>
      </c>
      <c r="E461" s="181">
        <v>158</v>
      </c>
      <c r="F461" s="181"/>
      <c r="G461" s="181" t="s">
        <v>2795</v>
      </c>
    </row>
    <row r="462" spans="1:7" x14ac:dyDescent="0.3">
      <c r="A462" s="190">
        <v>45998</v>
      </c>
      <c r="B462" s="42" t="s">
        <v>2675</v>
      </c>
      <c r="C462" s="42" t="s">
        <v>2555</v>
      </c>
      <c r="D462" s="42" t="s">
        <v>2530</v>
      </c>
      <c r="E462" s="42">
        <v>258.25</v>
      </c>
      <c r="F462" s="42"/>
      <c r="G462" s="42" t="s">
        <v>2795</v>
      </c>
    </row>
    <row r="463" spans="1:7" x14ac:dyDescent="0.3">
      <c r="A463" s="190">
        <v>45998</v>
      </c>
      <c r="B463" s="42" t="s">
        <v>2680</v>
      </c>
      <c r="C463" s="42" t="s">
        <v>2555</v>
      </c>
      <c r="D463" s="42" t="s">
        <v>2530</v>
      </c>
      <c r="E463" s="42">
        <v>35</v>
      </c>
      <c r="F463" s="42"/>
      <c r="G463" s="42" t="s">
        <v>2795</v>
      </c>
    </row>
    <row r="464" spans="1:7" x14ac:dyDescent="0.3">
      <c r="A464" s="190">
        <v>45998</v>
      </c>
      <c r="B464" s="42" t="s">
        <v>2618</v>
      </c>
      <c r="C464" s="42" t="s">
        <v>2555</v>
      </c>
      <c r="D464" s="42" t="s">
        <v>2530</v>
      </c>
      <c r="E464" s="42">
        <v>3215.69</v>
      </c>
      <c r="F464" s="42"/>
      <c r="G464" s="42" t="s">
        <v>2795</v>
      </c>
    </row>
    <row r="465" spans="1:7" x14ac:dyDescent="0.3">
      <c r="A465" s="190">
        <v>45998</v>
      </c>
      <c r="B465" s="42" t="s">
        <v>2556</v>
      </c>
      <c r="C465" s="42" t="s">
        <v>2555</v>
      </c>
      <c r="D465" s="42" t="s">
        <v>2530</v>
      </c>
      <c r="E465" s="42">
        <v>35</v>
      </c>
      <c r="F465" s="42"/>
      <c r="G465" s="42" t="s">
        <v>2795</v>
      </c>
    </row>
    <row r="466" spans="1:7" x14ac:dyDescent="0.3">
      <c r="A466" s="189">
        <v>45999</v>
      </c>
      <c r="B466" s="108" t="s">
        <v>2564</v>
      </c>
      <c r="C466" s="108" t="s">
        <v>2553</v>
      </c>
      <c r="D466" s="108" t="s">
        <v>2534</v>
      </c>
      <c r="E466" s="108">
        <v>31.5</v>
      </c>
      <c r="F466" s="108"/>
      <c r="G466" s="108" t="s">
        <v>2795</v>
      </c>
    </row>
    <row r="467" spans="1:7" x14ac:dyDescent="0.3">
      <c r="A467" s="190">
        <v>45999</v>
      </c>
      <c r="B467" s="42" t="s">
        <v>2622</v>
      </c>
      <c r="C467" s="42" t="s">
        <v>2555</v>
      </c>
      <c r="D467" s="42" t="s">
        <v>2530</v>
      </c>
      <c r="E467" s="42">
        <v>19</v>
      </c>
      <c r="F467" s="42"/>
      <c r="G467" s="42" t="s">
        <v>2795</v>
      </c>
    </row>
    <row r="468" spans="1:7" x14ac:dyDescent="0.3">
      <c r="A468" s="198">
        <v>46000</v>
      </c>
      <c r="B468" s="183" t="s">
        <v>2789</v>
      </c>
      <c r="C468" s="183" t="s">
        <v>2610</v>
      </c>
      <c r="D468" s="183" t="s">
        <v>2538</v>
      </c>
      <c r="E468" s="183">
        <v>3598.78</v>
      </c>
      <c r="F468" s="183"/>
      <c r="G468" s="183" t="s">
        <v>2795</v>
      </c>
    </row>
    <row r="469" spans="1:7" x14ac:dyDescent="0.3">
      <c r="A469" s="189">
        <v>46000</v>
      </c>
      <c r="B469" s="108" t="s">
        <v>2810</v>
      </c>
      <c r="C469" s="108" t="s">
        <v>2553</v>
      </c>
      <c r="D469" s="108" t="s">
        <v>2534</v>
      </c>
      <c r="E469" s="108">
        <v>60</v>
      </c>
      <c r="F469" s="108"/>
      <c r="G469" s="108" t="s">
        <v>2795</v>
      </c>
    </row>
    <row r="470" spans="1:7" x14ac:dyDescent="0.3">
      <c r="A470" s="190">
        <v>46001</v>
      </c>
      <c r="B470" s="42" t="s">
        <v>2811</v>
      </c>
      <c r="C470" s="42" t="s">
        <v>2555</v>
      </c>
      <c r="D470" s="42" t="s">
        <v>2530</v>
      </c>
      <c r="E470" s="42">
        <v>47</v>
      </c>
      <c r="F470" s="42"/>
      <c r="G470" s="42" t="s">
        <v>2795</v>
      </c>
    </row>
    <row r="471" spans="1:7" x14ac:dyDescent="0.3">
      <c r="A471" s="190">
        <v>46001</v>
      </c>
      <c r="B471" s="42" t="s">
        <v>2812</v>
      </c>
      <c r="C471" s="42" t="s">
        <v>2555</v>
      </c>
      <c r="D471" s="42" t="s">
        <v>2530</v>
      </c>
      <c r="E471" s="42">
        <v>60</v>
      </c>
      <c r="F471" s="42"/>
      <c r="G471" s="42" t="s">
        <v>2795</v>
      </c>
    </row>
    <row r="472" spans="1:7" x14ac:dyDescent="0.3">
      <c r="A472" s="189">
        <v>46002</v>
      </c>
      <c r="B472" s="108" t="s">
        <v>2782</v>
      </c>
      <c r="C472" s="108" t="s">
        <v>2553</v>
      </c>
      <c r="D472" s="108" t="s">
        <v>2534</v>
      </c>
      <c r="E472" s="108">
        <v>15</v>
      </c>
      <c r="F472" s="108"/>
      <c r="G472" s="108" t="s">
        <v>2795</v>
      </c>
    </row>
    <row r="473" spans="1:7" x14ac:dyDescent="0.3">
      <c r="A473" s="196">
        <v>46002</v>
      </c>
      <c r="B473" s="44" t="s">
        <v>2813</v>
      </c>
      <c r="C473" s="44" t="s">
        <v>2594</v>
      </c>
      <c r="D473" s="44" t="s">
        <v>2531</v>
      </c>
      <c r="E473" s="44">
        <v>46</v>
      </c>
      <c r="F473" s="44"/>
      <c r="G473" s="44" t="s">
        <v>2795</v>
      </c>
    </row>
    <row r="474" spans="1:7" x14ac:dyDescent="0.3">
      <c r="A474" s="193">
        <v>46003</v>
      </c>
      <c r="B474" s="181" t="s">
        <v>2709</v>
      </c>
      <c r="C474" s="181" t="s">
        <v>2563</v>
      </c>
      <c r="D474" s="181" t="s">
        <v>2532</v>
      </c>
      <c r="E474" s="181">
        <v>60</v>
      </c>
      <c r="F474" s="181"/>
      <c r="G474" s="181" t="s">
        <v>2795</v>
      </c>
    </row>
    <row r="475" spans="1:7" x14ac:dyDescent="0.3">
      <c r="A475" s="189">
        <v>46003</v>
      </c>
      <c r="B475" s="108" t="s">
        <v>2814</v>
      </c>
      <c r="C475" s="108" t="s">
        <v>2553</v>
      </c>
      <c r="D475" s="108" t="s">
        <v>2534</v>
      </c>
      <c r="E475" s="108">
        <v>60</v>
      </c>
      <c r="F475" s="108"/>
      <c r="G475" s="108" t="s">
        <v>2795</v>
      </c>
    </row>
    <row r="476" spans="1:7" x14ac:dyDescent="0.3">
      <c r="A476" s="189">
        <v>46003</v>
      </c>
      <c r="B476" s="108" t="s">
        <v>2815</v>
      </c>
      <c r="C476" s="108" t="s">
        <v>2553</v>
      </c>
      <c r="D476" s="108" t="s">
        <v>2534</v>
      </c>
      <c r="E476" s="108">
        <v>95</v>
      </c>
      <c r="F476" s="108"/>
      <c r="G476" s="108" t="s">
        <v>2795</v>
      </c>
    </row>
    <row r="477" spans="1:7" x14ac:dyDescent="0.3">
      <c r="A477" s="190">
        <v>46003</v>
      </c>
      <c r="B477" s="42" t="s">
        <v>2816</v>
      </c>
      <c r="C477" s="42" t="s">
        <v>2555</v>
      </c>
      <c r="D477" s="42" t="s">
        <v>2530</v>
      </c>
      <c r="E477" s="42">
        <v>40</v>
      </c>
      <c r="F477" s="42"/>
      <c r="G477" s="42" t="s">
        <v>2795</v>
      </c>
    </row>
    <row r="478" spans="1:7" x14ac:dyDescent="0.3">
      <c r="A478" s="189">
        <v>46003</v>
      </c>
      <c r="B478" s="108" t="s">
        <v>2782</v>
      </c>
      <c r="C478" s="108" t="s">
        <v>2553</v>
      </c>
      <c r="D478" s="108" t="s">
        <v>2534</v>
      </c>
      <c r="E478" s="108">
        <v>20</v>
      </c>
      <c r="F478" s="108"/>
      <c r="G478" s="108" t="s">
        <v>2795</v>
      </c>
    </row>
    <row r="479" spans="1:7" x14ac:dyDescent="0.3">
      <c r="A479" s="190">
        <v>46003</v>
      </c>
      <c r="B479" s="42" t="s">
        <v>2817</v>
      </c>
      <c r="C479" s="42" t="s">
        <v>2555</v>
      </c>
      <c r="D479" s="42" t="s">
        <v>2530</v>
      </c>
      <c r="E479" s="42">
        <v>50</v>
      </c>
      <c r="F479" s="42"/>
      <c r="G479" s="42" t="s">
        <v>2795</v>
      </c>
    </row>
    <row r="480" spans="1:7" x14ac:dyDescent="0.3">
      <c r="A480" s="190">
        <v>46004</v>
      </c>
      <c r="B480" s="42" t="s">
        <v>2817</v>
      </c>
      <c r="C480" s="42" t="s">
        <v>2555</v>
      </c>
      <c r="D480" s="42" t="s">
        <v>2530</v>
      </c>
      <c r="E480" s="42">
        <v>100</v>
      </c>
      <c r="F480" s="42"/>
      <c r="G480" s="42" t="s">
        <v>2795</v>
      </c>
    </row>
    <row r="481" spans="1:7" x14ac:dyDescent="0.3">
      <c r="A481" s="190">
        <v>46004</v>
      </c>
      <c r="B481" s="42" t="s">
        <v>2622</v>
      </c>
      <c r="C481" s="42" t="s">
        <v>2555</v>
      </c>
      <c r="D481" s="42" t="s">
        <v>2530</v>
      </c>
      <c r="E481" s="42">
        <v>14</v>
      </c>
      <c r="F481" s="42"/>
      <c r="G481" s="42" t="s">
        <v>2795</v>
      </c>
    </row>
    <row r="482" spans="1:7" x14ac:dyDescent="0.3">
      <c r="A482" s="189">
        <v>46004</v>
      </c>
      <c r="B482" s="108" t="s">
        <v>2782</v>
      </c>
      <c r="C482" s="108" t="s">
        <v>2553</v>
      </c>
      <c r="D482" s="108" t="s">
        <v>2534</v>
      </c>
      <c r="E482" s="108">
        <v>20</v>
      </c>
      <c r="F482" s="108"/>
      <c r="G482" s="108" t="s">
        <v>2795</v>
      </c>
    </row>
    <row r="483" spans="1:7" x14ac:dyDescent="0.3">
      <c r="A483" s="197">
        <v>46004</v>
      </c>
      <c r="B483" s="180" t="s">
        <v>2655</v>
      </c>
      <c r="C483" s="180" t="s">
        <v>2596</v>
      </c>
      <c r="D483" s="180" t="s">
        <v>2529</v>
      </c>
      <c r="E483" s="180">
        <v>260</v>
      </c>
      <c r="F483" s="180"/>
      <c r="G483" s="180" t="s">
        <v>2795</v>
      </c>
    </row>
    <row r="484" spans="1:7" x14ac:dyDescent="0.3">
      <c r="A484" s="189">
        <v>46004</v>
      </c>
      <c r="B484" s="108" t="s">
        <v>2673</v>
      </c>
      <c r="C484" s="108" t="s">
        <v>2553</v>
      </c>
      <c r="D484" s="108" t="s">
        <v>2534</v>
      </c>
      <c r="E484" s="108">
        <v>105</v>
      </c>
      <c r="F484" s="108"/>
      <c r="G484" s="108" t="s">
        <v>2795</v>
      </c>
    </row>
    <row r="485" spans="1:7" x14ac:dyDescent="0.3">
      <c r="A485" s="190">
        <v>46004</v>
      </c>
      <c r="B485" s="42" t="s">
        <v>2818</v>
      </c>
      <c r="C485" s="42" t="s">
        <v>2555</v>
      </c>
      <c r="D485" s="42" t="s">
        <v>2530</v>
      </c>
      <c r="E485" s="42">
        <v>27</v>
      </c>
      <c r="F485" s="42"/>
      <c r="G485" s="42" t="s">
        <v>2795</v>
      </c>
    </row>
    <row r="486" spans="1:7" x14ac:dyDescent="0.3">
      <c r="A486" s="198">
        <v>46005</v>
      </c>
      <c r="B486" s="183" t="s">
        <v>2734</v>
      </c>
      <c r="C486" s="183" t="s">
        <v>2610</v>
      </c>
      <c r="D486" s="183" t="s">
        <v>2538</v>
      </c>
      <c r="E486" s="183">
        <v>1897</v>
      </c>
      <c r="F486" s="183"/>
      <c r="G486" s="183" t="s">
        <v>2795</v>
      </c>
    </row>
    <row r="487" spans="1:7" x14ac:dyDescent="0.3">
      <c r="A487" s="198">
        <v>46005</v>
      </c>
      <c r="B487" s="183" t="s">
        <v>2819</v>
      </c>
      <c r="C487" s="183" t="s">
        <v>2611</v>
      </c>
      <c r="D487" s="183" t="s">
        <v>2538</v>
      </c>
      <c r="E487" s="183">
        <v>194.7</v>
      </c>
      <c r="F487" s="183"/>
      <c r="G487" s="183" t="s">
        <v>2795</v>
      </c>
    </row>
    <row r="488" spans="1:7" x14ac:dyDescent="0.3">
      <c r="A488" s="198">
        <v>46005</v>
      </c>
      <c r="B488" s="183" t="s">
        <v>2789</v>
      </c>
      <c r="C488" s="183" t="s">
        <v>2610</v>
      </c>
      <c r="D488" s="183" t="s">
        <v>2538</v>
      </c>
      <c r="E488" s="183">
        <v>1374.45</v>
      </c>
      <c r="F488" s="183"/>
      <c r="G488" s="183" t="s">
        <v>2795</v>
      </c>
    </row>
    <row r="489" spans="1:7" x14ac:dyDescent="0.3">
      <c r="A489" s="190">
        <v>46005</v>
      </c>
      <c r="B489" s="42" t="s">
        <v>2820</v>
      </c>
      <c r="C489" s="42" t="s">
        <v>2555</v>
      </c>
      <c r="D489" s="42" t="s">
        <v>2530</v>
      </c>
      <c r="E489" s="42">
        <v>742.52</v>
      </c>
      <c r="F489" s="42"/>
      <c r="G489" s="42" t="s">
        <v>2795</v>
      </c>
    </row>
    <row r="490" spans="1:7" x14ac:dyDescent="0.3">
      <c r="A490" s="190">
        <v>46005</v>
      </c>
      <c r="B490" s="42" t="s">
        <v>2622</v>
      </c>
      <c r="C490" s="42" t="s">
        <v>2555</v>
      </c>
      <c r="D490" s="42" t="s">
        <v>2530</v>
      </c>
      <c r="E490" s="42">
        <v>35</v>
      </c>
      <c r="F490" s="42"/>
      <c r="G490" s="42" t="s">
        <v>2795</v>
      </c>
    </row>
    <row r="491" spans="1:7" x14ac:dyDescent="0.3">
      <c r="A491" s="190">
        <v>46005</v>
      </c>
      <c r="B491" s="42" t="s">
        <v>2617</v>
      </c>
      <c r="C491" s="42" t="s">
        <v>2555</v>
      </c>
      <c r="D491" s="42" t="s">
        <v>2530</v>
      </c>
      <c r="E491" s="42">
        <v>302</v>
      </c>
      <c r="F491" s="42"/>
      <c r="G491" s="42" t="s">
        <v>2795</v>
      </c>
    </row>
    <row r="492" spans="1:7" x14ac:dyDescent="0.3">
      <c r="A492" s="198">
        <v>46005</v>
      </c>
      <c r="B492" s="183" t="s">
        <v>2821</v>
      </c>
      <c r="C492" s="183" t="s">
        <v>2610</v>
      </c>
      <c r="D492" s="183" t="s">
        <v>2538</v>
      </c>
      <c r="E492" s="183">
        <v>4474</v>
      </c>
      <c r="F492" s="183"/>
      <c r="G492" s="183" t="s">
        <v>2795</v>
      </c>
    </row>
    <row r="493" spans="1:7" x14ac:dyDescent="0.3">
      <c r="A493" s="198">
        <v>46006</v>
      </c>
      <c r="B493" s="183" t="s">
        <v>2821</v>
      </c>
      <c r="C493" s="183" t="s">
        <v>2610</v>
      </c>
      <c r="D493" s="183" t="s">
        <v>2538</v>
      </c>
      <c r="E493" s="183">
        <v>4461</v>
      </c>
      <c r="F493" s="183"/>
      <c r="G493" s="183" t="s">
        <v>2795</v>
      </c>
    </row>
    <row r="494" spans="1:7" x14ac:dyDescent="0.3">
      <c r="A494" s="198">
        <v>46006</v>
      </c>
      <c r="B494" s="183" t="s">
        <v>2789</v>
      </c>
      <c r="C494" s="183" t="s">
        <v>2610</v>
      </c>
      <c r="D494" s="183" t="s">
        <v>2538</v>
      </c>
      <c r="E494" s="183">
        <v>1784.07</v>
      </c>
      <c r="F494" s="183"/>
      <c r="G494" s="183" t="s">
        <v>2795</v>
      </c>
    </row>
    <row r="495" spans="1:7" x14ac:dyDescent="0.3">
      <c r="A495" s="190">
        <v>46008</v>
      </c>
      <c r="B495" s="42" t="s">
        <v>2556</v>
      </c>
      <c r="C495" s="42" t="s">
        <v>2555</v>
      </c>
      <c r="D495" s="42" t="s">
        <v>2530</v>
      </c>
      <c r="E495" s="42">
        <v>35</v>
      </c>
      <c r="F495" s="42"/>
      <c r="G495" s="42" t="s">
        <v>2795</v>
      </c>
    </row>
    <row r="496" spans="1:7" x14ac:dyDescent="0.3">
      <c r="A496" s="190">
        <v>46011</v>
      </c>
      <c r="B496" s="42" t="s">
        <v>2811</v>
      </c>
      <c r="C496" s="42" t="s">
        <v>2555</v>
      </c>
      <c r="D496" s="42" t="s">
        <v>2530</v>
      </c>
      <c r="E496" s="42">
        <v>35</v>
      </c>
      <c r="F496" s="42"/>
      <c r="G496" s="42" t="s">
        <v>2795</v>
      </c>
    </row>
    <row r="497" spans="1:7" x14ac:dyDescent="0.3">
      <c r="A497" s="193">
        <v>46011</v>
      </c>
      <c r="B497" s="181" t="s">
        <v>2614</v>
      </c>
      <c r="C497" s="181" t="s">
        <v>2615</v>
      </c>
      <c r="D497" s="181" t="s">
        <v>2532</v>
      </c>
      <c r="E497" s="181">
        <v>50</v>
      </c>
      <c r="F497" s="181"/>
      <c r="G497" s="181" t="s">
        <v>2795</v>
      </c>
    </row>
    <row r="498" spans="1:7" x14ac:dyDescent="0.3">
      <c r="A498" s="190">
        <v>46012</v>
      </c>
      <c r="B498" s="42" t="s">
        <v>2674</v>
      </c>
      <c r="C498" s="42" t="s">
        <v>2555</v>
      </c>
      <c r="D498" s="42" t="s">
        <v>2530</v>
      </c>
      <c r="E498" s="42">
        <v>90</v>
      </c>
      <c r="F498" s="42"/>
      <c r="G498" s="42" t="s">
        <v>2822</v>
      </c>
    </row>
    <row r="499" spans="1:7" x14ac:dyDescent="0.3">
      <c r="A499" s="190">
        <v>46014</v>
      </c>
      <c r="B499" s="42" t="s">
        <v>2680</v>
      </c>
      <c r="C499" s="42" t="s">
        <v>2555</v>
      </c>
      <c r="D499" s="42" t="s">
        <v>2530</v>
      </c>
      <c r="E499" s="42">
        <v>35</v>
      </c>
      <c r="F499" s="42"/>
      <c r="G499" s="42" t="s">
        <v>2822</v>
      </c>
    </row>
    <row r="500" spans="1:7" x14ac:dyDescent="0.3">
      <c r="A500" s="190">
        <v>46014</v>
      </c>
      <c r="B500" s="42" t="s">
        <v>2816</v>
      </c>
      <c r="C500" s="42" t="s">
        <v>2555</v>
      </c>
      <c r="D500" s="42" t="s">
        <v>2530</v>
      </c>
      <c r="E500" s="42">
        <v>40</v>
      </c>
      <c r="F500" s="42"/>
      <c r="G500" s="42" t="s">
        <v>2822</v>
      </c>
    </row>
    <row r="501" spans="1:7" x14ac:dyDescent="0.3">
      <c r="A501" s="190">
        <v>46014</v>
      </c>
      <c r="B501" s="42" t="s">
        <v>2812</v>
      </c>
      <c r="C501" s="42" t="s">
        <v>2555</v>
      </c>
      <c r="D501" s="42" t="s">
        <v>2530</v>
      </c>
      <c r="E501" s="42">
        <v>60</v>
      </c>
      <c r="F501" s="42"/>
      <c r="G501" s="42" t="s">
        <v>2822</v>
      </c>
    </row>
    <row r="502" spans="1:7" x14ac:dyDescent="0.3">
      <c r="A502" s="190">
        <v>46014</v>
      </c>
      <c r="B502" s="42" t="s">
        <v>2622</v>
      </c>
      <c r="C502" s="42" t="s">
        <v>2555</v>
      </c>
      <c r="D502" s="42" t="s">
        <v>2530</v>
      </c>
      <c r="E502" s="42">
        <v>10</v>
      </c>
      <c r="F502" s="42"/>
      <c r="G502" s="42" t="s">
        <v>2822</v>
      </c>
    </row>
    <row r="503" spans="1:7" x14ac:dyDescent="0.3">
      <c r="A503" s="190">
        <v>46014</v>
      </c>
      <c r="B503" s="42" t="s">
        <v>2823</v>
      </c>
      <c r="C503" s="42" t="s">
        <v>2555</v>
      </c>
      <c r="D503" s="42" t="s">
        <v>2530</v>
      </c>
      <c r="E503" s="42">
        <v>658.7</v>
      </c>
      <c r="F503" s="42"/>
      <c r="G503" s="42" t="s">
        <v>2822</v>
      </c>
    </row>
    <row r="504" spans="1:7" x14ac:dyDescent="0.3">
      <c r="A504" s="189">
        <v>46015</v>
      </c>
      <c r="B504" s="108" t="s">
        <v>2824</v>
      </c>
      <c r="C504" s="108" t="s">
        <v>2553</v>
      </c>
      <c r="D504" s="108" t="s">
        <v>2534</v>
      </c>
      <c r="E504" s="108">
        <v>40</v>
      </c>
      <c r="F504" s="108"/>
      <c r="G504" s="108" t="s">
        <v>2822</v>
      </c>
    </row>
    <row r="505" spans="1:7" x14ac:dyDescent="0.3">
      <c r="A505" s="189">
        <v>46016</v>
      </c>
      <c r="B505" s="108" t="s">
        <v>2825</v>
      </c>
      <c r="C505" s="108" t="s">
        <v>2553</v>
      </c>
      <c r="D505" s="108" t="s">
        <v>2534</v>
      </c>
      <c r="E505" s="108">
        <v>15</v>
      </c>
      <c r="F505" s="108"/>
      <c r="G505" s="108" t="s">
        <v>2822</v>
      </c>
    </row>
    <row r="506" spans="1:7" x14ac:dyDescent="0.3">
      <c r="A506" s="189">
        <v>46016</v>
      </c>
      <c r="B506" s="108" t="s">
        <v>2826</v>
      </c>
      <c r="C506" s="108" t="s">
        <v>2553</v>
      </c>
      <c r="D506" s="108" t="s">
        <v>2534</v>
      </c>
      <c r="E506" s="108">
        <v>80</v>
      </c>
      <c r="F506" s="108"/>
      <c r="G506" s="108" t="s">
        <v>2822</v>
      </c>
    </row>
    <row r="507" spans="1:7" x14ac:dyDescent="0.3">
      <c r="A507" s="189">
        <v>46017</v>
      </c>
      <c r="B507" s="108" t="s">
        <v>2689</v>
      </c>
      <c r="C507" s="108" t="s">
        <v>2553</v>
      </c>
      <c r="D507" s="108" t="s">
        <v>2534</v>
      </c>
      <c r="E507" s="108">
        <v>394.75</v>
      </c>
      <c r="F507" s="108"/>
      <c r="G507" s="108" t="s">
        <v>2822</v>
      </c>
    </row>
    <row r="508" spans="1:7" x14ac:dyDescent="0.3">
      <c r="A508" s="196">
        <v>46017</v>
      </c>
      <c r="B508" s="44" t="s">
        <v>2827</v>
      </c>
      <c r="C508" s="44" t="s">
        <v>2594</v>
      </c>
      <c r="D508" s="44" t="s">
        <v>2531</v>
      </c>
      <c r="E508" s="44">
        <v>18</v>
      </c>
      <c r="F508" s="44"/>
      <c r="G508" s="44" t="s">
        <v>2822</v>
      </c>
    </row>
    <row r="509" spans="1:7" x14ac:dyDescent="0.3">
      <c r="A509" s="189">
        <v>46017</v>
      </c>
      <c r="B509" s="108" t="s">
        <v>2689</v>
      </c>
      <c r="C509" s="108" t="s">
        <v>2553</v>
      </c>
      <c r="D509" s="108" t="s">
        <v>2534</v>
      </c>
      <c r="E509" s="108">
        <v>190.05</v>
      </c>
      <c r="F509" s="108"/>
      <c r="G509" s="108" t="s">
        <v>2822</v>
      </c>
    </row>
    <row r="510" spans="1:7" x14ac:dyDescent="0.3">
      <c r="A510" s="198">
        <v>46017</v>
      </c>
      <c r="B510" s="183" t="s">
        <v>2828</v>
      </c>
      <c r="C510" s="183" t="s">
        <v>2806</v>
      </c>
      <c r="D510" s="183" t="s">
        <v>2538</v>
      </c>
      <c r="E510" s="183">
        <v>60</v>
      </c>
      <c r="F510" s="183"/>
      <c r="G510" s="183" t="s">
        <v>2822</v>
      </c>
    </row>
    <row r="511" spans="1:7" x14ac:dyDescent="0.3">
      <c r="A511" s="188">
        <v>46017</v>
      </c>
      <c r="B511" s="112" t="s">
        <v>2829</v>
      </c>
      <c r="C511" s="112" t="s">
        <v>2665</v>
      </c>
      <c r="D511" s="112" t="s">
        <v>2536</v>
      </c>
      <c r="E511" s="112">
        <v>120</v>
      </c>
      <c r="F511" s="112"/>
      <c r="G511" s="112" t="s">
        <v>2822</v>
      </c>
    </row>
    <row r="512" spans="1:7" x14ac:dyDescent="0.3">
      <c r="A512" s="189">
        <v>46018</v>
      </c>
      <c r="B512" s="108" t="s">
        <v>2689</v>
      </c>
      <c r="C512" s="108" t="s">
        <v>2553</v>
      </c>
      <c r="D512" s="108" t="s">
        <v>2534</v>
      </c>
      <c r="E512" s="108">
        <v>262.39999999999998</v>
      </c>
      <c r="F512" s="108"/>
      <c r="G512" s="108" t="s">
        <v>2822</v>
      </c>
    </row>
    <row r="513" spans="1:7" x14ac:dyDescent="0.3">
      <c r="A513" s="190">
        <v>46018</v>
      </c>
      <c r="B513" s="42" t="s">
        <v>2685</v>
      </c>
      <c r="C513" s="42" t="s">
        <v>2555</v>
      </c>
      <c r="D513" s="42" t="s">
        <v>2530</v>
      </c>
      <c r="E513" s="42">
        <v>152</v>
      </c>
      <c r="F513" s="42"/>
      <c r="G513" s="42" t="s">
        <v>2822</v>
      </c>
    </row>
    <row r="514" spans="1:7" x14ac:dyDescent="0.3">
      <c r="A514" s="193">
        <v>46018</v>
      </c>
      <c r="B514" s="181" t="s">
        <v>2830</v>
      </c>
      <c r="C514" s="181" t="s">
        <v>2563</v>
      </c>
      <c r="D514" s="181" t="s">
        <v>2532</v>
      </c>
      <c r="E514" s="181">
        <v>65</v>
      </c>
      <c r="F514" s="181"/>
      <c r="G514" s="181" t="s">
        <v>2822</v>
      </c>
    </row>
    <row r="515" spans="1:7" x14ac:dyDescent="0.3">
      <c r="A515" s="189">
        <v>46019</v>
      </c>
      <c r="B515" s="108" t="s">
        <v>2829</v>
      </c>
      <c r="C515" s="108" t="s">
        <v>2553</v>
      </c>
      <c r="D515" s="108" t="s">
        <v>2534</v>
      </c>
      <c r="E515" s="108">
        <v>40</v>
      </c>
      <c r="F515" s="108"/>
      <c r="G515" s="108" t="s">
        <v>2822</v>
      </c>
    </row>
    <row r="516" spans="1:7" x14ac:dyDescent="0.3">
      <c r="A516" s="189">
        <v>46019</v>
      </c>
      <c r="B516" s="108" t="s">
        <v>2831</v>
      </c>
      <c r="C516" s="108" t="s">
        <v>2553</v>
      </c>
      <c r="D516" s="108" t="s">
        <v>2534</v>
      </c>
      <c r="E516" s="108">
        <v>110</v>
      </c>
      <c r="F516" s="108"/>
      <c r="G516" s="108" t="s">
        <v>2822</v>
      </c>
    </row>
    <row r="517" spans="1:7" x14ac:dyDescent="0.3">
      <c r="A517" s="189">
        <v>46020</v>
      </c>
      <c r="B517" s="108" t="s">
        <v>2832</v>
      </c>
      <c r="C517" s="108" t="s">
        <v>2553</v>
      </c>
      <c r="D517" s="108" t="s">
        <v>2534</v>
      </c>
      <c r="E517" s="108">
        <v>500</v>
      </c>
      <c r="F517" s="108"/>
      <c r="G517" s="108" t="s">
        <v>2822</v>
      </c>
    </row>
    <row r="518" spans="1:7" x14ac:dyDescent="0.3">
      <c r="A518" s="198">
        <v>46020</v>
      </c>
      <c r="B518" s="183" t="s">
        <v>2833</v>
      </c>
      <c r="C518" s="183" t="s">
        <v>2834</v>
      </c>
      <c r="D518" s="183" t="s">
        <v>2538</v>
      </c>
      <c r="E518" s="183">
        <v>12991</v>
      </c>
      <c r="F518" s="183"/>
      <c r="G518" s="183" t="s">
        <v>2822</v>
      </c>
    </row>
    <row r="519" spans="1:7" x14ac:dyDescent="0.3">
      <c r="A519" s="189">
        <v>46020</v>
      </c>
      <c r="B519" s="108" t="s">
        <v>2835</v>
      </c>
      <c r="C519" s="108" t="s">
        <v>2553</v>
      </c>
      <c r="D519" s="108" t="s">
        <v>2534</v>
      </c>
      <c r="E519" s="108">
        <v>120</v>
      </c>
      <c r="F519" s="108"/>
      <c r="G519" s="108" t="s">
        <v>2822</v>
      </c>
    </row>
    <row r="520" spans="1:7" x14ac:dyDescent="0.3">
      <c r="A520" s="189">
        <v>46021</v>
      </c>
      <c r="B520" s="108" t="s">
        <v>2835</v>
      </c>
      <c r="C520" s="108" t="s">
        <v>2553</v>
      </c>
      <c r="D520" s="108" t="s">
        <v>2534</v>
      </c>
      <c r="E520" s="108">
        <v>150</v>
      </c>
      <c r="F520" s="108"/>
      <c r="G520" s="108" t="s">
        <v>2822</v>
      </c>
    </row>
    <row r="522" spans="1:7" x14ac:dyDescent="0.3">
      <c r="A522" s="186" t="s">
        <v>2836</v>
      </c>
      <c r="B522" s="187"/>
      <c r="C522" s="187"/>
      <c r="D522" s="187"/>
      <c r="E522" s="187"/>
      <c r="F522" s="187"/>
      <c r="G522" s="187"/>
    </row>
    <row r="523" spans="1:7" x14ac:dyDescent="0.3">
      <c r="A523" s="189">
        <v>46043</v>
      </c>
      <c r="B523" s="108" t="s">
        <v>2837</v>
      </c>
      <c r="C523" s="108" t="s">
        <v>2553</v>
      </c>
      <c r="D523" s="108" t="s">
        <v>2534</v>
      </c>
      <c r="E523" s="108">
        <v>636</v>
      </c>
      <c r="F523" s="108"/>
      <c r="G523" s="108" t="s">
        <v>2838</v>
      </c>
    </row>
    <row r="524" spans="1:7" x14ac:dyDescent="0.3">
      <c r="A524" s="190">
        <v>46044</v>
      </c>
      <c r="B524" s="42" t="s">
        <v>2839</v>
      </c>
      <c r="C524" s="42" t="s">
        <v>2555</v>
      </c>
      <c r="D524" s="42" t="s">
        <v>2530</v>
      </c>
      <c r="E524" s="42">
        <v>52</v>
      </c>
      <c r="F524" s="42"/>
      <c r="G524" s="42" t="s">
        <v>2838</v>
      </c>
    </row>
    <row r="525" spans="1:7" x14ac:dyDescent="0.3">
      <c r="A525" s="190">
        <v>46045</v>
      </c>
      <c r="B525" s="42" t="s">
        <v>2840</v>
      </c>
      <c r="C525" s="42" t="s">
        <v>2555</v>
      </c>
      <c r="D525" s="42" t="s">
        <v>2530</v>
      </c>
      <c r="E525" s="42">
        <v>72</v>
      </c>
      <c r="F525" s="42"/>
      <c r="G525" s="42" t="s">
        <v>2838</v>
      </c>
    </row>
    <row r="526" spans="1:7" x14ac:dyDescent="0.3">
      <c r="A526" s="189">
        <v>46046</v>
      </c>
      <c r="B526" s="108" t="s">
        <v>2841</v>
      </c>
      <c r="C526" s="108" t="s">
        <v>2553</v>
      </c>
      <c r="D526" s="108" t="s">
        <v>2534</v>
      </c>
      <c r="E526" s="108">
        <v>30</v>
      </c>
      <c r="F526" s="108"/>
      <c r="G526" s="108" t="s">
        <v>2838</v>
      </c>
    </row>
    <row r="527" spans="1:7" x14ac:dyDescent="0.3">
      <c r="A527" s="190">
        <v>46046</v>
      </c>
      <c r="B527" s="42" t="s">
        <v>2842</v>
      </c>
      <c r="C527" s="42" t="s">
        <v>2555</v>
      </c>
      <c r="D527" s="42" t="s">
        <v>2530</v>
      </c>
      <c r="E527" s="42">
        <v>20</v>
      </c>
      <c r="F527" s="42"/>
      <c r="G527" s="42" t="s">
        <v>2838</v>
      </c>
    </row>
    <row r="528" spans="1:7" x14ac:dyDescent="0.3">
      <c r="A528" s="189">
        <v>46046</v>
      </c>
      <c r="B528" s="108" t="s">
        <v>2843</v>
      </c>
      <c r="C528" s="108" t="s">
        <v>2553</v>
      </c>
      <c r="D528" s="108" t="s">
        <v>2534</v>
      </c>
      <c r="E528" s="108">
        <v>131</v>
      </c>
      <c r="F528" s="108"/>
      <c r="G528" s="108" t="s">
        <v>2838</v>
      </c>
    </row>
    <row r="529" spans="1:7" x14ac:dyDescent="0.3">
      <c r="A529" s="190">
        <v>46046</v>
      </c>
      <c r="B529" s="42" t="s">
        <v>2844</v>
      </c>
      <c r="C529" s="42" t="s">
        <v>2555</v>
      </c>
      <c r="D529" s="42" t="s">
        <v>2530</v>
      </c>
      <c r="E529" s="42">
        <v>160</v>
      </c>
      <c r="F529" s="42"/>
      <c r="G529" s="42" t="s">
        <v>2838</v>
      </c>
    </row>
    <row r="530" spans="1:7" x14ac:dyDescent="0.3">
      <c r="A530" s="190">
        <v>46047</v>
      </c>
      <c r="B530" s="42" t="s">
        <v>2618</v>
      </c>
      <c r="C530" s="42" t="s">
        <v>2555</v>
      </c>
      <c r="D530" s="42" t="s">
        <v>2530</v>
      </c>
      <c r="E530" s="42">
        <v>52</v>
      </c>
      <c r="F530" s="42"/>
      <c r="G530" s="42" t="s">
        <v>2838</v>
      </c>
    </row>
    <row r="531" spans="1:7" x14ac:dyDescent="0.3">
      <c r="A531" s="195">
        <v>46047</v>
      </c>
      <c r="B531" s="54" t="s">
        <v>2845</v>
      </c>
      <c r="C531" s="54" t="s">
        <v>2573</v>
      </c>
      <c r="D531" s="54" t="s">
        <v>2535</v>
      </c>
      <c r="E531" s="54">
        <v>50</v>
      </c>
      <c r="F531" s="54"/>
      <c r="G531" s="54" t="s">
        <v>2838</v>
      </c>
    </row>
    <row r="532" spans="1:7" x14ac:dyDescent="0.3">
      <c r="A532" s="189">
        <v>46047</v>
      </c>
      <c r="B532" s="108" t="s">
        <v>2846</v>
      </c>
      <c r="C532" s="108" t="s">
        <v>2553</v>
      </c>
      <c r="D532" s="108" t="s">
        <v>2534</v>
      </c>
      <c r="E532" s="108">
        <v>70</v>
      </c>
      <c r="F532" s="108"/>
      <c r="G532" s="108" t="s">
        <v>2838</v>
      </c>
    </row>
    <row r="533" spans="1:7" x14ac:dyDescent="0.3">
      <c r="A533" s="188">
        <v>46047</v>
      </c>
      <c r="B533" s="112" t="s">
        <v>2847</v>
      </c>
      <c r="C533" s="112" t="s">
        <v>2665</v>
      </c>
      <c r="D533" s="112" t="s">
        <v>2536</v>
      </c>
      <c r="E533" s="112">
        <v>400</v>
      </c>
      <c r="F533" s="112"/>
      <c r="G533" s="112" t="s">
        <v>2838</v>
      </c>
    </row>
    <row r="534" spans="1:7" x14ac:dyDescent="0.3">
      <c r="A534" s="188">
        <v>46047</v>
      </c>
      <c r="B534" s="112" t="s">
        <v>2848</v>
      </c>
      <c r="C534" s="112" t="s">
        <v>2665</v>
      </c>
      <c r="D534" s="112" t="s">
        <v>2536</v>
      </c>
      <c r="E534" s="112">
        <v>900</v>
      </c>
      <c r="F534" s="112"/>
      <c r="G534" s="112" t="s">
        <v>2838</v>
      </c>
    </row>
    <row r="535" spans="1:7" x14ac:dyDescent="0.3">
      <c r="A535" s="193">
        <v>46049</v>
      </c>
      <c r="B535" s="181" t="s">
        <v>2849</v>
      </c>
      <c r="C535" s="181" t="s">
        <v>2563</v>
      </c>
      <c r="D535" s="181" t="s">
        <v>2532</v>
      </c>
      <c r="E535" s="181">
        <v>84</v>
      </c>
      <c r="F535" s="181"/>
      <c r="G535" s="181" t="s">
        <v>2838</v>
      </c>
    </row>
    <row r="536" spans="1:7" x14ac:dyDescent="0.3">
      <c r="A536" s="190">
        <v>46049</v>
      </c>
      <c r="B536" s="42" t="s">
        <v>2850</v>
      </c>
      <c r="C536" s="42" t="s">
        <v>2555</v>
      </c>
      <c r="D536" s="42" t="s">
        <v>2530</v>
      </c>
      <c r="E536" s="42">
        <v>210</v>
      </c>
      <c r="F536" s="42"/>
      <c r="G536" s="42" t="s">
        <v>2838</v>
      </c>
    </row>
    <row r="537" spans="1:7" x14ac:dyDescent="0.3">
      <c r="A537" s="190">
        <v>46050</v>
      </c>
      <c r="B537" s="42" t="s">
        <v>2851</v>
      </c>
      <c r="C537" s="42" t="s">
        <v>2555</v>
      </c>
      <c r="D537" s="42" t="s">
        <v>2530</v>
      </c>
      <c r="E537" s="42">
        <v>30</v>
      </c>
      <c r="F537" s="42"/>
      <c r="G537" s="42" t="s">
        <v>2838</v>
      </c>
    </row>
    <row r="538" spans="1:7" x14ac:dyDescent="0.3">
      <c r="A538" s="190">
        <v>46050</v>
      </c>
      <c r="B538" s="42" t="s">
        <v>2852</v>
      </c>
      <c r="C538" s="42" t="s">
        <v>2555</v>
      </c>
      <c r="D538" s="42" t="s">
        <v>2530</v>
      </c>
      <c r="E538" s="42">
        <v>50</v>
      </c>
      <c r="F538" s="42"/>
      <c r="G538" s="42" t="s">
        <v>2838</v>
      </c>
    </row>
    <row r="539" spans="1:7" x14ac:dyDescent="0.3">
      <c r="A539" s="190">
        <v>46051</v>
      </c>
      <c r="B539" s="42" t="s">
        <v>2840</v>
      </c>
      <c r="C539" s="42" t="s">
        <v>2555</v>
      </c>
      <c r="D539" s="42" t="s">
        <v>2530</v>
      </c>
      <c r="E539" s="42">
        <v>33</v>
      </c>
      <c r="F539" s="42"/>
      <c r="G539" s="42" t="s">
        <v>2838</v>
      </c>
    </row>
    <row r="540" spans="1:7" x14ac:dyDescent="0.3">
      <c r="A540" s="191">
        <v>46051</v>
      </c>
      <c r="B540" s="182" t="s">
        <v>2853</v>
      </c>
      <c r="C540" s="182" t="s">
        <v>2558</v>
      </c>
      <c r="D540" s="182" t="s">
        <v>2533</v>
      </c>
      <c r="E540" s="182">
        <v>30</v>
      </c>
      <c r="F540" s="182"/>
      <c r="G540" s="182" t="s">
        <v>2838</v>
      </c>
    </row>
    <row r="541" spans="1:7" x14ac:dyDescent="0.3">
      <c r="A541" s="195">
        <v>46052</v>
      </c>
      <c r="B541" s="54" t="s">
        <v>2854</v>
      </c>
      <c r="C541" s="54" t="s">
        <v>2573</v>
      </c>
      <c r="D541" s="54" t="s">
        <v>2535</v>
      </c>
      <c r="E541" s="54">
        <v>99</v>
      </c>
      <c r="F541" s="54"/>
      <c r="G541" s="54" t="s">
        <v>2838</v>
      </c>
    </row>
    <row r="542" spans="1:7" x14ac:dyDescent="0.3">
      <c r="A542" s="190">
        <v>46052</v>
      </c>
      <c r="B542" s="42" t="s">
        <v>2851</v>
      </c>
      <c r="C542" s="42" t="s">
        <v>2555</v>
      </c>
      <c r="D542" s="42" t="s">
        <v>2530</v>
      </c>
      <c r="E542" s="42">
        <v>116</v>
      </c>
      <c r="F542" s="42"/>
      <c r="G542" s="42" t="s">
        <v>2838</v>
      </c>
    </row>
    <row r="543" spans="1:7" x14ac:dyDescent="0.3">
      <c r="A543" s="190">
        <v>46052</v>
      </c>
      <c r="B543" s="42" t="s">
        <v>2855</v>
      </c>
      <c r="C543" s="42" t="s">
        <v>2555</v>
      </c>
      <c r="D543" s="42" t="s">
        <v>2530</v>
      </c>
      <c r="E543" s="42">
        <v>100</v>
      </c>
      <c r="F543" s="42"/>
      <c r="G543" s="42" t="s">
        <v>2838</v>
      </c>
    </row>
    <row r="544" spans="1:7" x14ac:dyDescent="0.3">
      <c r="A544" s="189">
        <v>46053</v>
      </c>
      <c r="B544" s="108" t="s">
        <v>2647</v>
      </c>
      <c r="C544" s="108" t="s">
        <v>2553</v>
      </c>
      <c r="D544" s="108" t="s">
        <v>2534</v>
      </c>
      <c r="E544" s="108">
        <v>200</v>
      </c>
      <c r="F544" s="108"/>
      <c r="G544" s="108" t="s">
        <v>2838</v>
      </c>
    </row>
    <row r="546" spans="1:7" x14ac:dyDescent="0.3">
      <c r="A546" s="186" t="s">
        <v>2856</v>
      </c>
      <c r="B546" s="187"/>
      <c r="C546" s="187"/>
      <c r="D546" s="187"/>
      <c r="E546" s="187"/>
      <c r="F546" s="187"/>
      <c r="G546" s="187"/>
    </row>
    <row r="547" spans="1:7" x14ac:dyDescent="0.3">
      <c r="A547" s="190">
        <v>46054</v>
      </c>
      <c r="B547" s="42" t="s">
        <v>2857</v>
      </c>
      <c r="C547" s="42" t="s">
        <v>2555</v>
      </c>
      <c r="D547" s="42" t="s">
        <v>2530</v>
      </c>
      <c r="E547" s="42">
        <v>100</v>
      </c>
      <c r="F547" s="42"/>
      <c r="G547" s="42" t="s">
        <v>2838</v>
      </c>
    </row>
    <row r="548" spans="1:7" x14ac:dyDescent="0.3">
      <c r="A548" s="190">
        <v>46054</v>
      </c>
      <c r="B548" s="42" t="s">
        <v>2858</v>
      </c>
      <c r="C548" s="42" t="s">
        <v>2555</v>
      </c>
      <c r="D548" s="42" t="s">
        <v>2530</v>
      </c>
      <c r="E548" s="42">
        <v>20</v>
      </c>
      <c r="F548" s="42"/>
      <c r="G548" s="42" t="s">
        <v>2838</v>
      </c>
    </row>
    <row r="549" spans="1:7" x14ac:dyDescent="0.3">
      <c r="A549" s="190">
        <v>46054</v>
      </c>
      <c r="B549" s="42" t="s">
        <v>2859</v>
      </c>
      <c r="C549" s="42" t="s">
        <v>2555</v>
      </c>
      <c r="D549" s="42" t="s">
        <v>2530</v>
      </c>
      <c r="E549" s="42">
        <v>40</v>
      </c>
      <c r="F549" s="42"/>
      <c r="G549" s="42" t="s">
        <v>2838</v>
      </c>
    </row>
    <row r="550" spans="1:7" x14ac:dyDescent="0.3">
      <c r="A550" s="190">
        <v>46055</v>
      </c>
      <c r="B550" s="42" t="s">
        <v>2851</v>
      </c>
      <c r="C550" s="42" t="s">
        <v>2555</v>
      </c>
      <c r="D550" s="42" t="s">
        <v>2530</v>
      </c>
      <c r="E550" s="42">
        <v>30</v>
      </c>
      <c r="F550" s="42"/>
      <c r="G550" s="42" t="s">
        <v>2838</v>
      </c>
    </row>
    <row r="551" spans="1:7" x14ac:dyDescent="0.3">
      <c r="A551" s="190">
        <v>46056</v>
      </c>
      <c r="B551" s="42" t="s">
        <v>2840</v>
      </c>
      <c r="C551" s="42" t="s">
        <v>2555</v>
      </c>
      <c r="D551" s="42" t="s">
        <v>2530</v>
      </c>
      <c r="E551" s="42">
        <v>84</v>
      </c>
      <c r="F551" s="42"/>
      <c r="G551" s="42" t="s">
        <v>2838</v>
      </c>
    </row>
    <row r="552" spans="1:7" x14ac:dyDescent="0.3">
      <c r="A552" s="189">
        <v>46056</v>
      </c>
      <c r="B552" s="108" t="s">
        <v>2810</v>
      </c>
      <c r="C552" s="108" t="s">
        <v>2553</v>
      </c>
      <c r="D552" s="108" t="s">
        <v>2534</v>
      </c>
      <c r="E552" s="108">
        <v>110</v>
      </c>
      <c r="F552" s="108"/>
      <c r="G552" s="108" t="s">
        <v>2838</v>
      </c>
    </row>
    <row r="553" spans="1:7" x14ac:dyDescent="0.3">
      <c r="A553" s="189">
        <v>46056</v>
      </c>
      <c r="B553" s="108" t="s">
        <v>2860</v>
      </c>
      <c r="C553" s="108" t="s">
        <v>2553</v>
      </c>
      <c r="D553" s="108" t="s">
        <v>2534</v>
      </c>
      <c r="E553" s="108">
        <v>25</v>
      </c>
      <c r="F553" s="108"/>
      <c r="G553" s="108" t="s">
        <v>2838</v>
      </c>
    </row>
    <row r="554" spans="1:7" x14ac:dyDescent="0.3">
      <c r="A554" s="190">
        <v>46056</v>
      </c>
      <c r="B554" s="42" t="s">
        <v>2608</v>
      </c>
      <c r="C554" s="42" t="s">
        <v>2555</v>
      </c>
      <c r="D554" s="42" t="s">
        <v>2530</v>
      </c>
      <c r="E554" s="42">
        <v>101</v>
      </c>
      <c r="F554" s="42"/>
      <c r="G554" s="42" t="s">
        <v>2838</v>
      </c>
    </row>
    <row r="555" spans="1:7" x14ac:dyDescent="0.3">
      <c r="A555" s="190">
        <v>46058</v>
      </c>
      <c r="B555" s="42" t="s">
        <v>2840</v>
      </c>
      <c r="C555" s="42" t="s">
        <v>2555</v>
      </c>
      <c r="D555" s="42" t="s">
        <v>2530</v>
      </c>
      <c r="E555" s="42">
        <v>84</v>
      </c>
      <c r="F555" s="42"/>
      <c r="G555" s="42" t="s">
        <v>2838</v>
      </c>
    </row>
    <row r="556" spans="1:7" x14ac:dyDescent="0.3">
      <c r="A556" s="189">
        <v>46059</v>
      </c>
      <c r="B556" s="108" t="s">
        <v>2861</v>
      </c>
      <c r="C556" s="108" t="s">
        <v>2553</v>
      </c>
      <c r="D556" s="108" t="s">
        <v>2534</v>
      </c>
      <c r="E556" s="108">
        <v>90</v>
      </c>
      <c r="F556" s="108"/>
      <c r="G556" s="108" t="s">
        <v>2838</v>
      </c>
    </row>
    <row r="557" spans="1:7" x14ac:dyDescent="0.3">
      <c r="A557" s="190">
        <v>46059</v>
      </c>
      <c r="B557" s="42" t="s">
        <v>2862</v>
      </c>
      <c r="C557" s="42" t="s">
        <v>2555</v>
      </c>
      <c r="D557" s="42" t="s">
        <v>2530</v>
      </c>
      <c r="E557" s="42">
        <v>20</v>
      </c>
      <c r="F557" s="42"/>
      <c r="G557" s="42" t="s">
        <v>2838</v>
      </c>
    </row>
    <row r="558" spans="1:7" x14ac:dyDescent="0.3">
      <c r="A558" s="190">
        <v>46060</v>
      </c>
      <c r="B558" s="42" t="s">
        <v>2851</v>
      </c>
      <c r="C558" s="42" t="s">
        <v>2555</v>
      </c>
      <c r="D558" s="42" t="s">
        <v>2530</v>
      </c>
      <c r="E558" s="42">
        <v>30</v>
      </c>
      <c r="F558" s="42"/>
      <c r="G558" s="42" t="s">
        <v>2838</v>
      </c>
    </row>
    <row r="559" spans="1:7" x14ac:dyDescent="0.3">
      <c r="A559" s="189">
        <v>46061</v>
      </c>
      <c r="B559" s="108" t="s">
        <v>2863</v>
      </c>
      <c r="C559" s="108" t="s">
        <v>2553</v>
      </c>
      <c r="D559" s="108" t="s">
        <v>2534</v>
      </c>
      <c r="E559" s="108">
        <v>100</v>
      </c>
      <c r="F559" s="108"/>
      <c r="G559" s="108" t="s">
        <v>2838</v>
      </c>
    </row>
    <row r="560" spans="1:7" x14ac:dyDescent="0.3">
      <c r="A560" s="190">
        <v>46061</v>
      </c>
      <c r="B560" s="42" t="s">
        <v>2864</v>
      </c>
      <c r="C560" s="42" t="s">
        <v>2555</v>
      </c>
      <c r="D560" s="42" t="s">
        <v>2530</v>
      </c>
      <c r="E560" s="42">
        <v>84</v>
      </c>
      <c r="F560" s="42"/>
      <c r="G560" s="42" t="s">
        <v>2838</v>
      </c>
    </row>
    <row r="561" spans="1:7" x14ac:dyDescent="0.3">
      <c r="A561" s="190">
        <v>46061</v>
      </c>
      <c r="B561" s="42" t="s">
        <v>2865</v>
      </c>
      <c r="C561" s="42" t="s">
        <v>2555</v>
      </c>
      <c r="D561" s="42" t="s">
        <v>2530</v>
      </c>
      <c r="E561" s="42">
        <v>60</v>
      </c>
      <c r="F561" s="42"/>
      <c r="G561" s="42" t="s">
        <v>2838</v>
      </c>
    </row>
    <row r="562" spans="1:7" x14ac:dyDescent="0.3">
      <c r="A562" s="188">
        <v>46061</v>
      </c>
      <c r="B562" s="112" t="s">
        <v>2866</v>
      </c>
      <c r="C562" s="112" t="s">
        <v>2665</v>
      </c>
      <c r="D562" s="112" t="s">
        <v>2536</v>
      </c>
      <c r="E562" s="112">
        <v>100</v>
      </c>
      <c r="F562" s="112"/>
      <c r="G562" s="112" t="s">
        <v>2838</v>
      </c>
    </row>
    <row r="563" spans="1:7" x14ac:dyDescent="0.3">
      <c r="A563" s="190">
        <v>46061</v>
      </c>
      <c r="B563" s="42" t="s">
        <v>2852</v>
      </c>
      <c r="C563" s="42" t="s">
        <v>2555</v>
      </c>
      <c r="D563" s="42" t="s">
        <v>2530</v>
      </c>
      <c r="E563" s="42">
        <v>97</v>
      </c>
      <c r="F563" s="42"/>
      <c r="G563" s="42" t="s">
        <v>2838</v>
      </c>
    </row>
    <row r="564" spans="1:7" x14ac:dyDescent="0.3">
      <c r="A564" s="188">
        <v>46061</v>
      </c>
      <c r="B564" s="112" t="s">
        <v>2867</v>
      </c>
      <c r="C564" s="112" t="s">
        <v>2550</v>
      </c>
      <c r="D564" s="112" t="s">
        <v>2536</v>
      </c>
      <c r="E564" s="112">
        <v>700</v>
      </c>
      <c r="F564" s="112"/>
      <c r="G564" s="112" t="s">
        <v>2838</v>
      </c>
    </row>
    <row r="565" spans="1:7" x14ac:dyDescent="0.3">
      <c r="A565" s="193">
        <v>46061</v>
      </c>
      <c r="B565" s="181" t="s">
        <v>2868</v>
      </c>
      <c r="C565" s="181" t="s">
        <v>2563</v>
      </c>
      <c r="D565" s="181" t="s">
        <v>2532</v>
      </c>
      <c r="E565" s="181">
        <v>40</v>
      </c>
      <c r="F565" s="181"/>
      <c r="G565" s="181" t="s">
        <v>2838</v>
      </c>
    </row>
    <row r="566" spans="1:7" x14ac:dyDescent="0.3">
      <c r="A566" s="193">
        <v>46061</v>
      </c>
      <c r="B566" s="181" t="s">
        <v>2869</v>
      </c>
      <c r="C566" s="181" t="s">
        <v>2563</v>
      </c>
      <c r="D566" s="181" t="s">
        <v>2532</v>
      </c>
      <c r="E566" s="181">
        <v>40</v>
      </c>
      <c r="F566" s="181"/>
      <c r="G566" s="181" t="s">
        <v>2838</v>
      </c>
    </row>
    <row r="567" spans="1:7" x14ac:dyDescent="0.3">
      <c r="A567" s="189">
        <v>46061</v>
      </c>
      <c r="B567" s="108" t="s">
        <v>2870</v>
      </c>
      <c r="C567" s="108" t="s">
        <v>2553</v>
      </c>
      <c r="D567" s="108" t="s">
        <v>2534</v>
      </c>
      <c r="E567" s="108">
        <v>50</v>
      </c>
      <c r="F567" s="108"/>
      <c r="G567" s="108" t="s">
        <v>2838</v>
      </c>
    </row>
    <row r="568" spans="1:7" x14ac:dyDescent="0.3">
      <c r="A568" s="190">
        <v>46061</v>
      </c>
      <c r="B568" s="42" t="s">
        <v>2871</v>
      </c>
      <c r="C568" s="42" t="s">
        <v>2555</v>
      </c>
      <c r="D568" s="42" t="s">
        <v>2530</v>
      </c>
      <c r="E568" s="42">
        <v>1000</v>
      </c>
      <c r="F568" s="42"/>
      <c r="G568" s="42" t="s">
        <v>2838</v>
      </c>
    </row>
    <row r="569" spans="1:7" x14ac:dyDescent="0.3">
      <c r="A569" s="190">
        <v>46062</v>
      </c>
      <c r="B569" s="42" t="s">
        <v>2840</v>
      </c>
      <c r="C569" s="42" t="s">
        <v>2555</v>
      </c>
      <c r="D569" s="42" t="s">
        <v>2530</v>
      </c>
      <c r="E569" s="42">
        <v>33</v>
      </c>
      <c r="F569" s="42"/>
      <c r="G569" s="42" t="s">
        <v>2838</v>
      </c>
    </row>
    <row r="570" spans="1:7" x14ac:dyDescent="0.3">
      <c r="A570" s="190">
        <v>46062</v>
      </c>
      <c r="B570" s="42" t="s">
        <v>2840</v>
      </c>
      <c r="C570" s="42" t="s">
        <v>2555</v>
      </c>
      <c r="D570" s="42" t="s">
        <v>2530</v>
      </c>
      <c r="E570" s="42">
        <v>136</v>
      </c>
      <c r="F570" s="42"/>
      <c r="G570" s="42" t="s">
        <v>2838</v>
      </c>
    </row>
    <row r="571" spans="1:7" x14ac:dyDescent="0.3">
      <c r="A571" s="193">
        <v>46063</v>
      </c>
      <c r="B571" s="181" t="s">
        <v>2872</v>
      </c>
      <c r="C571" s="181" t="s">
        <v>2615</v>
      </c>
      <c r="D571" s="181" t="s">
        <v>2532</v>
      </c>
      <c r="E571" s="181">
        <v>55</v>
      </c>
      <c r="F571" s="181"/>
      <c r="G571" s="181" t="s">
        <v>2838</v>
      </c>
    </row>
    <row r="572" spans="1:7" x14ac:dyDescent="0.3">
      <c r="A572" s="193">
        <v>46063</v>
      </c>
      <c r="B572" s="181" t="s">
        <v>2849</v>
      </c>
      <c r="C572" s="181" t="s">
        <v>2563</v>
      </c>
      <c r="D572" s="181" t="s">
        <v>2532</v>
      </c>
      <c r="E572" s="181">
        <v>30</v>
      </c>
      <c r="F572" s="181"/>
      <c r="G572" s="181" t="s">
        <v>2838</v>
      </c>
    </row>
    <row r="573" spans="1:7" x14ac:dyDescent="0.3">
      <c r="A573" s="190">
        <v>46064</v>
      </c>
      <c r="B573" s="42" t="s">
        <v>2840</v>
      </c>
      <c r="C573" s="42" t="s">
        <v>2555</v>
      </c>
      <c r="D573" s="42" t="s">
        <v>2530</v>
      </c>
      <c r="E573" s="42">
        <v>54</v>
      </c>
      <c r="F573" s="42"/>
      <c r="G573" s="42" t="s">
        <v>2838</v>
      </c>
    </row>
    <row r="574" spans="1:7" x14ac:dyDescent="0.3">
      <c r="A574" s="193">
        <v>46064</v>
      </c>
      <c r="B574" s="181" t="s">
        <v>2873</v>
      </c>
      <c r="C574" s="181" t="s">
        <v>2563</v>
      </c>
      <c r="D574" s="181" t="s">
        <v>2532</v>
      </c>
      <c r="E574" s="181">
        <v>90</v>
      </c>
      <c r="F574" s="181"/>
      <c r="G574" s="181" t="s">
        <v>2838</v>
      </c>
    </row>
    <row r="575" spans="1:7" x14ac:dyDescent="0.3">
      <c r="A575" s="189">
        <v>46064</v>
      </c>
      <c r="B575" s="108" t="s">
        <v>2874</v>
      </c>
      <c r="C575" s="108" t="s">
        <v>2553</v>
      </c>
      <c r="D575" s="108" t="s">
        <v>2534</v>
      </c>
      <c r="E575" s="108">
        <v>45</v>
      </c>
      <c r="F575" s="108"/>
      <c r="G575" s="108" t="s">
        <v>2838</v>
      </c>
    </row>
    <row r="576" spans="1:7" x14ac:dyDescent="0.3">
      <c r="A576" s="190">
        <v>46065</v>
      </c>
      <c r="B576" s="42" t="s">
        <v>2875</v>
      </c>
      <c r="C576" s="42" t="s">
        <v>2555</v>
      </c>
      <c r="D576" s="42" t="s">
        <v>2530</v>
      </c>
      <c r="E576" s="42">
        <v>744.81</v>
      </c>
      <c r="F576" s="42"/>
      <c r="G576" s="42" t="s">
        <v>2838</v>
      </c>
    </row>
    <row r="577" spans="1:7" x14ac:dyDescent="0.3">
      <c r="A577" s="189">
        <v>46065</v>
      </c>
      <c r="B577" s="108" t="s">
        <v>2876</v>
      </c>
      <c r="C577" s="108" t="s">
        <v>2553</v>
      </c>
      <c r="D577" s="108" t="s">
        <v>2534</v>
      </c>
      <c r="E577" s="108">
        <v>85</v>
      </c>
      <c r="F577" s="108"/>
      <c r="G577" s="108" t="s">
        <v>2838</v>
      </c>
    </row>
    <row r="578" spans="1:7" x14ac:dyDescent="0.3">
      <c r="A578" s="190">
        <v>46065</v>
      </c>
      <c r="B578" s="42" t="s">
        <v>2851</v>
      </c>
      <c r="C578" s="42" t="s">
        <v>2555</v>
      </c>
      <c r="D578" s="42" t="s">
        <v>2530</v>
      </c>
      <c r="E578" s="42">
        <v>30</v>
      </c>
      <c r="F578" s="42"/>
      <c r="G578" s="42" t="s">
        <v>2838</v>
      </c>
    </row>
    <row r="579" spans="1:7" x14ac:dyDescent="0.3">
      <c r="A579" s="200">
        <v>46065</v>
      </c>
      <c r="B579" s="114" t="s">
        <v>1129</v>
      </c>
      <c r="C579" s="114" t="s">
        <v>2571</v>
      </c>
      <c r="D579" s="114" t="s">
        <v>2540</v>
      </c>
      <c r="E579" s="114">
        <v>588.82000000000005</v>
      </c>
      <c r="F579" s="114"/>
      <c r="G579" s="114" t="s">
        <v>2838</v>
      </c>
    </row>
    <row r="580" spans="1:7" x14ac:dyDescent="0.3">
      <c r="A580" s="189">
        <v>46065</v>
      </c>
      <c r="B580" s="108" t="s">
        <v>2876</v>
      </c>
      <c r="C580" s="108" t="s">
        <v>2553</v>
      </c>
      <c r="D580" s="108" t="s">
        <v>2534</v>
      </c>
      <c r="E580" s="108">
        <v>75</v>
      </c>
      <c r="F580" s="108"/>
      <c r="G580" s="108" t="s">
        <v>2838</v>
      </c>
    </row>
    <row r="581" spans="1:7" x14ac:dyDescent="0.3">
      <c r="A581" s="190">
        <v>46066</v>
      </c>
      <c r="B581" s="42" t="s">
        <v>2840</v>
      </c>
      <c r="C581" s="42" t="s">
        <v>2555</v>
      </c>
      <c r="D581" s="42" t="s">
        <v>2530</v>
      </c>
      <c r="E581" s="42">
        <v>89</v>
      </c>
      <c r="F581" s="42"/>
      <c r="G581" s="42" t="s">
        <v>2838</v>
      </c>
    </row>
    <row r="582" spans="1:7" x14ac:dyDescent="0.3">
      <c r="A582" s="193">
        <v>46067</v>
      </c>
      <c r="B582" s="181" t="s">
        <v>2633</v>
      </c>
      <c r="C582" s="181" t="s">
        <v>2563</v>
      </c>
      <c r="D582" s="181" t="s">
        <v>2532</v>
      </c>
      <c r="E582" s="181">
        <v>82.96</v>
      </c>
      <c r="F582" s="181"/>
      <c r="G582" s="181" t="s">
        <v>2838</v>
      </c>
    </row>
    <row r="583" spans="1:7" x14ac:dyDescent="0.3">
      <c r="A583" s="190">
        <v>46067</v>
      </c>
      <c r="B583" s="42" t="s">
        <v>2850</v>
      </c>
      <c r="C583" s="42" t="s">
        <v>2555</v>
      </c>
      <c r="D583" s="42" t="s">
        <v>2530</v>
      </c>
      <c r="E583" s="42">
        <v>1503</v>
      </c>
      <c r="F583" s="42"/>
      <c r="G583" s="42" t="s">
        <v>2838</v>
      </c>
    </row>
    <row r="584" spans="1:7" x14ac:dyDescent="0.3">
      <c r="A584" s="190">
        <v>46068</v>
      </c>
      <c r="B584" s="42" t="s">
        <v>2618</v>
      </c>
      <c r="C584" s="42" t="s">
        <v>2555</v>
      </c>
      <c r="D584" s="42" t="s">
        <v>2530</v>
      </c>
      <c r="E584" s="42">
        <v>330</v>
      </c>
      <c r="F584" s="42"/>
      <c r="G584" s="42" t="s">
        <v>2838</v>
      </c>
    </row>
    <row r="585" spans="1:7" x14ac:dyDescent="0.3">
      <c r="A585" s="190">
        <v>46069</v>
      </c>
      <c r="B585" s="42" t="s">
        <v>2877</v>
      </c>
      <c r="C585" s="42" t="s">
        <v>2555</v>
      </c>
      <c r="D585" s="42" t="s">
        <v>2530</v>
      </c>
      <c r="E585" s="42">
        <v>10</v>
      </c>
      <c r="F585" s="42"/>
      <c r="G585" s="42" t="s">
        <v>2838</v>
      </c>
    </row>
    <row r="586" spans="1:7" x14ac:dyDescent="0.3">
      <c r="A586" s="189">
        <v>46069</v>
      </c>
      <c r="B586" s="108" t="s">
        <v>2878</v>
      </c>
      <c r="C586" s="108" t="s">
        <v>2553</v>
      </c>
      <c r="D586" s="108" t="s">
        <v>2534</v>
      </c>
      <c r="E586" s="108">
        <v>28</v>
      </c>
      <c r="F586" s="108"/>
      <c r="G586" s="108" t="s">
        <v>2838</v>
      </c>
    </row>
    <row r="587" spans="1:7" x14ac:dyDescent="0.3">
      <c r="A587" s="195">
        <v>46069</v>
      </c>
      <c r="B587" s="54" t="s">
        <v>2854</v>
      </c>
      <c r="C587" s="54" t="s">
        <v>2573</v>
      </c>
      <c r="D587" s="54" t="s">
        <v>2535</v>
      </c>
      <c r="E587" s="54">
        <v>100</v>
      </c>
      <c r="F587" s="54"/>
      <c r="G587" s="54" t="s">
        <v>2838</v>
      </c>
    </row>
    <row r="588" spans="1:7" x14ac:dyDescent="0.3">
      <c r="A588" s="193">
        <v>46069</v>
      </c>
      <c r="B588" s="181" t="s">
        <v>2879</v>
      </c>
      <c r="C588" s="181" t="s">
        <v>2563</v>
      </c>
      <c r="D588" s="181" t="s">
        <v>2532</v>
      </c>
      <c r="E588" s="181">
        <v>60</v>
      </c>
      <c r="F588" s="181"/>
      <c r="G588" s="181" t="s">
        <v>2838</v>
      </c>
    </row>
    <row r="589" spans="1:7" x14ac:dyDescent="0.3">
      <c r="A589" s="200">
        <v>46070</v>
      </c>
      <c r="B589" s="114" t="s">
        <v>2880</v>
      </c>
      <c r="C589" s="114" t="s">
        <v>1860</v>
      </c>
      <c r="D589" s="114" t="s">
        <v>2539</v>
      </c>
      <c r="E589" s="114">
        <v>15</v>
      </c>
      <c r="F589" s="114"/>
      <c r="G589" s="114" t="s">
        <v>2838</v>
      </c>
    </row>
    <row r="590" spans="1:7" x14ac:dyDescent="0.3">
      <c r="A590" s="193">
        <v>46071</v>
      </c>
      <c r="B590" s="181" t="s">
        <v>2881</v>
      </c>
      <c r="C590" s="181" t="s">
        <v>2563</v>
      </c>
      <c r="D590" s="181" t="s">
        <v>2532</v>
      </c>
      <c r="E590" s="181">
        <v>656</v>
      </c>
      <c r="F590" s="181"/>
      <c r="G590" s="181" t="s">
        <v>2838</v>
      </c>
    </row>
    <row r="591" spans="1:7" x14ac:dyDescent="0.3">
      <c r="A591" s="189">
        <v>46071</v>
      </c>
      <c r="B591" s="108" t="s">
        <v>2882</v>
      </c>
      <c r="C591" s="108" t="s">
        <v>2553</v>
      </c>
      <c r="D591" s="108" t="s">
        <v>2534</v>
      </c>
      <c r="E591" s="108">
        <v>130</v>
      </c>
      <c r="F591" s="108"/>
      <c r="G591" s="108" t="s">
        <v>2838</v>
      </c>
    </row>
    <row r="592" spans="1:7" x14ac:dyDescent="0.3">
      <c r="A592" s="190">
        <v>46072</v>
      </c>
      <c r="B592" s="42" t="s">
        <v>2883</v>
      </c>
      <c r="C592" s="42" t="s">
        <v>2555</v>
      </c>
      <c r="D592" s="42" t="s">
        <v>2530</v>
      </c>
      <c r="E592" s="42">
        <v>5</v>
      </c>
      <c r="F592" s="42"/>
      <c r="G592" s="42" t="s">
        <v>2838</v>
      </c>
    </row>
    <row r="593" spans="1:7" x14ac:dyDescent="0.3">
      <c r="A593" s="189">
        <v>46074</v>
      </c>
      <c r="B593" s="108" t="s">
        <v>2884</v>
      </c>
      <c r="C593" s="108" t="s">
        <v>2553</v>
      </c>
      <c r="D593" s="108" t="s">
        <v>2534</v>
      </c>
      <c r="E593" s="108">
        <v>240</v>
      </c>
      <c r="F593" s="108"/>
      <c r="G593" s="108" t="s">
        <v>2885</v>
      </c>
    </row>
    <row r="594" spans="1:7" x14ac:dyDescent="0.3">
      <c r="A594" s="193">
        <v>46074</v>
      </c>
      <c r="B594" s="181" t="s">
        <v>2886</v>
      </c>
      <c r="C594" s="181" t="s">
        <v>2563</v>
      </c>
      <c r="D594" s="181" t="s">
        <v>2532</v>
      </c>
      <c r="E594" s="181">
        <v>10</v>
      </c>
      <c r="F594" s="181"/>
      <c r="G594" s="181" t="s">
        <v>2885</v>
      </c>
    </row>
    <row r="595" spans="1:7" x14ac:dyDescent="0.3">
      <c r="A595" s="190">
        <v>46076</v>
      </c>
      <c r="B595" s="42" t="s">
        <v>2887</v>
      </c>
      <c r="C595" s="42" t="s">
        <v>2555</v>
      </c>
      <c r="D595" s="42" t="s">
        <v>2530</v>
      </c>
      <c r="E595" s="42">
        <v>148</v>
      </c>
      <c r="F595" s="42"/>
      <c r="G595" s="42" t="s">
        <v>2885</v>
      </c>
    </row>
    <row r="596" spans="1:7" x14ac:dyDescent="0.3">
      <c r="A596" s="190">
        <v>46076</v>
      </c>
      <c r="B596" s="42" t="s">
        <v>2888</v>
      </c>
      <c r="C596" s="42" t="s">
        <v>2555</v>
      </c>
      <c r="D596" s="42" t="s">
        <v>2530</v>
      </c>
      <c r="E596" s="42">
        <v>50</v>
      </c>
      <c r="F596" s="42"/>
      <c r="G596" s="42" t="s">
        <v>2885</v>
      </c>
    </row>
    <row r="597" spans="1:7" x14ac:dyDescent="0.3">
      <c r="A597" s="189">
        <v>46076</v>
      </c>
      <c r="B597" s="108" t="s">
        <v>2685</v>
      </c>
      <c r="C597" s="108" t="s">
        <v>2553</v>
      </c>
      <c r="D597" s="108" t="s">
        <v>2534</v>
      </c>
      <c r="E597" s="108">
        <v>107</v>
      </c>
      <c r="F597" s="108"/>
      <c r="G597" s="108" t="s">
        <v>2885</v>
      </c>
    </row>
    <row r="598" spans="1:7" x14ac:dyDescent="0.3">
      <c r="A598" s="189">
        <v>46076</v>
      </c>
      <c r="B598" s="108" t="s">
        <v>2889</v>
      </c>
      <c r="C598" s="108" t="s">
        <v>2553</v>
      </c>
      <c r="D598" s="108" t="s">
        <v>2534</v>
      </c>
      <c r="E598" s="108">
        <v>60</v>
      </c>
      <c r="F598" s="108"/>
      <c r="G598" s="108" t="s">
        <v>2885</v>
      </c>
    </row>
    <row r="599" spans="1:7" x14ac:dyDescent="0.3">
      <c r="A599" s="198">
        <v>46076</v>
      </c>
      <c r="B599" s="183" t="s">
        <v>2789</v>
      </c>
      <c r="C599" s="183" t="s">
        <v>2610</v>
      </c>
      <c r="D599" s="183" t="s">
        <v>2538</v>
      </c>
      <c r="E599" s="183">
        <v>418.52</v>
      </c>
      <c r="F599" s="183"/>
      <c r="G599" s="183" t="s">
        <v>2885</v>
      </c>
    </row>
    <row r="600" spans="1:7" x14ac:dyDescent="0.3">
      <c r="A600" s="192">
        <v>46076</v>
      </c>
      <c r="B600" s="106" t="s">
        <v>2890</v>
      </c>
      <c r="C600" s="106" t="s">
        <v>2559</v>
      </c>
      <c r="D600" s="106" t="s">
        <v>2527</v>
      </c>
      <c r="E600" s="106">
        <v>700</v>
      </c>
      <c r="F600" s="106"/>
      <c r="G600" s="106" t="s">
        <v>2885</v>
      </c>
    </row>
    <row r="601" spans="1:7" x14ac:dyDescent="0.3">
      <c r="A601" s="189">
        <v>46077</v>
      </c>
      <c r="B601" s="108" t="s">
        <v>2810</v>
      </c>
      <c r="C601" s="108" t="s">
        <v>2553</v>
      </c>
      <c r="D601" s="108" t="s">
        <v>2534</v>
      </c>
      <c r="E601" s="108">
        <v>80</v>
      </c>
      <c r="F601" s="108"/>
      <c r="G601" s="108" t="s">
        <v>2885</v>
      </c>
    </row>
    <row r="602" spans="1:7" x14ac:dyDescent="0.3">
      <c r="A602" s="189">
        <v>46077</v>
      </c>
      <c r="B602" s="108" t="s">
        <v>2860</v>
      </c>
      <c r="C602" s="108" t="s">
        <v>2553</v>
      </c>
      <c r="D602" s="108" t="s">
        <v>2534</v>
      </c>
      <c r="E602" s="108">
        <v>25</v>
      </c>
      <c r="F602" s="108"/>
      <c r="G602" s="108" t="s">
        <v>2885</v>
      </c>
    </row>
    <row r="603" spans="1:7" x14ac:dyDescent="0.3">
      <c r="A603" s="190">
        <v>46078</v>
      </c>
      <c r="B603" s="42" t="s">
        <v>2891</v>
      </c>
      <c r="C603" s="42" t="s">
        <v>2555</v>
      </c>
      <c r="D603" s="42" t="s">
        <v>2530</v>
      </c>
      <c r="E603" s="42">
        <v>52</v>
      </c>
      <c r="F603" s="42"/>
      <c r="G603" s="42" t="s">
        <v>2885</v>
      </c>
    </row>
    <row r="604" spans="1:7" x14ac:dyDescent="0.3">
      <c r="A604" s="190">
        <v>46078</v>
      </c>
      <c r="B604" s="42" t="s">
        <v>1467</v>
      </c>
      <c r="C604" s="42" t="s">
        <v>2555</v>
      </c>
      <c r="D604" s="42" t="s">
        <v>2530</v>
      </c>
      <c r="E604" s="42">
        <v>50</v>
      </c>
      <c r="F604" s="42"/>
      <c r="G604" s="42" t="s">
        <v>2885</v>
      </c>
    </row>
    <row r="605" spans="1:7" x14ac:dyDescent="0.3">
      <c r="A605" s="190">
        <v>46078</v>
      </c>
      <c r="B605" s="42" t="s">
        <v>2891</v>
      </c>
      <c r="C605" s="42" t="s">
        <v>2555</v>
      </c>
      <c r="D605" s="42" t="s">
        <v>2530</v>
      </c>
      <c r="E605" s="42">
        <v>28</v>
      </c>
      <c r="F605" s="42"/>
      <c r="G605" s="42" t="s">
        <v>2885</v>
      </c>
    </row>
    <row r="606" spans="1:7" x14ac:dyDescent="0.3">
      <c r="A606" s="189">
        <v>46078</v>
      </c>
      <c r="B606" s="108" t="s">
        <v>2892</v>
      </c>
      <c r="C606" s="108" t="s">
        <v>2553</v>
      </c>
      <c r="D606" s="108" t="s">
        <v>2534</v>
      </c>
      <c r="E606" s="108">
        <v>265</v>
      </c>
      <c r="F606" s="108"/>
      <c r="G606" s="108" t="s">
        <v>2885</v>
      </c>
    </row>
    <row r="607" spans="1:7" x14ac:dyDescent="0.3">
      <c r="A607" s="189">
        <v>46078</v>
      </c>
      <c r="B607" s="108" t="s">
        <v>2876</v>
      </c>
      <c r="C607" s="108" t="s">
        <v>2553</v>
      </c>
      <c r="D607" s="108" t="s">
        <v>2534</v>
      </c>
      <c r="E607" s="108">
        <v>80</v>
      </c>
      <c r="F607" s="108"/>
      <c r="G607" s="108" t="s">
        <v>2885</v>
      </c>
    </row>
    <row r="608" spans="1:7" x14ac:dyDescent="0.3">
      <c r="A608" s="190">
        <v>46080</v>
      </c>
      <c r="B608" s="42" t="s">
        <v>2893</v>
      </c>
      <c r="C608" s="42" t="s">
        <v>2555</v>
      </c>
      <c r="D608" s="42" t="s">
        <v>2530</v>
      </c>
      <c r="E608" s="42">
        <v>45</v>
      </c>
      <c r="F608" s="42"/>
      <c r="G608" s="42" t="s">
        <v>2885</v>
      </c>
    </row>
    <row r="609" spans="1:7" x14ac:dyDescent="0.3">
      <c r="A609" s="190">
        <v>46080</v>
      </c>
      <c r="B609" s="42" t="s">
        <v>2888</v>
      </c>
      <c r="C609" s="42" t="s">
        <v>2555</v>
      </c>
      <c r="D609" s="42" t="s">
        <v>2530</v>
      </c>
      <c r="E609" s="42">
        <v>27</v>
      </c>
      <c r="F609" s="42"/>
      <c r="G609" s="42" t="s">
        <v>2885</v>
      </c>
    </row>
    <row r="610" spans="1:7" x14ac:dyDescent="0.3">
      <c r="A610" s="189">
        <v>46081</v>
      </c>
      <c r="B610" s="108" t="s">
        <v>2689</v>
      </c>
      <c r="C610" s="108" t="s">
        <v>2553</v>
      </c>
      <c r="D610" s="108" t="s">
        <v>2534</v>
      </c>
      <c r="E610" s="108">
        <v>182.95</v>
      </c>
      <c r="F610" s="108"/>
      <c r="G610" s="108" t="s">
        <v>2885</v>
      </c>
    </row>
    <row r="611" spans="1:7" x14ac:dyDescent="0.3">
      <c r="A611" s="189">
        <v>46081</v>
      </c>
      <c r="B611" s="108" t="s">
        <v>2894</v>
      </c>
      <c r="C611" s="108" t="s">
        <v>2553</v>
      </c>
      <c r="D611" s="108" t="s">
        <v>2534</v>
      </c>
      <c r="E611" s="108">
        <v>15</v>
      </c>
      <c r="F611" s="108"/>
      <c r="G611" s="108" t="s">
        <v>2885</v>
      </c>
    </row>
    <row r="612" spans="1:7" x14ac:dyDescent="0.3">
      <c r="A612" s="190">
        <v>46081</v>
      </c>
      <c r="B612" s="42" t="s">
        <v>2877</v>
      </c>
      <c r="C612" s="42" t="s">
        <v>2555</v>
      </c>
      <c r="D612" s="42" t="s">
        <v>2530</v>
      </c>
      <c r="E612" s="42">
        <v>30</v>
      </c>
      <c r="F612" s="42"/>
      <c r="G612" s="42" t="s">
        <v>2885</v>
      </c>
    </row>
    <row r="613" spans="1:7" x14ac:dyDescent="0.3">
      <c r="A613" s="193">
        <v>46081</v>
      </c>
      <c r="B613" s="181" t="s">
        <v>2872</v>
      </c>
      <c r="C613" s="181" t="s">
        <v>2615</v>
      </c>
      <c r="D613" s="181" t="s">
        <v>2532</v>
      </c>
      <c r="E613" s="181">
        <v>25</v>
      </c>
      <c r="F613" s="181"/>
      <c r="G613" s="181" t="s">
        <v>2885</v>
      </c>
    </row>
    <row r="614" spans="1:7" x14ac:dyDescent="0.3">
      <c r="A614" s="190">
        <v>46081</v>
      </c>
      <c r="B614" s="42" t="s">
        <v>2888</v>
      </c>
      <c r="C614" s="42" t="s">
        <v>2555</v>
      </c>
      <c r="D614" s="42" t="s">
        <v>2530</v>
      </c>
      <c r="E614" s="42">
        <v>27</v>
      </c>
      <c r="F614" s="42"/>
      <c r="G614" s="42" t="s">
        <v>2885</v>
      </c>
    </row>
    <row r="616" spans="1:7" x14ac:dyDescent="0.3">
      <c r="A616" s="186" t="s">
        <v>2895</v>
      </c>
      <c r="B616" s="187"/>
      <c r="C616" s="187"/>
      <c r="D616" s="187"/>
      <c r="E616" s="187"/>
      <c r="F616" s="187"/>
      <c r="G616" s="187"/>
    </row>
    <row r="617" spans="1:7" x14ac:dyDescent="0.3">
      <c r="A617" s="193">
        <v>46082</v>
      </c>
      <c r="B617" s="181" t="s">
        <v>2896</v>
      </c>
      <c r="C617" s="181" t="s">
        <v>2563</v>
      </c>
      <c r="D617" s="181" t="s">
        <v>2532</v>
      </c>
      <c r="E617" s="181">
        <v>212.92</v>
      </c>
      <c r="F617" s="181"/>
      <c r="G617" s="181" t="s">
        <v>2885</v>
      </c>
    </row>
    <row r="618" spans="1:7" x14ac:dyDescent="0.3">
      <c r="A618" s="190">
        <v>46082</v>
      </c>
      <c r="B618" s="42" t="s">
        <v>1467</v>
      </c>
      <c r="C618" s="42" t="s">
        <v>2555</v>
      </c>
      <c r="D618" s="42" t="s">
        <v>2530</v>
      </c>
      <c r="E618" s="42">
        <v>18</v>
      </c>
      <c r="F618" s="42"/>
      <c r="G618" s="42" t="s">
        <v>2885</v>
      </c>
    </row>
    <row r="619" spans="1:7" x14ac:dyDescent="0.3">
      <c r="A619" s="190">
        <v>46082</v>
      </c>
      <c r="B619" s="42" t="s">
        <v>2877</v>
      </c>
      <c r="C619" s="42" t="s">
        <v>2555</v>
      </c>
      <c r="D619" s="42" t="s">
        <v>2530</v>
      </c>
      <c r="E619" s="42">
        <v>75</v>
      </c>
      <c r="F619" s="42"/>
      <c r="G619" s="42" t="s">
        <v>2885</v>
      </c>
    </row>
    <row r="620" spans="1:7" x14ac:dyDescent="0.3">
      <c r="A620" s="189">
        <v>46082</v>
      </c>
      <c r="B620" s="108" t="s">
        <v>2897</v>
      </c>
      <c r="C620" s="108" t="s">
        <v>2553</v>
      </c>
      <c r="D620" s="108" t="s">
        <v>2534</v>
      </c>
      <c r="E620" s="108">
        <v>70</v>
      </c>
      <c r="F620" s="108"/>
      <c r="G620" s="108" t="s">
        <v>2885</v>
      </c>
    </row>
    <row r="621" spans="1:7" x14ac:dyDescent="0.3">
      <c r="A621" s="190">
        <v>46083</v>
      </c>
      <c r="B621" s="42" t="s">
        <v>2888</v>
      </c>
      <c r="C621" s="42" t="s">
        <v>2555</v>
      </c>
      <c r="D621" s="42" t="s">
        <v>2530</v>
      </c>
      <c r="E621" s="42">
        <v>50</v>
      </c>
      <c r="F621" s="42"/>
      <c r="G621" s="42" t="s">
        <v>2885</v>
      </c>
    </row>
    <row r="622" spans="1:7" x14ac:dyDescent="0.3">
      <c r="A622" s="189">
        <v>46083</v>
      </c>
      <c r="B622" s="108" t="s">
        <v>2898</v>
      </c>
      <c r="C622" s="108" t="s">
        <v>2553</v>
      </c>
      <c r="D622" s="108" t="s">
        <v>2534</v>
      </c>
      <c r="E622" s="108">
        <v>20</v>
      </c>
      <c r="F622" s="108"/>
      <c r="G622" s="108" t="s">
        <v>2885</v>
      </c>
    </row>
    <row r="623" spans="1:7" x14ac:dyDescent="0.3">
      <c r="A623" s="190">
        <v>46084</v>
      </c>
      <c r="B623" s="42" t="s">
        <v>2877</v>
      </c>
      <c r="C623" s="42" t="s">
        <v>2555</v>
      </c>
      <c r="D623" s="42" t="s">
        <v>2530</v>
      </c>
      <c r="E623" s="42">
        <v>40</v>
      </c>
      <c r="F623" s="42"/>
      <c r="G623" s="42" t="s">
        <v>2885</v>
      </c>
    </row>
    <row r="624" spans="1:7" x14ac:dyDescent="0.3">
      <c r="A624" s="189">
        <v>46084</v>
      </c>
      <c r="B624" s="108" t="s">
        <v>2689</v>
      </c>
      <c r="C624" s="108" t="s">
        <v>2553</v>
      </c>
      <c r="D624" s="108" t="s">
        <v>2534</v>
      </c>
      <c r="E624" s="108">
        <v>120.25</v>
      </c>
      <c r="F624" s="108"/>
      <c r="G624" s="108" t="s">
        <v>2885</v>
      </c>
    </row>
    <row r="625" spans="1:7" x14ac:dyDescent="0.3">
      <c r="A625" s="190">
        <v>46084</v>
      </c>
      <c r="B625" s="42" t="s">
        <v>2608</v>
      </c>
      <c r="C625" s="42" t="s">
        <v>2555</v>
      </c>
      <c r="D625" s="42" t="s">
        <v>2530</v>
      </c>
      <c r="E625" s="42">
        <v>99</v>
      </c>
      <c r="F625" s="42"/>
      <c r="G625" s="42" t="s">
        <v>2885</v>
      </c>
    </row>
    <row r="626" spans="1:7" x14ac:dyDescent="0.3">
      <c r="A626" s="189">
        <v>46084</v>
      </c>
      <c r="B626" s="108" t="s">
        <v>2721</v>
      </c>
      <c r="C626" s="108" t="s">
        <v>2553</v>
      </c>
      <c r="D626" s="108" t="s">
        <v>2534</v>
      </c>
      <c r="E626" s="108">
        <v>126</v>
      </c>
      <c r="F626" s="108"/>
      <c r="G626" s="108" t="s">
        <v>2885</v>
      </c>
    </row>
    <row r="627" spans="1:7" x14ac:dyDescent="0.3">
      <c r="A627" s="190">
        <v>46084</v>
      </c>
      <c r="B627" s="42" t="s">
        <v>2899</v>
      </c>
      <c r="C627" s="42" t="s">
        <v>2555</v>
      </c>
      <c r="D627" s="42" t="s">
        <v>2530</v>
      </c>
      <c r="E627" s="42">
        <v>28</v>
      </c>
      <c r="F627" s="42"/>
      <c r="G627" s="42" t="s">
        <v>2885</v>
      </c>
    </row>
    <row r="628" spans="1:7" x14ac:dyDescent="0.3">
      <c r="A628" s="190">
        <v>46085</v>
      </c>
      <c r="B628" s="42" t="s">
        <v>2900</v>
      </c>
      <c r="C628" s="42" t="s">
        <v>2555</v>
      </c>
      <c r="D628" s="42" t="s">
        <v>2530</v>
      </c>
      <c r="E628" s="42">
        <v>28</v>
      </c>
      <c r="F628" s="42"/>
      <c r="G628" s="42" t="s">
        <v>2885</v>
      </c>
    </row>
    <row r="629" spans="1:7" x14ac:dyDescent="0.3">
      <c r="A629" s="190">
        <v>46085</v>
      </c>
      <c r="B629" s="42" t="s">
        <v>2901</v>
      </c>
      <c r="C629" s="42" t="s">
        <v>2555</v>
      </c>
      <c r="D629" s="42" t="s">
        <v>2530</v>
      </c>
      <c r="E629" s="42">
        <v>198.7</v>
      </c>
      <c r="F629" s="42"/>
      <c r="G629" s="42" t="s">
        <v>2885</v>
      </c>
    </row>
    <row r="630" spans="1:7" x14ac:dyDescent="0.3">
      <c r="A630" s="190">
        <v>46085</v>
      </c>
      <c r="B630" s="42" t="s">
        <v>1467</v>
      </c>
      <c r="C630" s="42" t="s">
        <v>2555</v>
      </c>
      <c r="D630" s="42" t="s">
        <v>2530</v>
      </c>
      <c r="E630" s="42">
        <v>150</v>
      </c>
      <c r="F630" s="42"/>
      <c r="G630" s="42" t="s">
        <v>2885</v>
      </c>
    </row>
    <row r="631" spans="1:7" x14ac:dyDescent="0.3">
      <c r="A631" s="190">
        <v>46086</v>
      </c>
      <c r="B631" s="42" t="s">
        <v>2901</v>
      </c>
      <c r="C631" s="42" t="s">
        <v>2555</v>
      </c>
      <c r="D631" s="42" t="s">
        <v>2530</v>
      </c>
      <c r="E631" s="42">
        <v>141.68</v>
      </c>
      <c r="F631" s="42"/>
      <c r="G631" s="42" t="s">
        <v>2885</v>
      </c>
    </row>
    <row r="632" spans="1:7" x14ac:dyDescent="0.3">
      <c r="A632" s="190">
        <v>46087</v>
      </c>
      <c r="B632" s="42" t="s">
        <v>2891</v>
      </c>
      <c r="C632" s="42" t="s">
        <v>2555</v>
      </c>
      <c r="D632" s="42" t="s">
        <v>2530</v>
      </c>
      <c r="E632" s="42">
        <v>38</v>
      </c>
      <c r="F632" s="42"/>
      <c r="G632" s="42" t="s">
        <v>2885</v>
      </c>
    </row>
    <row r="633" spans="1:7" x14ac:dyDescent="0.3">
      <c r="A633" s="189">
        <v>46087</v>
      </c>
      <c r="B633" s="108" t="s">
        <v>2902</v>
      </c>
      <c r="C633" s="108" t="s">
        <v>2553</v>
      </c>
      <c r="D633" s="108" t="s">
        <v>2534</v>
      </c>
      <c r="E633" s="108">
        <v>156</v>
      </c>
      <c r="F633" s="108"/>
      <c r="G633" s="108" t="s">
        <v>2885</v>
      </c>
    </row>
    <row r="634" spans="1:7" x14ac:dyDescent="0.3">
      <c r="A634" s="190">
        <v>46088</v>
      </c>
      <c r="B634" s="42" t="s">
        <v>2840</v>
      </c>
      <c r="C634" s="42" t="s">
        <v>2555</v>
      </c>
      <c r="D634" s="42" t="s">
        <v>2530</v>
      </c>
      <c r="E634" s="42">
        <v>14</v>
      </c>
      <c r="F634" s="42"/>
      <c r="G634" s="42" t="s">
        <v>2885</v>
      </c>
    </row>
    <row r="635" spans="1:7" x14ac:dyDescent="0.3">
      <c r="A635" s="190">
        <v>46088</v>
      </c>
      <c r="B635" s="42" t="s">
        <v>2850</v>
      </c>
      <c r="C635" s="42" t="s">
        <v>2555</v>
      </c>
      <c r="D635" s="42" t="s">
        <v>2530</v>
      </c>
      <c r="E635" s="42">
        <v>168</v>
      </c>
      <c r="F635" s="42"/>
      <c r="G635" s="42" t="s">
        <v>2885</v>
      </c>
    </row>
    <row r="636" spans="1:7" x14ac:dyDescent="0.3">
      <c r="A636" s="189">
        <v>46088</v>
      </c>
      <c r="B636" s="108" t="s">
        <v>2874</v>
      </c>
      <c r="C636" s="108" t="s">
        <v>2553</v>
      </c>
      <c r="D636" s="108" t="s">
        <v>2534</v>
      </c>
      <c r="E636" s="108">
        <v>15</v>
      </c>
      <c r="F636" s="108"/>
      <c r="G636" s="108" t="s">
        <v>2885</v>
      </c>
    </row>
    <row r="637" spans="1:7" x14ac:dyDescent="0.3">
      <c r="A637" s="190">
        <v>46088</v>
      </c>
      <c r="B637" s="42" t="s">
        <v>2891</v>
      </c>
      <c r="C637" s="42" t="s">
        <v>2555</v>
      </c>
      <c r="D637" s="42" t="s">
        <v>2530</v>
      </c>
      <c r="E637" s="42">
        <v>28</v>
      </c>
      <c r="F637" s="42"/>
      <c r="G637" s="42" t="s">
        <v>2885</v>
      </c>
    </row>
    <row r="638" spans="1:7" x14ac:dyDescent="0.3">
      <c r="A638" s="189">
        <v>46088</v>
      </c>
      <c r="B638" s="108" t="s">
        <v>2685</v>
      </c>
      <c r="C638" s="108" t="s">
        <v>2553</v>
      </c>
      <c r="D638" s="108" t="s">
        <v>2534</v>
      </c>
      <c r="E638" s="108">
        <v>199</v>
      </c>
      <c r="F638" s="108"/>
      <c r="G638" s="108" t="s">
        <v>2885</v>
      </c>
    </row>
    <row r="639" spans="1:7" x14ac:dyDescent="0.3">
      <c r="A639" s="190">
        <v>46089</v>
      </c>
      <c r="B639" s="42" t="s">
        <v>2891</v>
      </c>
      <c r="C639" s="42" t="s">
        <v>2555</v>
      </c>
      <c r="D639" s="42" t="s">
        <v>2530</v>
      </c>
      <c r="E639" s="42">
        <v>57</v>
      </c>
      <c r="F639" s="42"/>
      <c r="G639" s="42" t="s">
        <v>2885</v>
      </c>
    </row>
    <row r="640" spans="1:7" x14ac:dyDescent="0.3">
      <c r="A640" s="193">
        <v>46089</v>
      </c>
      <c r="B640" s="181" t="s">
        <v>2896</v>
      </c>
      <c r="C640" s="181" t="s">
        <v>2563</v>
      </c>
      <c r="D640" s="181" t="s">
        <v>2532</v>
      </c>
      <c r="E640" s="181">
        <v>322.3</v>
      </c>
      <c r="F640" s="181"/>
      <c r="G640" s="181" t="s">
        <v>2885</v>
      </c>
    </row>
    <row r="641" spans="1:7" x14ac:dyDescent="0.3">
      <c r="A641" s="189">
        <v>46090</v>
      </c>
      <c r="B641" s="108" t="s">
        <v>2685</v>
      </c>
      <c r="C641" s="108" t="s">
        <v>2553</v>
      </c>
      <c r="D641" s="108" t="s">
        <v>2534</v>
      </c>
      <c r="E641" s="108">
        <v>125</v>
      </c>
      <c r="F641" s="108"/>
      <c r="G641" s="108" t="s">
        <v>2885</v>
      </c>
    </row>
    <row r="642" spans="1:7" x14ac:dyDescent="0.3">
      <c r="A642" s="193">
        <v>46090</v>
      </c>
      <c r="B642" s="181" t="s">
        <v>2903</v>
      </c>
      <c r="C642" s="181" t="s">
        <v>2563</v>
      </c>
      <c r="D642" s="181" t="s">
        <v>2532</v>
      </c>
      <c r="E642" s="181">
        <v>25</v>
      </c>
      <c r="F642" s="181"/>
      <c r="G642" s="181" t="s">
        <v>2885</v>
      </c>
    </row>
    <row r="643" spans="1:7" x14ac:dyDescent="0.3">
      <c r="A643" s="189">
        <v>46090</v>
      </c>
      <c r="B643" s="108" t="s">
        <v>2897</v>
      </c>
      <c r="C643" s="108" t="s">
        <v>2553</v>
      </c>
      <c r="D643" s="108" t="s">
        <v>2534</v>
      </c>
      <c r="E643" s="108">
        <v>50</v>
      </c>
      <c r="F643" s="108"/>
      <c r="G643" s="108" t="s">
        <v>2885</v>
      </c>
    </row>
    <row r="644" spans="1:7" x14ac:dyDescent="0.3">
      <c r="A644" s="190">
        <v>46091</v>
      </c>
      <c r="B644" s="42" t="s">
        <v>2893</v>
      </c>
      <c r="C644" s="42" t="s">
        <v>2555</v>
      </c>
      <c r="D644" s="42" t="s">
        <v>2530</v>
      </c>
      <c r="E644" s="42">
        <v>75</v>
      </c>
      <c r="F644" s="42"/>
      <c r="G644" s="42" t="s">
        <v>2885</v>
      </c>
    </row>
    <row r="645" spans="1:7" x14ac:dyDescent="0.3">
      <c r="A645" s="190">
        <v>46093</v>
      </c>
      <c r="B645" s="42" t="s">
        <v>2904</v>
      </c>
      <c r="C645" s="42" t="s">
        <v>2555</v>
      </c>
      <c r="D645" s="42" t="s">
        <v>2530</v>
      </c>
      <c r="E645" s="42">
        <v>107</v>
      </c>
      <c r="F645" s="42"/>
      <c r="G645" s="42" t="s">
        <v>2885</v>
      </c>
    </row>
    <row r="646" spans="1:7" x14ac:dyDescent="0.3">
      <c r="A646" s="200">
        <v>46093</v>
      </c>
      <c r="B646" s="114" t="s">
        <v>1129</v>
      </c>
      <c r="C646" s="114" t="s">
        <v>2571</v>
      </c>
      <c r="D646" s="114" t="s">
        <v>2540</v>
      </c>
      <c r="E646" s="114">
        <v>513.21</v>
      </c>
      <c r="F646" s="114"/>
      <c r="G646" s="114" t="s">
        <v>2885</v>
      </c>
    </row>
    <row r="647" spans="1:7" x14ac:dyDescent="0.3">
      <c r="A647" s="190">
        <v>46093</v>
      </c>
      <c r="B647" s="42" t="s">
        <v>2852</v>
      </c>
      <c r="C647" s="42" t="s">
        <v>2555</v>
      </c>
      <c r="D647" s="42" t="s">
        <v>2530</v>
      </c>
      <c r="E647" s="42">
        <v>63</v>
      </c>
      <c r="F647" s="42"/>
      <c r="G647" s="42" t="s">
        <v>2885</v>
      </c>
    </row>
    <row r="648" spans="1:7" x14ac:dyDescent="0.3">
      <c r="A648" s="190">
        <v>46093</v>
      </c>
      <c r="B648" s="42" t="s">
        <v>1467</v>
      </c>
      <c r="C648" s="42" t="s">
        <v>2555</v>
      </c>
      <c r="D648" s="42" t="s">
        <v>2530</v>
      </c>
      <c r="E648" s="42">
        <v>20</v>
      </c>
      <c r="F648" s="42"/>
      <c r="G648" s="42" t="s">
        <v>2885</v>
      </c>
    </row>
    <row r="649" spans="1:7" x14ac:dyDescent="0.3">
      <c r="A649" s="189">
        <v>46093</v>
      </c>
      <c r="B649" s="108" t="s">
        <v>2905</v>
      </c>
      <c r="C649" s="108" t="s">
        <v>2553</v>
      </c>
      <c r="D649" s="108" t="s">
        <v>2534</v>
      </c>
      <c r="E649" s="108">
        <v>240.7</v>
      </c>
      <c r="F649" s="108"/>
      <c r="G649" s="108" t="s">
        <v>2885</v>
      </c>
    </row>
    <row r="650" spans="1:7" x14ac:dyDescent="0.3">
      <c r="A650" s="188">
        <v>46094</v>
      </c>
      <c r="B650" s="112" t="s">
        <v>2906</v>
      </c>
      <c r="C650" s="112" t="s">
        <v>2550</v>
      </c>
      <c r="D650" s="112" t="s">
        <v>2536</v>
      </c>
      <c r="E650" s="112">
        <v>377.3</v>
      </c>
      <c r="F650" s="112"/>
      <c r="G650" s="112" t="s">
        <v>2885</v>
      </c>
    </row>
    <row r="651" spans="1:7" x14ac:dyDescent="0.3">
      <c r="A651" s="189">
        <v>46094</v>
      </c>
      <c r="B651" s="108" t="s">
        <v>2721</v>
      </c>
      <c r="C651" s="108" t="s">
        <v>2553</v>
      </c>
      <c r="D651" s="108" t="s">
        <v>2534</v>
      </c>
      <c r="E651" s="108">
        <v>131.25</v>
      </c>
      <c r="F651" s="108"/>
      <c r="G651" s="108" t="s">
        <v>2885</v>
      </c>
    </row>
    <row r="652" spans="1:7" x14ac:dyDescent="0.3">
      <c r="A652" s="189">
        <v>46094</v>
      </c>
      <c r="B652" s="108" t="s">
        <v>2898</v>
      </c>
      <c r="C652" s="108" t="s">
        <v>2553</v>
      </c>
      <c r="D652" s="108" t="s">
        <v>2534</v>
      </c>
      <c r="E652" s="108">
        <v>20</v>
      </c>
      <c r="F652" s="108"/>
      <c r="G652" s="108" t="s">
        <v>2885</v>
      </c>
    </row>
    <row r="653" spans="1:7" x14ac:dyDescent="0.3">
      <c r="A653" s="193">
        <v>46095</v>
      </c>
      <c r="B653" s="181" t="s">
        <v>2902</v>
      </c>
      <c r="C653" s="181" t="s">
        <v>2563</v>
      </c>
      <c r="D653" s="181" t="s">
        <v>2532</v>
      </c>
      <c r="E653" s="181">
        <v>209</v>
      </c>
      <c r="F653" s="181"/>
      <c r="G653" s="181" t="s">
        <v>2885</v>
      </c>
    </row>
    <row r="654" spans="1:7" x14ac:dyDescent="0.3">
      <c r="A654" s="190">
        <v>46095</v>
      </c>
      <c r="B654" s="42" t="s">
        <v>2888</v>
      </c>
      <c r="C654" s="42" t="s">
        <v>2555</v>
      </c>
      <c r="D654" s="42" t="s">
        <v>2530</v>
      </c>
      <c r="E654" s="42">
        <v>73</v>
      </c>
      <c r="F654" s="42"/>
      <c r="G654" s="42" t="s">
        <v>2885</v>
      </c>
    </row>
    <row r="655" spans="1:7" x14ac:dyDescent="0.3">
      <c r="A655" s="190">
        <v>46095</v>
      </c>
      <c r="B655" s="42" t="s">
        <v>2850</v>
      </c>
      <c r="C655" s="42" t="s">
        <v>2555</v>
      </c>
      <c r="D655" s="42" t="s">
        <v>2530</v>
      </c>
      <c r="E655" s="42">
        <v>149</v>
      </c>
      <c r="F655" s="42"/>
      <c r="G655" s="42" t="s">
        <v>2885</v>
      </c>
    </row>
    <row r="656" spans="1:7" x14ac:dyDescent="0.3">
      <c r="A656" s="190">
        <v>46096</v>
      </c>
      <c r="B656" s="42" t="s">
        <v>2891</v>
      </c>
      <c r="C656" s="42" t="s">
        <v>2555</v>
      </c>
      <c r="D656" s="42" t="s">
        <v>2530</v>
      </c>
      <c r="E656" s="42">
        <v>38</v>
      </c>
      <c r="F656" s="42"/>
      <c r="G656" s="42" t="s">
        <v>2885</v>
      </c>
    </row>
    <row r="657" spans="1:7" x14ac:dyDescent="0.3">
      <c r="A657" s="190">
        <v>46096</v>
      </c>
      <c r="B657" s="42" t="s">
        <v>2888</v>
      </c>
      <c r="C657" s="42" t="s">
        <v>2555</v>
      </c>
      <c r="D657" s="42" t="s">
        <v>2530</v>
      </c>
      <c r="E657" s="42">
        <v>50</v>
      </c>
      <c r="F657" s="42"/>
      <c r="G657" s="42" t="s">
        <v>2885</v>
      </c>
    </row>
    <row r="658" spans="1:7" x14ac:dyDescent="0.3">
      <c r="A658" s="189">
        <v>46096</v>
      </c>
      <c r="B658" s="108" t="s">
        <v>2902</v>
      </c>
      <c r="C658" s="108" t="s">
        <v>2553</v>
      </c>
      <c r="D658" s="108" t="s">
        <v>2534</v>
      </c>
      <c r="E658" s="108">
        <v>173</v>
      </c>
      <c r="F658" s="108"/>
      <c r="G658" s="108" t="s">
        <v>2885</v>
      </c>
    </row>
    <row r="659" spans="1:7" x14ac:dyDescent="0.3">
      <c r="A659" s="189">
        <v>46097</v>
      </c>
      <c r="B659" s="108" t="s">
        <v>2902</v>
      </c>
      <c r="C659" s="108" t="s">
        <v>2553</v>
      </c>
      <c r="D659" s="108" t="s">
        <v>2534</v>
      </c>
      <c r="E659" s="108">
        <v>162</v>
      </c>
      <c r="F659" s="108"/>
      <c r="G659" s="108" t="s">
        <v>2885</v>
      </c>
    </row>
    <row r="660" spans="1:7" x14ac:dyDescent="0.3">
      <c r="A660" s="190">
        <v>46097</v>
      </c>
      <c r="B660" s="42" t="s">
        <v>2888</v>
      </c>
      <c r="C660" s="42" t="s">
        <v>2555</v>
      </c>
      <c r="D660" s="42" t="s">
        <v>2530</v>
      </c>
      <c r="E660" s="42">
        <v>87</v>
      </c>
      <c r="F660" s="42"/>
      <c r="G660" s="42" t="s">
        <v>2885</v>
      </c>
    </row>
    <row r="661" spans="1:7" x14ac:dyDescent="0.3">
      <c r="A661" s="188">
        <v>46097</v>
      </c>
      <c r="B661" s="112" t="s">
        <v>2907</v>
      </c>
      <c r="C661" s="112" t="s">
        <v>2586</v>
      </c>
      <c r="D661" s="112" t="s">
        <v>2536</v>
      </c>
      <c r="E661" s="112">
        <v>50</v>
      </c>
      <c r="F661" s="112"/>
      <c r="G661" s="112" t="s">
        <v>2885</v>
      </c>
    </row>
    <row r="662" spans="1:7" x14ac:dyDescent="0.3">
      <c r="A662" s="189">
        <v>46097</v>
      </c>
      <c r="B662" s="108" t="s">
        <v>2908</v>
      </c>
      <c r="C662" s="108" t="s">
        <v>2553</v>
      </c>
      <c r="D662" s="108" t="s">
        <v>2534</v>
      </c>
      <c r="E662" s="108">
        <v>223</v>
      </c>
      <c r="F662" s="108"/>
      <c r="G662" s="108" t="s">
        <v>2885</v>
      </c>
    </row>
    <row r="663" spans="1:7" x14ac:dyDescent="0.3">
      <c r="A663" s="189">
        <v>46098</v>
      </c>
      <c r="B663" s="108" t="s">
        <v>2810</v>
      </c>
      <c r="C663" s="108" t="s">
        <v>2553</v>
      </c>
      <c r="D663" s="108" t="s">
        <v>2534</v>
      </c>
      <c r="E663" s="108">
        <v>80</v>
      </c>
      <c r="F663" s="108"/>
      <c r="G663" s="108" t="s">
        <v>2885</v>
      </c>
    </row>
    <row r="664" spans="1:7" x14ac:dyDescent="0.3">
      <c r="A664" s="189">
        <v>46098</v>
      </c>
      <c r="B664" s="108" t="s">
        <v>2909</v>
      </c>
      <c r="C664" s="108" t="s">
        <v>2553</v>
      </c>
      <c r="D664" s="108" t="s">
        <v>2534</v>
      </c>
      <c r="E664" s="108">
        <v>45</v>
      </c>
      <c r="F664" s="108"/>
      <c r="G664" s="108" t="s">
        <v>2885</v>
      </c>
    </row>
    <row r="665" spans="1:7" x14ac:dyDescent="0.3">
      <c r="A665" s="193">
        <v>46098</v>
      </c>
      <c r="B665" s="181" t="s">
        <v>2902</v>
      </c>
      <c r="C665" s="181" t="s">
        <v>2563</v>
      </c>
      <c r="D665" s="181" t="s">
        <v>2532</v>
      </c>
      <c r="E665" s="181">
        <v>242</v>
      </c>
      <c r="F665" s="181"/>
      <c r="G665" s="181" t="s">
        <v>2885</v>
      </c>
    </row>
    <row r="666" spans="1:7" x14ac:dyDescent="0.3">
      <c r="A666" s="189">
        <v>46099</v>
      </c>
      <c r="B666" s="108" t="s">
        <v>2902</v>
      </c>
      <c r="C666" s="108" t="s">
        <v>2553</v>
      </c>
      <c r="D666" s="108" t="s">
        <v>2534</v>
      </c>
      <c r="E666" s="108">
        <v>168</v>
      </c>
      <c r="F666" s="108"/>
      <c r="G666" s="108" t="s">
        <v>2885</v>
      </c>
    </row>
    <row r="667" spans="1:7" x14ac:dyDescent="0.3">
      <c r="A667" s="189">
        <v>46100</v>
      </c>
      <c r="B667" s="108" t="s">
        <v>2874</v>
      </c>
      <c r="C667" s="108" t="s">
        <v>2553</v>
      </c>
      <c r="D667" s="108" t="s">
        <v>2534</v>
      </c>
      <c r="E667" s="108">
        <v>15</v>
      </c>
      <c r="F667" s="108"/>
      <c r="G667" s="108" t="s">
        <v>2885</v>
      </c>
    </row>
    <row r="668" spans="1:7" x14ac:dyDescent="0.3">
      <c r="A668" s="189">
        <v>46100</v>
      </c>
      <c r="B668" s="108" t="s">
        <v>2874</v>
      </c>
      <c r="C668" s="108" t="s">
        <v>2553</v>
      </c>
      <c r="D668" s="108" t="s">
        <v>2534</v>
      </c>
      <c r="E668" s="108">
        <v>25</v>
      </c>
      <c r="F668" s="108"/>
      <c r="G668" s="108" t="s">
        <v>2885</v>
      </c>
    </row>
    <row r="669" spans="1:7" x14ac:dyDescent="0.3">
      <c r="A669" s="190">
        <v>46100</v>
      </c>
      <c r="B669" s="42" t="s">
        <v>2840</v>
      </c>
      <c r="C669" s="42" t="s">
        <v>2555</v>
      </c>
      <c r="D669" s="42" t="s">
        <v>2530</v>
      </c>
      <c r="E669" s="42">
        <v>54</v>
      </c>
      <c r="F669" s="42"/>
      <c r="G669" s="42" t="s">
        <v>2885</v>
      </c>
    </row>
    <row r="670" spans="1:7" x14ac:dyDescent="0.3">
      <c r="A670" s="190">
        <v>46100</v>
      </c>
      <c r="B670" s="42" t="s">
        <v>2910</v>
      </c>
      <c r="C670" s="42" t="s">
        <v>2555</v>
      </c>
      <c r="D670" s="42" t="s">
        <v>2530</v>
      </c>
      <c r="E670" s="42">
        <v>30</v>
      </c>
      <c r="F670" s="42"/>
      <c r="G670" s="42" t="s">
        <v>2885</v>
      </c>
    </row>
    <row r="672" spans="1:7" x14ac:dyDescent="0.3">
      <c r="A672" s="160" t="s">
        <v>2911</v>
      </c>
    </row>
    <row r="673" spans="2:5" x14ac:dyDescent="0.3">
      <c r="B673" s="201" t="s">
        <v>2538</v>
      </c>
      <c r="E673" s="202">
        <f t="shared" ref="E673:E686" si="0">SUMIF(D$2:D$670, B673, E$2:E$670)</f>
        <v>75444.58</v>
      </c>
    </row>
    <row r="674" spans="2:5" x14ac:dyDescent="0.3">
      <c r="B674" s="203" t="s">
        <v>2536</v>
      </c>
      <c r="E674" s="204">
        <f t="shared" si="0"/>
        <v>52807.75</v>
      </c>
    </row>
    <row r="675" spans="2:5" x14ac:dyDescent="0.3">
      <c r="B675" s="205" t="s">
        <v>2530</v>
      </c>
      <c r="E675" s="206">
        <f t="shared" si="0"/>
        <v>47858.829999999987</v>
      </c>
    </row>
    <row r="676" spans="2:5" x14ac:dyDescent="0.3">
      <c r="B676" s="207" t="s">
        <v>2534</v>
      </c>
      <c r="E676" s="208">
        <f t="shared" si="0"/>
        <v>30845.18</v>
      </c>
    </row>
    <row r="677" spans="2:5" x14ac:dyDescent="0.3">
      <c r="B677" s="209" t="s">
        <v>2527</v>
      </c>
      <c r="E677" s="210">
        <f t="shared" si="0"/>
        <v>11692</v>
      </c>
    </row>
    <row r="678" spans="2:5" x14ac:dyDescent="0.3">
      <c r="B678" s="211" t="s">
        <v>2532</v>
      </c>
      <c r="E678" s="212">
        <f t="shared" si="0"/>
        <v>8174.84</v>
      </c>
    </row>
    <row r="679" spans="2:5" x14ac:dyDescent="0.3">
      <c r="B679" s="213" t="s">
        <v>2537</v>
      </c>
      <c r="E679" s="214">
        <f t="shared" si="0"/>
        <v>5188</v>
      </c>
    </row>
    <row r="680" spans="2:5" x14ac:dyDescent="0.3">
      <c r="B680" s="215" t="s">
        <v>2533</v>
      </c>
      <c r="E680" s="216">
        <f t="shared" si="0"/>
        <v>4179</v>
      </c>
    </row>
    <row r="681" spans="2:5" x14ac:dyDescent="0.3">
      <c r="B681" s="217" t="s">
        <v>2540</v>
      </c>
      <c r="E681" s="218">
        <f t="shared" si="0"/>
        <v>2686.38</v>
      </c>
    </row>
    <row r="682" spans="2:5" x14ac:dyDescent="0.3">
      <c r="B682" s="219" t="s">
        <v>2528</v>
      </c>
      <c r="E682" s="220">
        <f t="shared" si="0"/>
        <v>2052.84</v>
      </c>
    </row>
    <row r="683" spans="2:5" x14ac:dyDescent="0.3">
      <c r="B683" s="221" t="s">
        <v>2535</v>
      </c>
      <c r="E683" s="222">
        <f t="shared" si="0"/>
        <v>1571</v>
      </c>
    </row>
    <row r="684" spans="2:5" x14ac:dyDescent="0.3">
      <c r="B684" s="223" t="s">
        <v>2529</v>
      </c>
      <c r="E684" s="224">
        <f t="shared" si="0"/>
        <v>635</v>
      </c>
    </row>
    <row r="685" spans="2:5" x14ac:dyDescent="0.3">
      <c r="B685" s="225" t="s">
        <v>2531</v>
      </c>
      <c r="E685" s="226">
        <f t="shared" si="0"/>
        <v>477</v>
      </c>
    </row>
    <row r="686" spans="2:5" x14ac:dyDescent="0.3">
      <c r="B686" s="217" t="s">
        <v>2539</v>
      </c>
      <c r="E686" s="218">
        <f t="shared" si="0"/>
        <v>15</v>
      </c>
    </row>
    <row r="687" spans="2:5" x14ac:dyDescent="0.3">
      <c r="B687" s="178" t="s">
        <v>2912</v>
      </c>
      <c r="E687" s="178">
        <f>SUM(E673:E686)</f>
        <v>243627.39999999997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65"/>
  <sheetViews>
    <sheetView workbookViewId="0"/>
  </sheetViews>
  <sheetFormatPr defaultRowHeight="14.4" x14ac:dyDescent="0.3"/>
  <cols>
    <col min="1" max="1" width="3" customWidth="1"/>
    <col min="2" max="2" width="32" customWidth="1"/>
    <col min="3" max="3" width="16" customWidth="1"/>
    <col min="4" max="4" width="50" customWidth="1"/>
  </cols>
  <sheetData>
    <row r="2" spans="2:4" ht="18" x14ac:dyDescent="0.35">
      <c r="B2" s="227" t="s">
        <v>2913</v>
      </c>
    </row>
    <row r="5" spans="2:4" x14ac:dyDescent="0.3">
      <c r="B5" s="228" t="s">
        <v>2914</v>
      </c>
      <c r="C5" s="229" t="s">
        <v>2915</v>
      </c>
      <c r="D5" s="230" t="s">
        <v>2916</v>
      </c>
    </row>
    <row r="7" spans="2:4" x14ac:dyDescent="0.3">
      <c r="B7" s="231" t="s">
        <v>972</v>
      </c>
      <c r="C7" s="232" t="s">
        <v>2917</v>
      </c>
      <c r="D7" s="233" t="s">
        <v>2918</v>
      </c>
    </row>
    <row r="8" spans="2:4" x14ac:dyDescent="0.3">
      <c r="B8" s="231" t="s">
        <v>22</v>
      </c>
      <c r="C8" s="234" t="s">
        <v>2917</v>
      </c>
      <c r="D8" s="233" t="s">
        <v>2919</v>
      </c>
    </row>
    <row r="9" spans="2:4" x14ac:dyDescent="0.3">
      <c r="B9" s="231" t="s">
        <v>17</v>
      </c>
      <c r="C9" s="235" t="s">
        <v>2917</v>
      </c>
      <c r="D9" s="233" t="s">
        <v>2920</v>
      </c>
    </row>
    <row r="10" spans="2:4" x14ac:dyDescent="0.3">
      <c r="B10" s="231" t="s">
        <v>6</v>
      </c>
      <c r="C10" s="236" t="s">
        <v>2917</v>
      </c>
      <c r="D10" s="233" t="s">
        <v>2921</v>
      </c>
    </row>
    <row r="11" spans="2:4" x14ac:dyDescent="0.3">
      <c r="B11" s="231" t="s">
        <v>1666</v>
      </c>
      <c r="C11" s="237" t="s">
        <v>2917</v>
      </c>
      <c r="D11" s="233" t="s">
        <v>2922</v>
      </c>
    </row>
    <row r="12" spans="2:4" x14ac:dyDescent="0.3">
      <c r="B12" s="231" t="s">
        <v>29</v>
      </c>
      <c r="C12" s="238" t="s">
        <v>2917</v>
      </c>
      <c r="D12" s="233" t="s">
        <v>2923</v>
      </c>
    </row>
    <row r="13" spans="2:4" x14ac:dyDescent="0.3">
      <c r="B13" s="231" t="s">
        <v>2924</v>
      </c>
      <c r="C13" s="239" t="s">
        <v>2917</v>
      </c>
      <c r="D13" s="233" t="s">
        <v>2925</v>
      </c>
    </row>
    <row r="14" spans="2:4" x14ac:dyDescent="0.3">
      <c r="B14" s="231" t="s">
        <v>2926</v>
      </c>
      <c r="C14" s="232" t="s">
        <v>2917</v>
      </c>
      <c r="D14" s="233" t="s">
        <v>2927</v>
      </c>
    </row>
    <row r="15" spans="2:4" x14ac:dyDescent="0.3">
      <c r="B15" s="231" t="s">
        <v>1669</v>
      </c>
      <c r="C15" s="239" t="s">
        <v>2917</v>
      </c>
      <c r="D15" s="233" t="s">
        <v>2928</v>
      </c>
    </row>
    <row r="16" spans="2:4" x14ac:dyDescent="0.3">
      <c r="B16" s="231" t="s">
        <v>1675</v>
      </c>
      <c r="C16" s="240" t="s">
        <v>2917</v>
      </c>
      <c r="D16" s="233" t="s">
        <v>2929</v>
      </c>
    </row>
    <row r="17" spans="2:4" x14ac:dyDescent="0.3">
      <c r="B17" s="231" t="s">
        <v>1811</v>
      </c>
      <c r="C17" s="240" t="s">
        <v>2917</v>
      </c>
      <c r="D17" s="233" t="s">
        <v>2930</v>
      </c>
    </row>
    <row r="18" spans="2:4" x14ac:dyDescent="0.3">
      <c r="B18" s="241" t="s">
        <v>2931</v>
      </c>
      <c r="C18" s="242" t="s">
        <v>2917</v>
      </c>
      <c r="D18" s="233" t="s">
        <v>2932</v>
      </c>
    </row>
    <row r="20" spans="2:4" x14ac:dyDescent="0.3">
      <c r="B20" s="231" t="s">
        <v>2</v>
      </c>
      <c r="C20" s="243" t="s">
        <v>2917</v>
      </c>
      <c r="D20" s="233" t="s">
        <v>2933</v>
      </c>
    </row>
    <row r="21" spans="2:4" x14ac:dyDescent="0.3">
      <c r="B21" s="231" t="s">
        <v>1659</v>
      </c>
      <c r="C21" s="243" t="s">
        <v>2917</v>
      </c>
      <c r="D21" s="233" t="s">
        <v>2934</v>
      </c>
    </row>
    <row r="22" spans="2:4" x14ac:dyDescent="0.3">
      <c r="B22" s="231" t="s">
        <v>2935</v>
      </c>
      <c r="C22" s="244" t="s">
        <v>2917</v>
      </c>
      <c r="D22" s="233" t="s">
        <v>2936</v>
      </c>
    </row>
    <row r="23" spans="2:4" x14ac:dyDescent="0.3">
      <c r="B23" s="231" t="s">
        <v>1813</v>
      </c>
      <c r="C23" s="236" t="s">
        <v>2917</v>
      </c>
      <c r="D23" s="233" t="s">
        <v>2937</v>
      </c>
    </row>
    <row r="24" spans="2:4" x14ac:dyDescent="0.3">
      <c r="B24" s="231" t="s">
        <v>1667</v>
      </c>
      <c r="C24" s="243" t="s">
        <v>2917</v>
      </c>
      <c r="D24" s="233" t="s">
        <v>2938</v>
      </c>
    </row>
    <row r="25" spans="2:4" x14ac:dyDescent="0.3">
      <c r="B25" s="241" t="s">
        <v>2939</v>
      </c>
      <c r="C25" s="245" t="s">
        <v>2917</v>
      </c>
      <c r="D25" s="233" t="s">
        <v>2940</v>
      </c>
    </row>
    <row r="27" spans="2:4" x14ac:dyDescent="0.3">
      <c r="B27" s="231" t="s">
        <v>990</v>
      </c>
      <c r="C27" s="246" t="s">
        <v>2917</v>
      </c>
      <c r="D27" s="233" t="s">
        <v>2941</v>
      </c>
    </row>
    <row r="28" spans="2:4" x14ac:dyDescent="0.3">
      <c r="B28" s="231" t="s">
        <v>25</v>
      </c>
      <c r="C28" s="247" t="s">
        <v>2917</v>
      </c>
      <c r="D28" s="233" t="s">
        <v>2942</v>
      </c>
    </row>
    <row r="29" spans="2:4" x14ac:dyDescent="0.3">
      <c r="B29" s="231" t="s">
        <v>991</v>
      </c>
      <c r="C29" s="246" t="s">
        <v>2917</v>
      </c>
      <c r="D29" s="233" t="s">
        <v>2943</v>
      </c>
    </row>
    <row r="30" spans="2:4" x14ac:dyDescent="0.3">
      <c r="B30" s="231" t="s">
        <v>996</v>
      </c>
      <c r="C30" s="248" t="s">
        <v>2917</v>
      </c>
      <c r="D30" s="233" t="s">
        <v>2944</v>
      </c>
    </row>
    <row r="31" spans="2:4" x14ac:dyDescent="0.3">
      <c r="B31" s="241" t="s">
        <v>2945</v>
      </c>
      <c r="C31" s="249" t="s">
        <v>2917</v>
      </c>
      <c r="D31" s="233" t="s">
        <v>2946</v>
      </c>
    </row>
    <row r="33" spans="2:4" x14ac:dyDescent="0.3">
      <c r="B33" s="231" t="s">
        <v>2947</v>
      </c>
      <c r="C33" s="250" t="s">
        <v>2917</v>
      </c>
      <c r="D33" s="233" t="s">
        <v>2948</v>
      </c>
    </row>
    <row r="34" spans="2:4" x14ac:dyDescent="0.3">
      <c r="B34" s="231" t="s">
        <v>995</v>
      </c>
      <c r="C34" s="247" t="s">
        <v>2917</v>
      </c>
      <c r="D34" s="233" t="s">
        <v>2949</v>
      </c>
    </row>
    <row r="35" spans="2:4" x14ac:dyDescent="0.3">
      <c r="B35" s="231" t="s">
        <v>7</v>
      </c>
      <c r="C35" s="251" t="s">
        <v>2917</v>
      </c>
      <c r="D35" s="233" t="s">
        <v>2950</v>
      </c>
    </row>
    <row r="36" spans="2:4" x14ac:dyDescent="0.3">
      <c r="B36" s="241" t="s">
        <v>2951</v>
      </c>
      <c r="C36" s="252" t="s">
        <v>2917</v>
      </c>
      <c r="D36" s="233" t="s">
        <v>2952</v>
      </c>
    </row>
    <row r="38" spans="2:4" x14ac:dyDescent="0.3">
      <c r="B38" s="231" t="s">
        <v>15</v>
      </c>
      <c r="C38" s="253" t="s">
        <v>2917</v>
      </c>
      <c r="D38" s="233" t="s">
        <v>2953</v>
      </c>
    </row>
    <row r="39" spans="2:4" x14ac:dyDescent="0.3">
      <c r="B39" s="231" t="s">
        <v>24</v>
      </c>
      <c r="C39" s="254" t="s">
        <v>2917</v>
      </c>
      <c r="D39" s="233" t="s">
        <v>2954</v>
      </c>
    </row>
    <row r="40" spans="2:4" x14ac:dyDescent="0.3">
      <c r="B40" s="231" t="s">
        <v>18</v>
      </c>
      <c r="C40" s="255" t="s">
        <v>2917</v>
      </c>
      <c r="D40" s="233" t="s">
        <v>2955</v>
      </c>
    </row>
    <row r="41" spans="2:4" x14ac:dyDescent="0.3">
      <c r="B41" s="241" t="s">
        <v>2956</v>
      </c>
      <c r="C41" s="256" t="s">
        <v>2917</v>
      </c>
      <c r="D41" s="233" t="s">
        <v>2957</v>
      </c>
    </row>
    <row r="43" spans="2:4" x14ac:dyDescent="0.3">
      <c r="B43" s="231" t="s">
        <v>30</v>
      </c>
      <c r="C43" s="257" t="s">
        <v>2917</v>
      </c>
      <c r="D43" s="233" t="s">
        <v>2958</v>
      </c>
    </row>
    <row r="44" spans="2:4" x14ac:dyDescent="0.3">
      <c r="B44" s="231" t="s">
        <v>974</v>
      </c>
      <c r="C44" s="258" t="s">
        <v>2917</v>
      </c>
      <c r="D44" s="233" t="s">
        <v>2959</v>
      </c>
    </row>
    <row r="45" spans="2:4" x14ac:dyDescent="0.3">
      <c r="B45" s="231" t="s">
        <v>2960</v>
      </c>
      <c r="C45" s="258" t="s">
        <v>2917</v>
      </c>
      <c r="D45" s="233" t="s">
        <v>2961</v>
      </c>
    </row>
    <row r="46" spans="2:4" x14ac:dyDescent="0.3">
      <c r="B46" s="231" t="s">
        <v>1671</v>
      </c>
      <c r="C46" s="259" t="s">
        <v>2917</v>
      </c>
      <c r="D46" s="233" t="s">
        <v>2962</v>
      </c>
    </row>
    <row r="47" spans="2:4" x14ac:dyDescent="0.3">
      <c r="B47" s="231" t="s">
        <v>1656</v>
      </c>
      <c r="C47" s="257" t="s">
        <v>2917</v>
      </c>
      <c r="D47" s="233" t="s">
        <v>2963</v>
      </c>
    </row>
    <row r="48" spans="2:4" x14ac:dyDescent="0.3">
      <c r="B48" s="231" t="s">
        <v>1816</v>
      </c>
      <c r="C48" s="258" t="s">
        <v>2917</v>
      </c>
      <c r="D48" s="233" t="s">
        <v>2964</v>
      </c>
    </row>
    <row r="49" spans="2:4" x14ac:dyDescent="0.3">
      <c r="B49" s="231" t="s">
        <v>1672</v>
      </c>
      <c r="C49" s="257" t="s">
        <v>2917</v>
      </c>
      <c r="D49" s="233" t="s">
        <v>2965</v>
      </c>
    </row>
    <row r="50" spans="2:4" x14ac:dyDescent="0.3">
      <c r="B50" s="241" t="s">
        <v>2966</v>
      </c>
      <c r="C50" s="257" t="s">
        <v>2917</v>
      </c>
      <c r="D50" s="233" t="s">
        <v>2967</v>
      </c>
    </row>
    <row r="52" spans="2:4" x14ac:dyDescent="0.3">
      <c r="B52" s="231" t="s">
        <v>1825</v>
      </c>
      <c r="C52" s="260" t="s">
        <v>2917</v>
      </c>
      <c r="D52" s="233" t="s">
        <v>2968</v>
      </c>
    </row>
    <row r="53" spans="2:4" x14ac:dyDescent="0.3">
      <c r="B53" s="231" t="s">
        <v>1662</v>
      </c>
      <c r="C53" s="261" t="s">
        <v>2917</v>
      </c>
      <c r="D53" s="233" t="s">
        <v>2969</v>
      </c>
    </row>
    <row r="54" spans="2:4" x14ac:dyDescent="0.3">
      <c r="B54" s="231" t="s">
        <v>2970</v>
      </c>
      <c r="C54" s="262" t="s">
        <v>2917</v>
      </c>
      <c r="D54" s="233" t="s">
        <v>2971</v>
      </c>
    </row>
    <row r="55" spans="2:4" x14ac:dyDescent="0.3">
      <c r="B55" s="231" t="s">
        <v>11</v>
      </c>
      <c r="C55" s="257" t="s">
        <v>2917</v>
      </c>
      <c r="D55" s="233" t="s">
        <v>2972</v>
      </c>
    </row>
    <row r="56" spans="2:4" x14ac:dyDescent="0.3">
      <c r="B56" s="231" t="s">
        <v>2973</v>
      </c>
      <c r="C56" s="263" t="s">
        <v>2917</v>
      </c>
      <c r="D56" s="233" t="s">
        <v>2974</v>
      </c>
    </row>
    <row r="57" spans="2:4" x14ac:dyDescent="0.3">
      <c r="B57" s="231" t="s">
        <v>2975</v>
      </c>
      <c r="C57" s="264" t="s">
        <v>2917</v>
      </c>
      <c r="D57" s="233" t="s">
        <v>2976</v>
      </c>
    </row>
    <row r="58" spans="2:4" x14ac:dyDescent="0.3">
      <c r="B58" s="231" t="s">
        <v>985</v>
      </c>
      <c r="C58" s="265" t="s">
        <v>2917</v>
      </c>
      <c r="D58" s="233" t="s">
        <v>2977</v>
      </c>
    </row>
    <row r="59" spans="2:4" x14ac:dyDescent="0.3">
      <c r="B59" s="231" t="s">
        <v>2978</v>
      </c>
      <c r="C59" s="266" t="s">
        <v>2917</v>
      </c>
      <c r="D59" s="233" t="s">
        <v>2979</v>
      </c>
    </row>
    <row r="60" spans="2:4" x14ac:dyDescent="0.3">
      <c r="B60" s="231" t="s">
        <v>973</v>
      </c>
      <c r="C60" s="267" t="s">
        <v>2917</v>
      </c>
      <c r="D60" s="233" t="s">
        <v>2980</v>
      </c>
    </row>
    <row r="61" spans="2:4" x14ac:dyDescent="0.3">
      <c r="B61" s="241" t="s">
        <v>2981</v>
      </c>
      <c r="C61" s="268" t="s">
        <v>2917</v>
      </c>
      <c r="D61" s="233" t="s">
        <v>2982</v>
      </c>
    </row>
    <row r="63" spans="2:4" x14ac:dyDescent="0.3">
      <c r="B63" s="231" t="s">
        <v>975</v>
      </c>
      <c r="C63" s="269" t="s">
        <v>2917</v>
      </c>
      <c r="D63" s="233" t="s">
        <v>2983</v>
      </c>
    </row>
    <row r="64" spans="2:4" x14ac:dyDescent="0.3">
      <c r="B64" s="231" t="s">
        <v>1676</v>
      </c>
      <c r="C64" s="270" t="s">
        <v>2917</v>
      </c>
      <c r="D64" s="233" t="s">
        <v>2984</v>
      </c>
    </row>
    <row r="65" spans="2:4" x14ac:dyDescent="0.3">
      <c r="B65" s="231" t="s">
        <v>2985</v>
      </c>
      <c r="C65" s="271" t="s">
        <v>2917</v>
      </c>
      <c r="D65" s="233" t="s">
        <v>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AXIS</vt:lpstr>
      <vt:lpstr>HDFC</vt:lpstr>
      <vt:lpstr>KOTAK</vt:lpstr>
      <vt:lpstr>SBI</vt:lpstr>
      <vt:lpstr>SBM Bank</vt:lpstr>
      <vt:lpstr>For Tally</vt:lpstr>
      <vt:lpstr>Conso</vt:lpstr>
      <vt:lpstr>Bank Summary</vt:lpstr>
      <vt:lpstr>Monthly Pivot</vt:lpstr>
      <vt:lpstr>CC Transactions</vt:lpstr>
      <vt:lpstr>Colour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Gupta</cp:lastModifiedBy>
  <dcterms:created xsi:type="dcterms:W3CDTF">2026-06-14T15:05:24Z</dcterms:created>
  <dcterms:modified xsi:type="dcterms:W3CDTF">2026-06-14T17:39:57Z</dcterms:modified>
</cp:coreProperties>
</file>